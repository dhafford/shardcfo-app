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omments2.xml" ContentType="application/vnd.openxmlformats-officedocument.spreadsheetml.comments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omments3.xml" ContentType="application/vnd.openxmlformats-officedocument.spreadsheetml.comments+xml"/>
  <Override PartName="/xl/customProperty7.bin" ContentType="application/vnd.openxmlformats-officedocument.spreadsheetml.customProperty"/>
  <Override PartName="/xl/comments4.xml" ContentType="application/vnd.openxmlformats-officedocument.spreadsheetml.comments+xml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omments5.xml" ContentType="application/vnd.openxmlformats-officedocument.spreadsheetml.comments+xml"/>
  <Override PartName="/xl/customProperty10.bin" ContentType="application/vnd.openxmlformats-officedocument.spreadsheetml.customProperty"/>
  <Override PartName="/xl/comments6.xml" ContentType="application/vnd.openxmlformats-officedocument.spreadsheetml.comments+xml"/>
  <Override PartName="/xl/customProperty11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ustomProperty18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l-my.sharepoint.com/personal/keshav_goel1_dell_com/Documents/Desktop/Nina's cap tables/"/>
    </mc:Choice>
  </mc:AlternateContent>
  <xr:revisionPtr revIDLastSave="0" documentId="8_{04603BB7-EF28-49D2-8577-59285DFB6550}" xr6:coauthVersionLast="47" xr6:coauthVersionMax="47" xr10:uidLastSave="{00000000-0000-0000-0000-000000000000}"/>
  <bookViews>
    <workbookView xWindow="-110" yWindow="-110" windowWidth="19420" windowHeight="11500" firstSheet="2" activeTab="2" xr2:uid="{2BB198EC-25EB-4A28-BDF5-AF4F1AFF0FF3}"/>
  </bookViews>
  <sheets>
    <sheet name="__FDSCACHE__" sheetId="55" state="veryHidden" r:id="rId1"/>
    <sheet name="Master Inputs" sheetId="1" state="hidden" r:id="rId2"/>
    <sheet name="Cap Table" sheetId="4" r:id="rId3"/>
    <sheet name="Exit &amp; Liquidation Analysis" sheetId="36" r:id="rId4"/>
    <sheet name="Exit Format" sheetId="70" r:id="rId5"/>
    <sheet name="Financing Format" sheetId="71" r:id="rId6"/>
    <sheet name="Financial STD" sheetId="2" r:id="rId7"/>
    <sheet name="Financial XaaS" sheetId="3" r:id="rId8"/>
    <sheet name="PB_CACHE" sheetId="69" state="veryHidden" r:id="rId9"/>
    <sheet name="NoPlay-Cap Table" sheetId="33" state="hidden" r:id="rId10"/>
    <sheet name="Transaction Expenses" sheetId="8" state="hidden" r:id="rId11"/>
    <sheet name="Seniority" sheetId="35" state="hidden" r:id="rId12"/>
    <sheet name="NoPlaySeniority" sheetId="38" state="hidden" r:id="rId13"/>
    <sheet name="Sensitized Returns" sheetId="61" r:id="rId14"/>
    <sheet name="Return Waterfall" sheetId="67" state="hidden" r:id="rId15"/>
    <sheet name="_CIQHiddenCacheSheet" sheetId="52" state="veryHidden" r:id="rId16"/>
    <sheet name="Public Comps - CB Insights" sheetId="60" state="hidden" r:id="rId17"/>
    <sheet name="Public Comps" sheetId="59" r:id="rId18"/>
    <sheet name="Exit Comps" sheetId="11" r:id="rId19"/>
    <sheet name="Recent Financings" sheetId="12" r:id="rId20"/>
    <sheet name="Charts" sheetId="39" state="hidden" r:id="rId21"/>
    <sheet name="Copy&amp;Paste" sheetId="43" state="hidden" r:id="rId22"/>
  </sheets>
  <externalReferences>
    <externalReference r:id="rId23"/>
    <externalReference r:id="rId24"/>
    <externalReference r:id="rId25"/>
    <externalReference r:id="rId26"/>
    <externalReference r:id="rId27"/>
  </externalReferences>
  <definedNames>
    <definedName name="__FDS_HYPERLINK_TOGGLE_STATE__" hidden="1">"ON"</definedName>
    <definedName name="__FDS_UNIQUE_RANGE_ID_GENERATOR_COUNTER" hidden="1">1</definedName>
    <definedName name="__FDS_USED_FOR_REUSING_RANGE_IDS_RECYCLE" localSheetId="14" hidden="1">{90,69}</definedName>
    <definedName name="__FDS_USED_FOR_REUSING_RANGE_IDS_RECYCLE" hidden="1">{90,69}</definedName>
    <definedName name="_bdm.01BE8459D780496281DFD8D977A66124.edm" hidden="1">[1]Charts!$1:$1048576</definedName>
    <definedName name="_bdm.059B1E9ACED4408B800526C9F41CA89C.edm" hidden="1">[1]Model!$1:$1048576</definedName>
    <definedName name="_bdm.0B489BAFB9BC4B6FB90C43A1122668EA.edm" hidden="1">[2]CF!$1:$1048576</definedName>
    <definedName name="_bdm.12A6757B1C164E84A2E4FF1D2507B6FA.edm" hidden="1">[1]CF!$1:$1048576</definedName>
    <definedName name="_bdm.1622D070C1C74603B06E22FECC347C72.edm" hidden="1">'[2]Intrinsic Value'!$1:$1048576</definedName>
    <definedName name="_bdm.3A282B8700BD4E46B0EC89F9F7C56539.edm" hidden="1">'[1]Recurring Revs IV'!$1:$1048576</definedName>
    <definedName name="_bdm.474411EBF1724971A03905850FF491D7.edm" hidden="1">[2]Metrics!$1:$1048576</definedName>
    <definedName name="_bdm.55735E42501049E88C405AA016248470.edm" hidden="1">[2]BS!$1:$1048576</definedName>
    <definedName name="_bdm.5745A78D08E9479AADAAEE070457F036.edm" hidden="1">'[3]Survey data'!$1:$1048576</definedName>
    <definedName name="_bdm.5CDFFBA1D93C47A593D321BC335B82DD.edm" hidden="1">'[1]MS Revenue Analysis'!$1:$1048576</definedName>
    <definedName name="_bdm.600401F0D0C149479952AF24B4BC3BE7.edm" hidden="1">[4]Model!$1:$1048576</definedName>
    <definedName name="_bdm.69373037ACC64AA5A3CB150140B263D1.edm" hidden="1">[2]Guidance!$1:$1048576</definedName>
    <definedName name="_bdm.719740DCDB99404BB0D4AFAAAF5CE1F5.edm" hidden="1">[3]Model!$1:$1048576</definedName>
    <definedName name="_bdm.71E96825784E41BB9EBEAB9513C30F7D.edm" hidden="1">[2]Charts!$1:$1048576</definedName>
    <definedName name="_bdm.7202B5F570474EEF9B9020861C2E3DFC.edm" hidden="1">'[3]Annual Charts'!$1:$1048576</definedName>
    <definedName name="_bdm.7310FD66BCEA4AFAAB131643B9982FD6.edm" hidden="1">'[4]Revenue Drivers'!$1:$1048576</definedName>
    <definedName name="_bdm.7547009AE39E44F0BE8390B05961F441.edm" hidden="1">'[3]Scenario Analysis'!$1:$1048576</definedName>
    <definedName name="_bdm.761EFB2FEEA7413CB25F718628839C05.edm" hidden="1">[1]BS!$1:$1048576</definedName>
    <definedName name="_bdm.777E383096B04604A8907760E365598D.edm" hidden="1">[3]CF!$1:$1048576</definedName>
    <definedName name="_bdm.931EB83529F141DBACB33A0A201C7948.edm" hidden="1">'[3]PE Analysis'!$1:$1048576</definedName>
    <definedName name="_bdm.9724A707D246414697B38AB8ADE50ED8.edm" hidden="1">'[3]Quarterly Charts'!$1:$1048576</definedName>
    <definedName name="_bdm.9E8114627C284F7CA11F1417AE9F20EF.edm" hidden="1">[1]MultipleAnalysis!$1:$1048576</definedName>
    <definedName name="_bdm.A2619F600E464D0CA3B70F6E7DDC3613.edm" hidden="1">'[3]Model Changes Table'!$1:$1048576</definedName>
    <definedName name="_bdm.AAC0A19A1DC14CE48DC074E0E5849F16.edm" hidden="1">'[1]MWA RR'!$1:$1048576</definedName>
    <definedName name="_bdm.AD7D6D5679624DFBADE67530BBB3C288.edm" hidden="1">'[3]Results Table'!$1:$1048576</definedName>
    <definedName name="_bdm.B395A780BFB2447E9F26C1C99E3D9682.edm" hidden="1">[4]Comps!$1:$1048576</definedName>
    <definedName name="_bdm.B5DD7C8054594D8380E28204BCCB5EF1.edm" hidden="1">[4]BS!$1:$1048576</definedName>
    <definedName name="_bdm.B5E0E69A312246D99EA93C86CD6E1455.edm" hidden="1">'[1]Intrinsic Value'!$1:$1048576</definedName>
    <definedName name="_bdm.BCA83A94051644948EDDC0F07203A8FF.edm" hidden="1">[4]Charts!$1:$1048576</definedName>
    <definedName name="_bdm.C00EEA5F700C4968B26510AFD4738311.edm" hidden="1">'[4]Intrinsic Value'!$1:$1048576</definedName>
    <definedName name="_bdm.C0965DD7EAB74C30BFD06D112DB948E0.edm" hidden="1">[3]BS!$1:$1048576</definedName>
    <definedName name="_bdm.CC296EF1D3CC4D45B3348F43FAF0A50A.edm" hidden="1">[2]Model!$1:$1048576</definedName>
    <definedName name="_bdm.D49FDC39C10D4C6993C3E44E94FB7DA4.edm" hidden="1">'[2]Rev by Geo'!$1:$1048576</definedName>
    <definedName name="_bdm.D8049AF49B8D4AA69C4CF028778FA842.edm" hidden="1">'[2]Model Changes Table'!$1:$1048576</definedName>
    <definedName name="_bdm.D823C824F68548E1B4762F118E44D421.edm" hidden="1">[4]CF!$1:$1048576</definedName>
    <definedName name="_bdm.DDAFE8B4192343BEB7363F7F2BEAE3AA.edm" hidden="1">'[3]Intrinsic Value'!$1:$1048576</definedName>
    <definedName name="_bdm.E5497B6DE3DD45C5AAEA4A8555A7C78B.edm" hidden="1">[3]Metrics!$1:$1048576</definedName>
    <definedName name="_bdm.E5F0FBB124EA4D768D791F6987B2FDC2.edm" hidden="1">[4]Competitors!$1:$1048576</definedName>
    <definedName name="_bdm.E8A90A02895446BFB2F5AB03F6429695.edm" hidden="1">'[3]Historical EV'!$1:$1048576</definedName>
    <definedName name="_bdm.E912BC04CA6A4A619FBE3BAD37030255.edm" hidden="1">'[2]Results Table'!$1:$1048576</definedName>
    <definedName name="_bdm.EF5FDE0DD1B84427BCDF9240158FC6B8.edm" hidden="1">'[4]Market Data'!$1:$1048576</definedName>
    <definedName name="_bdm.F10C57F4628043A38E5DBFF533598966.edm" hidden="1">[1]Model!$1:$1048576</definedName>
    <definedName name="_bdm.F8101B36E450491A99EF6398D001F750.edm" hidden="1">[4]Acquisitions!$1:$1048576</definedName>
    <definedName name="_bdm.FCE06B73D5B445C39ED3272A89A11273.edm" hidden="1">'[1]Model Changes Table'!$1:$1048576</definedName>
    <definedName name="_xlnm._FilterDatabase" localSheetId="14" hidden="1">'Return Waterfall'!$H$120:$N$134</definedName>
    <definedName name="_Order1" hidden="1">255</definedName>
    <definedName name="_Order2" hidden="1">255</definedName>
    <definedName name="_xlchart.v1.0" hidden="1">'Return Waterfall'!$B$77:$B$105</definedName>
    <definedName name="_xlchart.v1.1" hidden="1">'Return Waterfall'!$C$75:$C$76</definedName>
    <definedName name="_xlchart.v1.2" hidden="1">'Return Waterfall'!$C$77:$C$105</definedName>
    <definedName name="_xlchart.v1.3" hidden="1">'Return Waterfall'!$D$75:$D$76</definedName>
    <definedName name="_xlchart.v1.4" hidden="1">'Return Waterfall'!$D$77:$D$105</definedName>
    <definedName name="_xlchart.v1.5" hidden="1">'Return Waterfall'!$E$75:$E$76</definedName>
    <definedName name="_xlchart.v1.6" hidden="1">'Return Waterfall'!$E$77:$E$105</definedName>
    <definedName name="_xlchart.v1.7" hidden="1">'Return Waterfall'!$B$57:$B$71</definedName>
    <definedName name="_xlchart.v1.8" hidden="1">'Return Waterfall'!$C$56</definedName>
    <definedName name="_xlchart.v1.9" hidden="1">'Return Waterfall'!$C$57:$C$71</definedName>
    <definedName name="CIQWBGuid" hidden="1">"672fb32c-2045-445d-bcb0-e6d9cf615f55"</definedName>
    <definedName name="ｆ" hidden="1">"iQShowAnnual"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"16/06/98"</definedName>
    <definedName name="HTML_LineAfter" hidden="1">FALSE</definedName>
    <definedName name="HTML_LineBefore" hidden="1">FALSE</definedName>
    <definedName name="HTML_Name" hidden="1">"Setor de Custos"</definedName>
    <definedName name="HTML_OBDlg2" hidden="1">TRUE</definedName>
    <definedName name="HTML_OBDlg4" hidden="1">TRUE</definedName>
    <definedName name="HTML_OS" hidden="1">0</definedName>
    <definedName name="HTML_PathFile" hidden="1">"D:\FIX\Mai98\PXR6500.htm"</definedName>
    <definedName name="HTML_Title" hidden="1">""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43540.0113541667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IQB_BOOKMARK_LOCATION_0" localSheetId="14" hidden="1">'[5]EMC Pro Forma'!#REF!</definedName>
    <definedName name="IQB_BOOKMARK_LOCATION_0" hidden="1">'[5]EMC Pro Forma'!#REF!</definedName>
    <definedName name="Locator" localSheetId="14">#REF!</definedName>
    <definedName name="Locator">'Cap Table'!$LCB$524303</definedName>
    <definedName name="RepairedName0435" hidden="1">"iQShowAnnual"</definedName>
    <definedName name="ReportGroup" hidden="1">0</definedName>
    <definedName name="sencount" hidden="1">1</definedName>
    <definedName name="wrn.Earnings._.Model.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D32" i="36"/>
  <c r="D31" i="36"/>
  <c r="E71" i="4"/>
  <c r="H40" i="71"/>
  <c r="G40" i="71"/>
  <c r="F40" i="71"/>
  <c r="H39" i="71"/>
  <c r="G39" i="71"/>
  <c r="F39" i="71"/>
  <c r="I38" i="71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I8" i="71"/>
  <c r="I7" i="71"/>
  <c r="I6" i="71"/>
  <c r="I5" i="71"/>
  <c r="H39" i="70"/>
  <c r="G39" i="70"/>
  <c r="F39" i="70"/>
  <c r="H38" i="70"/>
  <c r="G38" i="70"/>
  <c r="F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I10" i="70"/>
  <c r="I9" i="70"/>
  <c r="I8" i="70"/>
  <c r="I7" i="70"/>
  <c r="I6" i="70"/>
  <c r="I5" i="70"/>
  <c r="I4" i="70"/>
  <c r="I39" i="70" s="1"/>
  <c r="I39" i="71" l="1"/>
  <c r="I40" i="71"/>
  <c r="I38" i="70"/>
  <c r="E70" i="4" l="1"/>
  <c r="Q4" i="4" l="1"/>
  <c r="Q5" i="4"/>
  <c r="Q6" i="4"/>
  <c r="Q7" i="4"/>
  <c r="K26" i="4" l="1"/>
  <c r="L26" i="4"/>
  <c r="M26" i="4"/>
  <c r="S26" i="4"/>
  <c r="T26" i="4"/>
  <c r="U26" i="4"/>
  <c r="AA26" i="4"/>
  <c r="AB26" i="4"/>
  <c r="AJ26" i="4" s="1"/>
  <c r="AC26" i="4"/>
  <c r="AK26" i="4" s="1"/>
  <c r="AI26" i="4"/>
  <c r="AQ26" i="4"/>
  <c r="AY26" i="4"/>
  <c r="BG26" i="4"/>
  <c r="BO26" i="4"/>
  <c r="BW26" i="4"/>
  <c r="K27" i="4"/>
  <c r="L27" i="4"/>
  <c r="T27" i="4" s="1"/>
  <c r="M27" i="4"/>
  <c r="S27" i="4"/>
  <c r="AA27" i="4"/>
  <c r="AI27" i="4"/>
  <c r="AQ27" i="4"/>
  <c r="AY27" i="4"/>
  <c r="BG27" i="4"/>
  <c r="BO27" i="4"/>
  <c r="BW27" i="4"/>
  <c r="K28" i="4"/>
  <c r="L28" i="4"/>
  <c r="M28" i="4"/>
  <c r="S28" i="4"/>
  <c r="AA28" i="4"/>
  <c r="AI28" i="4"/>
  <c r="AQ28" i="4"/>
  <c r="AY28" i="4"/>
  <c r="BG28" i="4"/>
  <c r="BO28" i="4"/>
  <c r="BW28" i="4"/>
  <c r="K29" i="4"/>
  <c r="L29" i="4"/>
  <c r="M29" i="4"/>
  <c r="S29" i="4"/>
  <c r="T29" i="4"/>
  <c r="U29" i="4"/>
  <c r="AC29" i="4" s="1"/>
  <c r="AA29" i="4"/>
  <c r="AB29" i="4"/>
  <c r="AI29" i="4"/>
  <c r="AQ29" i="4"/>
  <c r="AY29" i="4"/>
  <c r="BG29" i="4"/>
  <c r="BO29" i="4"/>
  <c r="BW29" i="4"/>
  <c r="K30" i="4"/>
  <c r="L30" i="4"/>
  <c r="M30" i="4"/>
  <c r="S30" i="4"/>
  <c r="T30" i="4"/>
  <c r="U30" i="4"/>
  <c r="AA30" i="4"/>
  <c r="AB30" i="4"/>
  <c r="AJ30" i="4" s="1"/>
  <c r="AC30" i="4"/>
  <c r="AK30" i="4" s="1"/>
  <c r="AI30" i="4"/>
  <c r="AQ30" i="4"/>
  <c r="AY30" i="4"/>
  <c r="BG30" i="4"/>
  <c r="BO30" i="4"/>
  <c r="BW30" i="4"/>
  <c r="K31" i="4"/>
  <c r="L31" i="4"/>
  <c r="T31" i="4" s="1"/>
  <c r="M31" i="4"/>
  <c r="S31" i="4"/>
  <c r="AA31" i="4"/>
  <c r="AI31" i="4"/>
  <c r="AQ31" i="4"/>
  <c r="AY31" i="4"/>
  <c r="BG31" i="4"/>
  <c r="BO31" i="4"/>
  <c r="BW31" i="4"/>
  <c r="K32" i="4"/>
  <c r="L32" i="4"/>
  <c r="M32" i="4"/>
  <c r="S32" i="4"/>
  <c r="AA32" i="4"/>
  <c r="AI32" i="4"/>
  <c r="AQ32" i="4"/>
  <c r="AY32" i="4"/>
  <c r="BG32" i="4"/>
  <c r="BO32" i="4"/>
  <c r="BW32" i="4"/>
  <c r="K33" i="4"/>
  <c r="L33" i="4"/>
  <c r="M33" i="4"/>
  <c r="S33" i="4"/>
  <c r="T33" i="4"/>
  <c r="U33" i="4"/>
  <c r="AC33" i="4" s="1"/>
  <c r="AA33" i="4"/>
  <c r="AB33" i="4"/>
  <c r="AI33" i="4"/>
  <c r="AQ33" i="4"/>
  <c r="AY33" i="4"/>
  <c r="BG33" i="4"/>
  <c r="BO33" i="4"/>
  <c r="BW33" i="4"/>
  <c r="K34" i="4"/>
  <c r="L34" i="4"/>
  <c r="M34" i="4"/>
  <c r="S34" i="4"/>
  <c r="T34" i="4"/>
  <c r="U34" i="4"/>
  <c r="AA34" i="4"/>
  <c r="AB34" i="4"/>
  <c r="AJ34" i="4" s="1"/>
  <c r="AC34" i="4"/>
  <c r="AK34" i="4" s="1"/>
  <c r="AI34" i="4"/>
  <c r="AQ34" i="4"/>
  <c r="AY34" i="4"/>
  <c r="BG34" i="4"/>
  <c r="BO34" i="4"/>
  <c r="BW34" i="4"/>
  <c r="K35" i="4"/>
  <c r="L35" i="4"/>
  <c r="T35" i="4" s="1"/>
  <c r="M35" i="4"/>
  <c r="S35" i="4"/>
  <c r="AA35" i="4"/>
  <c r="AI35" i="4"/>
  <c r="AQ35" i="4"/>
  <c r="AY35" i="4"/>
  <c r="BG35" i="4"/>
  <c r="BO35" i="4"/>
  <c r="BW35" i="4"/>
  <c r="K36" i="4"/>
  <c r="L36" i="4"/>
  <c r="M36" i="4"/>
  <c r="S36" i="4"/>
  <c r="T36" i="4"/>
  <c r="U36" i="4"/>
  <c r="AA36" i="4"/>
  <c r="AI36" i="4"/>
  <c r="AQ36" i="4"/>
  <c r="AY36" i="4"/>
  <c r="BG36" i="4"/>
  <c r="BO36" i="4"/>
  <c r="BW36" i="4"/>
  <c r="K37" i="4"/>
  <c r="L37" i="4"/>
  <c r="M37" i="4"/>
  <c r="S37" i="4"/>
  <c r="T37" i="4"/>
  <c r="AB37" i="4" s="1"/>
  <c r="U37" i="4"/>
  <c r="AA37" i="4"/>
  <c r="AI37" i="4"/>
  <c r="AQ37" i="4"/>
  <c r="AY37" i="4"/>
  <c r="BG37" i="4"/>
  <c r="BO37" i="4"/>
  <c r="BW37" i="4"/>
  <c r="K38" i="4"/>
  <c r="L38" i="4"/>
  <c r="M38" i="4"/>
  <c r="S38" i="4"/>
  <c r="T38" i="4"/>
  <c r="U38" i="4"/>
  <c r="AA38" i="4"/>
  <c r="AB38" i="4"/>
  <c r="AJ38" i="4" s="1"/>
  <c r="AC38" i="4"/>
  <c r="AK38" i="4" s="1"/>
  <c r="AI38" i="4"/>
  <c r="AQ38" i="4"/>
  <c r="AY38" i="4"/>
  <c r="BG38" i="4"/>
  <c r="BO38" i="4"/>
  <c r="BW38" i="4"/>
  <c r="K39" i="4"/>
  <c r="L39" i="4"/>
  <c r="M39" i="4"/>
  <c r="S39" i="4"/>
  <c r="AA39" i="4"/>
  <c r="AI39" i="4"/>
  <c r="AQ39" i="4"/>
  <c r="AY39" i="4"/>
  <c r="BG39" i="4"/>
  <c r="BO39" i="4"/>
  <c r="BW39" i="4"/>
  <c r="K40" i="4"/>
  <c r="L40" i="4"/>
  <c r="M40" i="4"/>
  <c r="S40" i="4"/>
  <c r="T40" i="4"/>
  <c r="U40" i="4"/>
  <c r="AA40" i="4"/>
  <c r="AI40" i="4"/>
  <c r="AQ40" i="4"/>
  <c r="AY40" i="4"/>
  <c r="BG40" i="4"/>
  <c r="BO40" i="4"/>
  <c r="BW40" i="4"/>
  <c r="E67" i="4"/>
  <c r="BO131" i="43"/>
  <c r="BM131" i="43"/>
  <c r="BL131" i="43"/>
  <c r="BU131" i="43" s="1"/>
  <c r="BZ130" i="43"/>
  <c r="BY130" i="43"/>
  <c r="BX130" i="43"/>
  <c r="BW130" i="43"/>
  <c r="BV130" i="43"/>
  <c r="BR130" i="43"/>
  <c r="BQ130" i="43"/>
  <c r="BP130" i="43"/>
  <c r="BO130" i="43"/>
  <c r="BN130" i="43"/>
  <c r="BM130" i="43"/>
  <c r="BL130" i="43"/>
  <c r="BU130" i="43" s="1"/>
  <c r="BZ129" i="43"/>
  <c r="BY129" i="43"/>
  <c r="BX129" i="43"/>
  <c r="BW129" i="43"/>
  <c r="BV129" i="43"/>
  <c r="BU129" i="43"/>
  <c r="BR129" i="43"/>
  <c r="BQ129" i="43"/>
  <c r="BP129" i="43"/>
  <c r="BO129" i="43"/>
  <c r="BN129" i="43"/>
  <c r="BM129" i="43"/>
  <c r="BL129" i="43"/>
  <c r="BZ128" i="43"/>
  <c r="BY128" i="43"/>
  <c r="BX128" i="43"/>
  <c r="BW128" i="43"/>
  <c r="BV128" i="43"/>
  <c r="BU128" i="43"/>
  <c r="BR128" i="43"/>
  <c r="BQ128" i="43"/>
  <c r="BP128" i="43"/>
  <c r="BO128" i="43"/>
  <c r="BN128" i="43"/>
  <c r="BM128" i="43"/>
  <c r="BL128" i="43"/>
  <c r="BU127" i="43"/>
  <c r="BO127" i="43"/>
  <c r="BM127" i="43"/>
  <c r="BL127" i="43"/>
  <c r="BZ126" i="43"/>
  <c r="BY126" i="43"/>
  <c r="BX126" i="43"/>
  <c r="BW126" i="43"/>
  <c r="BV126" i="43"/>
  <c r="BR126" i="43"/>
  <c r="BQ126" i="43"/>
  <c r="BP126" i="43"/>
  <c r="BO126" i="43"/>
  <c r="BN126" i="43"/>
  <c r="BM126" i="43"/>
  <c r="BL126" i="43"/>
  <c r="BU126" i="43" s="1"/>
  <c r="BO124" i="43"/>
  <c r="BM124" i="43"/>
  <c r="BL124" i="43"/>
  <c r="BU124" i="43" s="1"/>
  <c r="BO123" i="43"/>
  <c r="BM123" i="43"/>
  <c r="BL123" i="43"/>
  <c r="BU123" i="43" s="1"/>
  <c r="BO122" i="43"/>
  <c r="BM122" i="43"/>
  <c r="BV121" i="43"/>
  <c r="BO121" i="43"/>
  <c r="BM121" i="43"/>
  <c r="BL121" i="43"/>
  <c r="BU121" i="43" s="1"/>
  <c r="BO119" i="43"/>
  <c r="BM119" i="43"/>
  <c r="BL119" i="43"/>
  <c r="BU119" i="43" s="1"/>
  <c r="BU117" i="43"/>
  <c r="BO117" i="43"/>
  <c r="BM117" i="43"/>
  <c r="BL117" i="43"/>
  <c r="BU115" i="43"/>
  <c r="BO115" i="43"/>
  <c r="BM115" i="43"/>
  <c r="BL115" i="43"/>
  <c r="BO114" i="43"/>
  <c r="BM114" i="43"/>
  <c r="BL114" i="43"/>
  <c r="BU114" i="43" s="1"/>
  <c r="BO113" i="43"/>
  <c r="BM113" i="43"/>
  <c r="BL113" i="43"/>
  <c r="BU113" i="43" s="1"/>
  <c r="BU111" i="43"/>
  <c r="BO111" i="43"/>
  <c r="BM111" i="43"/>
  <c r="BL111" i="43"/>
  <c r="BU110" i="43"/>
  <c r="BO110" i="43"/>
  <c r="BM110" i="43"/>
  <c r="BL110" i="43"/>
  <c r="BU108" i="43"/>
  <c r="BO108" i="43"/>
  <c r="BM108" i="43"/>
  <c r="BL108" i="43"/>
  <c r="BO107" i="43"/>
  <c r="BM107" i="43"/>
  <c r="BL107" i="43"/>
  <c r="BU107" i="43" s="1"/>
  <c r="BO106" i="43"/>
  <c r="BM106" i="43"/>
  <c r="BL106" i="43"/>
  <c r="BU106" i="43" s="1"/>
  <c r="BO104" i="43"/>
  <c r="BM104" i="43"/>
  <c r="BL104" i="43"/>
  <c r="BU104" i="43" s="1"/>
  <c r="BU102" i="43"/>
  <c r="BO102" i="43"/>
  <c r="BM102" i="43"/>
  <c r="BL102" i="43"/>
  <c r="BZ101" i="43"/>
  <c r="BY101" i="43"/>
  <c r="BX101" i="43"/>
  <c r="BW101" i="43"/>
  <c r="BV101" i="43"/>
  <c r="BU101" i="43"/>
  <c r="BR101" i="43"/>
  <c r="BQ101" i="43"/>
  <c r="BP101" i="43"/>
  <c r="BO101" i="43"/>
  <c r="BM101" i="43"/>
  <c r="BL101" i="43"/>
  <c r="BO99" i="43"/>
  <c r="BM99" i="43"/>
  <c r="BL99" i="43"/>
  <c r="BU99" i="43" s="1"/>
  <c r="BO98" i="43"/>
  <c r="BM98" i="43"/>
  <c r="BL98" i="43"/>
  <c r="BU98" i="43" s="1"/>
  <c r="BO97" i="43"/>
  <c r="BM97" i="43"/>
  <c r="BL97" i="43"/>
  <c r="BU97" i="43" s="1"/>
  <c r="BU96" i="43"/>
  <c r="BO96" i="43"/>
  <c r="BM96" i="43"/>
  <c r="BL96" i="43"/>
  <c r="BZ95" i="43"/>
  <c r="BY95" i="43"/>
  <c r="BX95" i="43"/>
  <c r="BW95" i="43"/>
  <c r="BV95" i="43"/>
  <c r="BU95" i="43"/>
  <c r="BR95" i="43"/>
  <c r="BQ95" i="43"/>
  <c r="BP95" i="43"/>
  <c r="BO95" i="43"/>
  <c r="BN95" i="43"/>
  <c r="BM95" i="43"/>
  <c r="BL95" i="43"/>
  <c r="BZ94" i="43"/>
  <c r="BY94" i="43"/>
  <c r="BX94" i="43"/>
  <c r="BW94" i="43"/>
  <c r="BV94" i="43"/>
  <c r="BR94" i="43"/>
  <c r="BQ94" i="43"/>
  <c r="BP94" i="43"/>
  <c r="BO94" i="43"/>
  <c r="BN94" i="43"/>
  <c r="BM94" i="43"/>
  <c r="BL94" i="43"/>
  <c r="BU94" i="43" s="1"/>
  <c r="BZ93" i="43"/>
  <c r="BY93" i="43"/>
  <c r="BX93" i="43"/>
  <c r="BW93" i="43"/>
  <c r="BV93" i="43"/>
  <c r="BR93" i="43"/>
  <c r="BQ93" i="43"/>
  <c r="BP93" i="43"/>
  <c r="BO93" i="43"/>
  <c r="BN93" i="43"/>
  <c r="BM93" i="43"/>
  <c r="BL93" i="43"/>
  <c r="BU93" i="43" s="1"/>
  <c r="BZ92" i="43"/>
  <c r="BY92" i="43"/>
  <c r="BX92" i="43"/>
  <c r="BW92" i="43"/>
  <c r="BV92" i="43"/>
  <c r="BR92" i="43"/>
  <c r="BQ92" i="43"/>
  <c r="BP92" i="43"/>
  <c r="BO92" i="43"/>
  <c r="BN92" i="43"/>
  <c r="BM92" i="43"/>
  <c r="BL92" i="43"/>
  <c r="BU92" i="43" s="1"/>
  <c r="BZ91" i="43"/>
  <c r="BY91" i="43"/>
  <c r="BX91" i="43"/>
  <c r="BW91" i="43"/>
  <c r="BV91" i="43"/>
  <c r="BU91" i="43"/>
  <c r="BR91" i="43"/>
  <c r="BQ91" i="43"/>
  <c r="BP91" i="43"/>
  <c r="BO91" i="43"/>
  <c r="BN91" i="43"/>
  <c r="BM91" i="43"/>
  <c r="BL91" i="43"/>
  <c r="BZ90" i="43"/>
  <c r="BY90" i="43"/>
  <c r="BX90" i="43"/>
  <c r="BW90" i="43"/>
  <c r="BV90" i="43"/>
  <c r="BU90" i="43"/>
  <c r="BR90" i="43"/>
  <c r="BQ90" i="43"/>
  <c r="BP90" i="43"/>
  <c r="BO90" i="43"/>
  <c r="BN90" i="43"/>
  <c r="BM90" i="43"/>
  <c r="BL90" i="43"/>
  <c r="BO89" i="43"/>
  <c r="BM89" i="43"/>
  <c r="BL89" i="43"/>
  <c r="BO88" i="43"/>
  <c r="BM88" i="43"/>
  <c r="BB80" i="43"/>
  <c r="AZ80" i="43"/>
  <c r="AV80" i="43"/>
  <c r="AT80" i="43"/>
  <c r="AS80" i="43"/>
  <c r="AZ79" i="43"/>
  <c r="AV79" i="43"/>
  <c r="AT79" i="43"/>
  <c r="AS79" i="43"/>
  <c r="BB79" i="43" s="1"/>
  <c r="AZ78" i="43"/>
  <c r="AV78" i="43"/>
  <c r="AT78" i="43"/>
  <c r="AZ77" i="43"/>
  <c r="AU77" i="43"/>
  <c r="AS77" i="43"/>
  <c r="BB77" i="43" s="1"/>
  <c r="AZ75" i="43"/>
  <c r="AV75" i="43"/>
  <c r="AT75" i="43"/>
  <c r="AS75" i="43"/>
  <c r="BB75" i="43" s="1"/>
  <c r="AZ73" i="43"/>
  <c r="AV73" i="43"/>
  <c r="AT73" i="43"/>
  <c r="AS73" i="43"/>
  <c r="BB73" i="43" s="1"/>
  <c r="BB71" i="43"/>
  <c r="AZ71" i="43"/>
  <c r="AV71" i="43"/>
  <c r="AT71" i="43"/>
  <c r="AS71" i="43"/>
  <c r="BB70" i="43"/>
  <c r="AZ70" i="43"/>
  <c r="AV70" i="43"/>
  <c r="AT70" i="43"/>
  <c r="AS70" i="43"/>
  <c r="BB69" i="43"/>
  <c r="AZ69" i="43"/>
  <c r="AV69" i="43"/>
  <c r="AT69" i="43"/>
  <c r="AS69" i="43"/>
  <c r="BB67" i="43"/>
  <c r="AZ67" i="43"/>
  <c r="AV67" i="43"/>
  <c r="AT67" i="43"/>
  <c r="AS67" i="43"/>
  <c r="AZ66" i="43"/>
  <c r="AV66" i="43"/>
  <c r="AT66" i="43"/>
  <c r="AS66" i="43"/>
  <c r="BB66" i="43" s="1"/>
  <c r="AZ64" i="43"/>
  <c r="AV64" i="43"/>
  <c r="AT64" i="43"/>
  <c r="AS64" i="43"/>
  <c r="BB64" i="43" s="1"/>
  <c r="BB63" i="43"/>
  <c r="AZ63" i="43"/>
  <c r="AV63" i="43"/>
  <c r="AT63" i="43"/>
  <c r="AS63" i="43"/>
  <c r="BB62" i="43"/>
  <c r="AZ62" i="43"/>
  <c r="AV62" i="43"/>
  <c r="AT62" i="43"/>
  <c r="AS62" i="43"/>
  <c r="AZ60" i="43"/>
  <c r="AV60" i="43"/>
  <c r="AT60" i="43"/>
  <c r="AS60" i="43"/>
  <c r="BB60" i="43" s="1"/>
  <c r="AZ58" i="43"/>
  <c r="AV58" i="43"/>
  <c r="AT58" i="43"/>
  <c r="AS58" i="43"/>
  <c r="BB58" i="43" s="1"/>
  <c r="BF57" i="43"/>
  <c r="BE57" i="43"/>
  <c r="BD57" i="43"/>
  <c r="BC57" i="43"/>
  <c r="AZ57" i="43"/>
  <c r="AY57" i="43"/>
  <c r="AX57" i="43"/>
  <c r="AW57" i="43"/>
  <c r="AV57" i="43"/>
  <c r="AT57" i="43"/>
  <c r="AS57" i="43"/>
  <c r="BB57" i="43" s="1"/>
  <c r="BB55" i="43"/>
  <c r="AZ55" i="43"/>
  <c r="AV55" i="43"/>
  <c r="AT55" i="43"/>
  <c r="AS55" i="43"/>
  <c r="BB54" i="43"/>
  <c r="AZ54" i="43"/>
  <c r="AV54" i="43"/>
  <c r="AT54" i="43"/>
  <c r="AS54" i="43"/>
  <c r="AZ53" i="43"/>
  <c r="AV53" i="43"/>
  <c r="AT53" i="43"/>
  <c r="AL38" i="43"/>
  <c r="AJ38" i="43"/>
  <c r="AH38" i="43"/>
  <c r="AG38" i="43"/>
  <c r="AF38" i="43"/>
  <c r="AE38" i="43"/>
  <c r="AD38" i="43"/>
  <c r="AC38" i="43"/>
  <c r="AB38" i="43"/>
  <c r="AA38" i="43"/>
  <c r="Z38" i="43"/>
  <c r="Y38" i="43"/>
  <c r="X38" i="43"/>
  <c r="W38" i="43"/>
  <c r="V38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E38" i="43"/>
  <c r="D38" i="43"/>
  <c r="AL37" i="43"/>
  <c r="AJ37" i="43"/>
  <c r="AH37" i="43"/>
  <c r="AG37" i="43"/>
  <c r="AF37" i="43"/>
  <c r="AE37" i="43"/>
  <c r="AD37" i="43"/>
  <c r="AC37" i="43"/>
  <c r="AB37" i="43"/>
  <c r="AA37" i="43"/>
  <c r="Z37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AG35" i="43"/>
  <c r="AF35" i="43"/>
  <c r="AD35" i="43"/>
  <c r="AC35" i="43"/>
  <c r="AA35" i="43"/>
  <c r="Z35" i="43"/>
  <c r="X35" i="43"/>
  <c r="W35" i="43"/>
  <c r="U35" i="43"/>
  <c r="T35" i="43"/>
  <c r="R35" i="43"/>
  <c r="Q35" i="43"/>
  <c r="O35" i="43"/>
  <c r="N35" i="43"/>
  <c r="L35" i="43"/>
  <c r="K35" i="43"/>
  <c r="I35" i="43"/>
  <c r="H35" i="43"/>
  <c r="G35" i="43"/>
  <c r="F35" i="43"/>
  <c r="E35" i="43"/>
  <c r="D35" i="43"/>
  <c r="AG34" i="43"/>
  <c r="AF34" i="43"/>
  <c r="AD34" i="43"/>
  <c r="AC34" i="43"/>
  <c r="AA34" i="43"/>
  <c r="Z34" i="43"/>
  <c r="X34" i="43"/>
  <c r="W34" i="43"/>
  <c r="U34" i="43"/>
  <c r="T34" i="43"/>
  <c r="R34" i="43"/>
  <c r="Q34" i="43"/>
  <c r="O34" i="43"/>
  <c r="N34" i="43"/>
  <c r="L34" i="43"/>
  <c r="K34" i="43"/>
  <c r="I34" i="43"/>
  <c r="H34" i="43"/>
  <c r="G34" i="43"/>
  <c r="F34" i="43"/>
  <c r="E34" i="43"/>
  <c r="D34" i="43"/>
  <c r="AG33" i="43"/>
  <c r="AF33" i="43"/>
  <c r="AD33" i="43"/>
  <c r="AC33" i="43"/>
  <c r="AA33" i="43"/>
  <c r="Z33" i="43"/>
  <c r="X33" i="43"/>
  <c r="W33" i="43"/>
  <c r="U33" i="43"/>
  <c r="T33" i="43"/>
  <c r="R33" i="43"/>
  <c r="Q33" i="43"/>
  <c r="O33" i="43"/>
  <c r="N33" i="43"/>
  <c r="L33" i="43"/>
  <c r="K33" i="43"/>
  <c r="I33" i="43"/>
  <c r="H33" i="43"/>
  <c r="G33" i="43"/>
  <c r="F33" i="43"/>
  <c r="E33" i="43"/>
  <c r="D33" i="43"/>
  <c r="AG32" i="43"/>
  <c r="AF32" i="43"/>
  <c r="AD32" i="43"/>
  <c r="AC32" i="43"/>
  <c r="AA32" i="43"/>
  <c r="Z32" i="43"/>
  <c r="X32" i="43"/>
  <c r="W32" i="43"/>
  <c r="U32" i="43"/>
  <c r="T32" i="43"/>
  <c r="R32" i="43"/>
  <c r="Q32" i="43"/>
  <c r="O32" i="43"/>
  <c r="N32" i="43"/>
  <c r="L32" i="43"/>
  <c r="K32" i="43"/>
  <c r="I32" i="43"/>
  <c r="H32" i="43"/>
  <c r="G32" i="43"/>
  <c r="F32" i="43"/>
  <c r="E32" i="43"/>
  <c r="D32" i="43"/>
  <c r="AG31" i="43"/>
  <c r="AF31" i="43"/>
  <c r="AD31" i="43"/>
  <c r="AC31" i="43"/>
  <c r="AA31" i="43"/>
  <c r="Z31" i="43"/>
  <c r="X31" i="43"/>
  <c r="W31" i="43"/>
  <c r="U31" i="43"/>
  <c r="T31" i="43"/>
  <c r="R31" i="43"/>
  <c r="Q31" i="43"/>
  <c r="O31" i="43"/>
  <c r="N31" i="43"/>
  <c r="L31" i="43"/>
  <c r="K31" i="43"/>
  <c r="I31" i="43"/>
  <c r="H31" i="43"/>
  <c r="G31" i="43"/>
  <c r="F31" i="43"/>
  <c r="E31" i="43"/>
  <c r="D31" i="43"/>
  <c r="AG30" i="43"/>
  <c r="AF30" i="43"/>
  <c r="AD30" i="43"/>
  <c r="AC30" i="43"/>
  <c r="AA30" i="43"/>
  <c r="Z30" i="43"/>
  <c r="X30" i="43"/>
  <c r="W30" i="43"/>
  <c r="U30" i="43"/>
  <c r="T30" i="43"/>
  <c r="R30" i="43"/>
  <c r="Q30" i="43"/>
  <c r="O30" i="43"/>
  <c r="N30" i="43"/>
  <c r="L30" i="43"/>
  <c r="K30" i="43"/>
  <c r="I30" i="43"/>
  <c r="H30" i="43"/>
  <c r="G30" i="43"/>
  <c r="F30" i="43"/>
  <c r="E30" i="43"/>
  <c r="D30" i="43"/>
  <c r="AG29" i="43"/>
  <c r="AF29" i="43"/>
  <c r="AD29" i="43"/>
  <c r="AC29" i="43"/>
  <c r="AA29" i="43"/>
  <c r="Z29" i="43"/>
  <c r="X29" i="43"/>
  <c r="W29" i="43"/>
  <c r="U29" i="43"/>
  <c r="T29" i="43"/>
  <c r="R29" i="43"/>
  <c r="Q29" i="43"/>
  <c r="O29" i="43"/>
  <c r="N29" i="43"/>
  <c r="L29" i="43"/>
  <c r="K29" i="43"/>
  <c r="I29" i="43"/>
  <c r="H29" i="43"/>
  <c r="G29" i="43"/>
  <c r="F29" i="43"/>
  <c r="E29" i="43"/>
  <c r="D29" i="43"/>
  <c r="AG28" i="43"/>
  <c r="AF28" i="43"/>
  <c r="AD28" i="43"/>
  <c r="AC28" i="43"/>
  <c r="AA28" i="43"/>
  <c r="Z28" i="43"/>
  <c r="X28" i="43"/>
  <c r="W28" i="43"/>
  <c r="U28" i="43"/>
  <c r="T28" i="43"/>
  <c r="R28" i="43"/>
  <c r="Q28" i="43"/>
  <c r="O28" i="43"/>
  <c r="N28" i="43"/>
  <c r="L28" i="43"/>
  <c r="K28" i="43"/>
  <c r="I28" i="43"/>
  <c r="H28" i="43"/>
  <c r="G28" i="43"/>
  <c r="F28" i="43"/>
  <c r="E28" i="43"/>
  <c r="D28" i="43"/>
  <c r="AG27" i="43"/>
  <c r="AF27" i="43"/>
  <c r="AD27" i="43"/>
  <c r="AC27" i="43"/>
  <c r="AA27" i="43"/>
  <c r="Z27" i="43"/>
  <c r="X27" i="43"/>
  <c r="W27" i="43"/>
  <c r="U27" i="43"/>
  <c r="T27" i="43"/>
  <c r="R27" i="43"/>
  <c r="Q27" i="43"/>
  <c r="O27" i="43"/>
  <c r="N27" i="43"/>
  <c r="L27" i="43"/>
  <c r="K27" i="43"/>
  <c r="I27" i="43"/>
  <c r="H27" i="43"/>
  <c r="G27" i="43"/>
  <c r="F27" i="43"/>
  <c r="E27" i="43"/>
  <c r="D27" i="43"/>
  <c r="AG26" i="43"/>
  <c r="AF26" i="43"/>
  <c r="AD26" i="43"/>
  <c r="AC26" i="43"/>
  <c r="AA26" i="43"/>
  <c r="Z26" i="43"/>
  <c r="X26" i="43"/>
  <c r="W26" i="43"/>
  <c r="U26" i="43"/>
  <c r="T26" i="43"/>
  <c r="R26" i="43"/>
  <c r="Q26" i="43"/>
  <c r="O26" i="43"/>
  <c r="N26" i="43"/>
  <c r="L26" i="43"/>
  <c r="K26" i="43"/>
  <c r="I26" i="43"/>
  <c r="H26" i="43"/>
  <c r="G26" i="43"/>
  <c r="F26" i="43"/>
  <c r="E26" i="43"/>
  <c r="D26" i="43"/>
  <c r="AG25" i="43"/>
  <c r="AF25" i="43"/>
  <c r="AD25" i="43"/>
  <c r="AC25" i="43"/>
  <c r="AA25" i="43"/>
  <c r="Z25" i="43"/>
  <c r="X25" i="43"/>
  <c r="W25" i="43"/>
  <c r="U25" i="43"/>
  <c r="T25" i="43"/>
  <c r="R25" i="43"/>
  <c r="Q25" i="43"/>
  <c r="O25" i="43"/>
  <c r="N25" i="43"/>
  <c r="L25" i="43"/>
  <c r="K25" i="43"/>
  <c r="I25" i="43"/>
  <c r="H25" i="43"/>
  <c r="G25" i="43"/>
  <c r="F25" i="43"/>
  <c r="E25" i="43"/>
  <c r="D25" i="43"/>
  <c r="AG24" i="43"/>
  <c r="AF24" i="43"/>
  <c r="AD24" i="43"/>
  <c r="AC24" i="43"/>
  <c r="AA24" i="43"/>
  <c r="Z24" i="43"/>
  <c r="X24" i="43"/>
  <c r="W24" i="43"/>
  <c r="U24" i="43"/>
  <c r="T24" i="43"/>
  <c r="R24" i="43"/>
  <c r="Q24" i="43"/>
  <c r="O24" i="43"/>
  <c r="N24" i="43"/>
  <c r="L24" i="43"/>
  <c r="K24" i="43"/>
  <c r="I24" i="43"/>
  <c r="H24" i="43"/>
  <c r="G24" i="43"/>
  <c r="F24" i="43"/>
  <c r="E24" i="43"/>
  <c r="D24" i="43"/>
  <c r="AG23" i="43"/>
  <c r="AF23" i="43"/>
  <c r="AD23" i="43"/>
  <c r="AC23" i="43"/>
  <c r="AA23" i="43"/>
  <c r="Z23" i="43"/>
  <c r="X23" i="43"/>
  <c r="W23" i="43"/>
  <c r="U23" i="43"/>
  <c r="T23" i="43"/>
  <c r="R23" i="43"/>
  <c r="Q23" i="43"/>
  <c r="O23" i="43"/>
  <c r="N23" i="43"/>
  <c r="L23" i="43"/>
  <c r="K23" i="43"/>
  <c r="I23" i="43"/>
  <c r="H23" i="43"/>
  <c r="G23" i="43"/>
  <c r="F23" i="43"/>
  <c r="E23" i="43"/>
  <c r="D23" i="43"/>
  <c r="AG22" i="43"/>
  <c r="AF22" i="43"/>
  <c r="AD22" i="43"/>
  <c r="AC22" i="43"/>
  <c r="AA22" i="43"/>
  <c r="Z22" i="43"/>
  <c r="X22" i="43"/>
  <c r="W22" i="43"/>
  <c r="U22" i="43"/>
  <c r="T22" i="43"/>
  <c r="R22" i="43"/>
  <c r="Q22" i="43"/>
  <c r="O22" i="43"/>
  <c r="N22" i="43"/>
  <c r="L22" i="43"/>
  <c r="K22" i="43"/>
  <c r="I22" i="43"/>
  <c r="H22" i="43"/>
  <c r="G22" i="43"/>
  <c r="F22" i="43"/>
  <c r="E22" i="43"/>
  <c r="D22" i="43"/>
  <c r="AG21" i="43"/>
  <c r="AF21" i="43"/>
  <c r="AD21" i="43"/>
  <c r="AC21" i="43"/>
  <c r="AA21" i="43"/>
  <c r="Z21" i="43"/>
  <c r="X21" i="43"/>
  <c r="W21" i="43"/>
  <c r="U21" i="43"/>
  <c r="T21" i="43"/>
  <c r="R21" i="43"/>
  <c r="Q21" i="43"/>
  <c r="O21" i="43"/>
  <c r="N21" i="43"/>
  <c r="L21" i="43"/>
  <c r="K21" i="43"/>
  <c r="I21" i="43"/>
  <c r="H21" i="43"/>
  <c r="G21" i="43"/>
  <c r="F21" i="43"/>
  <c r="E21" i="43"/>
  <c r="D21" i="43"/>
  <c r="AM19" i="43"/>
  <c r="AL19" i="43"/>
  <c r="AG19" i="43"/>
  <c r="AF19" i="43"/>
  <c r="AH19" i="43" s="1"/>
  <c r="AD19" i="43"/>
  <c r="AC19" i="43"/>
  <c r="AE19" i="43" s="1"/>
  <c r="AA19" i="43"/>
  <c r="Z19" i="43"/>
  <c r="AB19" i="43" s="1"/>
  <c r="X19" i="43"/>
  <c r="W19" i="43"/>
  <c r="Y19" i="43" s="1"/>
  <c r="U19" i="43"/>
  <c r="T19" i="43"/>
  <c r="V19" i="43" s="1"/>
  <c r="R19" i="43"/>
  <c r="Q19" i="43"/>
  <c r="S19" i="43" s="1"/>
  <c r="O19" i="43"/>
  <c r="N19" i="43"/>
  <c r="P19" i="43" s="1"/>
  <c r="L19" i="43"/>
  <c r="K19" i="43"/>
  <c r="M19" i="43" s="1"/>
  <c r="I19" i="43"/>
  <c r="H19" i="43"/>
  <c r="J19" i="43" s="1"/>
  <c r="D19" i="43"/>
  <c r="AM18" i="43"/>
  <c r="AL18" i="43"/>
  <c r="AG18" i="43"/>
  <c r="AF18" i="43"/>
  <c r="AH18" i="43" s="1"/>
  <c r="AD18" i="43"/>
  <c r="AC18" i="43"/>
  <c r="AE18" i="43" s="1"/>
  <c r="AA18" i="43"/>
  <c r="Z18" i="43"/>
  <c r="AB18" i="43" s="1"/>
  <c r="X18" i="43"/>
  <c r="W18" i="43"/>
  <c r="Y18" i="43" s="1"/>
  <c r="U18" i="43"/>
  <c r="T18" i="43"/>
  <c r="V18" i="43" s="1"/>
  <c r="R18" i="43"/>
  <c r="Q18" i="43"/>
  <c r="S18" i="43" s="1"/>
  <c r="O18" i="43"/>
  <c r="N18" i="43"/>
  <c r="P18" i="43" s="1"/>
  <c r="L18" i="43"/>
  <c r="K18" i="43"/>
  <c r="M18" i="43" s="1"/>
  <c r="I18" i="43"/>
  <c r="H18" i="43"/>
  <c r="J18" i="43" s="1"/>
  <c r="D18" i="43"/>
  <c r="AM17" i="43"/>
  <c r="AL17" i="43"/>
  <c r="D17" i="43"/>
  <c r="AM16" i="43"/>
  <c r="AL16" i="43"/>
  <c r="AJ16" i="43"/>
  <c r="G16" i="43"/>
  <c r="F16" i="43"/>
  <c r="E16" i="43"/>
  <c r="AF15" i="43"/>
  <c r="AC15" i="43"/>
  <c r="Z15" i="43"/>
  <c r="W15" i="43"/>
  <c r="T15" i="43"/>
  <c r="Q15" i="43"/>
  <c r="N15" i="43"/>
  <c r="K15" i="43"/>
  <c r="H15" i="43"/>
  <c r="AF14" i="43"/>
  <c r="AF42" i="43" s="1"/>
  <c r="AC14" i="43"/>
  <c r="AC42" i="43" s="1"/>
  <c r="AE42" i="43" s="1"/>
  <c r="Z14" i="43"/>
  <c r="Z42" i="43" s="1"/>
  <c r="AB42" i="43" s="1"/>
  <c r="W14" i="43"/>
  <c r="W42" i="43" s="1"/>
  <c r="Y42" i="43" s="1"/>
  <c r="T14" i="43"/>
  <c r="T42" i="43" s="1"/>
  <c r="V42" i="43" s="1"/>
  <c r="Q14" i="43"/>
  <c r="Q42" i="43" s="1"/>
  <c r="S42" i="43" s="1"/>
  <c r="N14" i="43"/>
  <c r="N42" i="43" s="1"/>
  <c r="P42" i="43" s="1"/>
  <c r="K14" i="43"/>
  <c r="K42" i="43" s="1"/>
  <c r="M42" i="43" s="1"/>
  <c r="H14" i="43"/>
  <c r="H42" i="43" s="1"/>
  <c r="J42" i="43" s="1"/>
  <c r="D12" i="43"/>
  <c r="H11" i="43"/>
  <c r="H10" i="43"/>
  <c r="D10" i="43"/>
  <c r="H9" i="43"/>
  <c r="H8" i="43"/>
  <c r="D8" i="43"/>
  <c r="C2" i="43"/>
  <c r="C66" i="39"/>
  <c r="C65" i="39"/>
  <c r="C64" i="39"/>
  <c r="C63" i="39"/>
  <c r="D62" i="39"/>
  <c r="AQ39" i="39"/>
  <c r="AQ38" i="39"/>
  <c r="AQ37" i="39"/>
  <c r="AQ36" i="39"/>
  <c r="AQ35" i="39"/>
  <c r="U34" i="39"/>
  <c r="AQ14" i="39"/>
  <c r="AQ13" i="39"/>
  <c r="AQ12" i="39"/>
  <c r="AQ11" i="39"/>
  <c r="AQ10" i="39"/>
  <c r="U9" i="39"/>
  <c r="S9" i="39"/>
  <c r="C2" i="39"/>
  <c r="N29" i="12"/>
  <c r="L29" i="12"/>
  <c r="I29" i="12"/>
  <c r="K29" i="12" s="1"/>
  <c r="C29" i="12"/>
  <c r="E29" i="12" s="1"/>
  <c r="C28" i="12"/>
  <c r="C27" i="12"/>
  <c r="G27" i="12" s="1"/>
  <c r="L26" i="12"/>
  <c r="I26" i="12"/>
  <c r="K26" i="12" s="1"/>
  <c r="C26" i="12"/>
  <c r="N26" i="12" s="1"/>
  <c r="C25" i="12"/>
  <c r="C24" i="12"/>
  <c r="C23" i="12"/>
  <c r="N22" i="12"/>
  <c r="L22" i="12"/>
  <c r="I22" i="12"/>
  <c r="K22" i="12" s="1"/>
  <c r="H22" i="12"/>
  <c r="G22" i="12"/>
  <c r="F22" i="12"/>
  <c r="C22" i="12"/>
  <c r="E22" i="12" s="1"/>
  <c r="C21" i="12"/>
  <c r="F21" i="12" s="1"/>
  <c r="C20" i="12"/>
  <c r="H20" i="12" s="1"/>
  <c r="C19" i="12"/>
  <c r="N18" i="12"/>
  <c r="L18" i="12"/>
  <c r="I18" i="12"/>
  <c r="K18" i="12" s="1"/>
  <c r="C18" i="12"/>
  <c r="H18" i="12" s="1"/>
  <c r="C17" i="12"/>
  <c r="N17" i="12" s="1"/>
  <c r="J42" i="11"/>
  <c r="J41" i="11"/>
  <c r="J40" i="11"/>
  <c r="J39" i="11"/>
  <c r="J37" i="11"/>
  <c r="D37" i="11"/>
  <c r="J22" i="11"/>
  <c r="D22" i="11"/>
  <c r="E22" i="11" s="1"/>
  <c r="J21" i="11"/>
  <c r="D21" i="11"/>
  <c r="E21" i="11" s="1"/>
  <c r="J20" i="11"/>
  <c r="E20" i="11"/>
  <c r="D20" i="11"/>
  <c r="J19" i="11"/>
  <c r="D19" i="11"/>
  <c r="E19" i="11" s="1"/>
  <c r="J18" i="11"/>
  <c r="D18" i="11"/>
  <c r="E18" i="11" s="1"/>
  <c r="J17" i="11"/>
  <c r="D17" i="11"/>
  <c r="E17" i="11" s="1"/>
  <c r="J16" i="11"/>
  <c r="D16" i="11"/>
  <c r="E16" i="11" s="1"/>
  <c r="J15" i="11"/>
  <c r="D15" i="11"/>
  <c r="E15" i="11" s="1"/>
  <c r="J14" i="11"/>
  <c r="E14" i="11"/>
  <c r="D14" i="11"/>
  <c r="J13" i="11"/>
  <c r="D13" i="11"/>
  <c r="E13" i="11" s="1"/>
  <c r="J12" i="11"/>
  <c r="D12" i="11"/>
  <c r="E12" i="11" s="1"/>
  <c r="J11" i="11"/>
  <c r="D11" i="11"/>
  <c r="E11" i="11" s="1"/>
  <c r="J10" i="11"/>
  <c r="C14" i="12"/>
  <c r="D10" i="11"/>
  <c r="C15" i="12"/>
  <c r="C10" i="12"/>
  <c r="C12" i="12"/>
  <c r="C13" i="12"/>
  <c r="C16" i="12"/>
  <c r="C11" i="12"/>
  <c r="AJ37" i="4" l="1"/>
  <c r="AJ33" i="4"/>
  <c r="U32" i="4"/>
  <c r="T32" i="4"/>
  <c r="U28" i="4"/>
  <c r="T28" i="4"/>
  <c r="AC37" i="4"/>
  <c r="T39" i="4"/>
  <c r="AS38" i="4"/>
  <c r="U35" i="4"/>
  <c r="AR38" i="4"/>
  <c r="AB35" i="4"/>
  <c r="AC40" i="4"/>
  <c r="U31" i="4"/>
  <c r="AB31" i="4"/>
  <c r="AK29" i="4"/>
  <c r="AB27" i="4"/>
  <c r="AB36" i="4"/>
  <c r="AS30" i="4"/>
  <c r="AR26" i="4"/>
  <c r="AR30" i="4"/>
  <c r="AC36" i="4"/>
  <c r="AJ29" i="4"/>
  <c r="AK33" i="4"/>
  <c r="AB40" i="4"/>
  <c r="AS34" i="4"/>
  <c r="U27" i="4"/>
  <c r="AR34" i="4"/>
  <c r="AS26" i="4"/>
  <c r="U39" i="4"/>
  <c r="U40" i="43"/>
  <c r="R40" i="43"/>
  <c r="X40" i="43"/>
  <c r="E40" i="43"/>
  <c r="N40" i="43"/>
  <c r="F20" i="12"/>
  <c r="G20" i="12"/>
  <c r="N23" i="12"/>
  <c r="F23" i="12"/>
  <c r="E20" i="12"/>
  <c r="N20" i="12"/>
  <c r="L20" i="12"/>
  <c r="I20" i="12"/>
  <c r="K20" i="12" s="1"/>
  <c r="H27" i="12"/>
  <c r="L27" i="12"/>
  <c r="G28" i="12"/>
  <c r="I28" i="12"/>
  <c r="K28" i="12" s="1"/>
  <c r="H28" i="12"/>
  <c r="F28" i="12"/>
  <c r="I27" i="12"/>
  <c r="K27" i="12" s="1"/>
  <c r="N27" i="12"/>
  <c r="E23" i="12"/>
  <c r="E21" i="12"/>
  <c r="L17" i="12"/>
  <c r="E26" i="12"/>
  <c r="F29" i="12"/>
  <c r="G26" i="12"/>
  <c r="G29" i="12"/>
  <c r="E18" i="12"/>
  <c r="H26" i="12"/>
  <c r="H29" i="12"/>
  <c r="N19" i="12"/>
  <c r="L19" i="12"/>
  <c r="H19" i="12"/>
  <c r="E19" i="12"/>
  <c r="I19" i="12"/>
  <c r="K19" i="12" s="1"/>
  <c r="G19" i="12"/>
  <c r="F19" i="12"/>
  <c r="H40" i="43"/>
  <c r="O40" i="43"/>
  <c r="N24" i="12"/>
  <c r="L24" i="12"/>
  <c r="I24" i="12"/>
  <c r="K24" i="12" s="1"/>
  <c r="F24" i="12"/>
  <c r="H24" i="12"/>
  <c r="G24" i="12"/>
  <c r="N21" i="12"/>
  <c r="L21" i="12"/>
  <c r="I21" i="12"/>
  <c r="K21" i="12" s="1"/>
  <c r="G21" i="12"/>
  <c r="H21" i="12"/>
  <c r="E24" i="12"/>
  <c r="W40" i="43"/>
  <c r="L40" i="43"/>
  <c r="S34" i="39"/>
  <c r="G40" i="43"/>
  <c r="AA40" i="43"/>
  <c r="K37" i="11"/>
  <c r="E37" i="11"/>
  <c r="Z40" i="43"/>
  <c r="F40" i="43"/>
  <c r="J24" i="11"/>
  <c r="AD40" i="43"/>
  <c r="AF40" i="43"/>
  <c r="J25" i="11"/>
  <c r="G17" i="12"/>
  <c r="I40" i="43"/>
  <c r="AC40" i="43"/>
  <c r="E17" i="12"/>
  <c r="F17" i="12"/>
  <c r="K40" i="43"/>
  <c r="H17" i="12"/>
  <c r="I17" i="12"/>
  <c r="K17" i="12" s="1"/>
  <c r="F26" i="12"/>
  <c r="J27" i="11"/>
  <c r="AG40" i="43"/>
  <c r="I25" i="12"/>
  <c r="K25" i="12" s="1"/>
  <c r="F25" i="12"/>
  <c r="H25" i="12"/>
  <c r="G25" i="12"/>
  <c r="E25" i="12"/>
  <c r="Q40" i="43"/>
  <c r="L25" i="12"/>
  <c r="N28" i="12"/>
  <c r="L28" i="12"/>
  <c r="J26" i="11"/>
  <c r="L23" i="12"/>
  <c r="I23" i="12"/>
  <c r="K23" i="12" s="1"/>
  <c r="H23" i="12"/>
  <c r="G23" i="12"/>
  <c r="N25" i="12"/>
  <c r="E28" i="12"/>
  <c r="T40" i="43"/>
  <c r="F18" i="12"/>
  <c r="E27" i="12"/>
  <c r="G18" i="12"/>
  <c r="F27" i="12"/>
  <c r="L12" i="12"/>
  <c r="I12" i="12"/>
  <c r="F11" i="12"/>
  <c r="G11" i="12"/>
  <c r="G13" i="12"/>
  <c r="E13" i="12"/>
  <c r="I10" i="12"/>
  <c r="F14" i="12"/>
  <c r="H15" i="12"/>
  <c r="F10" i="12"/>
  <c r="I14" i="12"/>
  <c r="H14" i="12"/>
  <c r="N15" i="12"/>
  <c r="N11" i="12"/>
  <c r="L10" i="12"/>
  <c r="E12" i="12"/>
  <c r="L11" i="12"/>
  <c r="E10" i="12"/>
  <c r="E11" i="12"/>
  <c r="G12" i="12"/>
  <c r="K10" i="11"/>
  <c r="L15" i="12"/>
  <c r="F16" i="12"/>
  <c r="H11" i="12"/>
  <c r="F13" i="12"/>
  <c r="E16" i="12"/>
  <c r="G14" i="12"/>
  <c r="E10" i="11"/>
  <c r="G15" i="12"/>
  <c r="H13" i="12"/>
  <c r="I13" i="12"/>
  <c r="G10" i="12"/>
  <c r="L16" i="12"/>
  <c r="H12" i="12"/>
  <c r="E14" i="12"/>
  <c r="G16" i="12"/>
  <c r="L14" i="12"/>
  <c r="I16" i="12"/>
  <c r="F15" i="12"/>
  <c r="I15" i="12"/>
  <c r="N12" i="12"/>
  <c r="H10" i="12"/>
  <c r="N14" i="12"/>
  <c r="L13" i="12"/>
  <c r="I11" i="12"/>
  <c r="H16" i="12"/>
  <c r="N13" i="12"/>
  <c r="F12" i="12"/>
  <c r="N16" i="12"/>
  <c r="E15" i="12"/>
  <c r="AS29" i="4" l="1"/>
  <c r="AB28" i="4"/>
  <c r="AS33" i="4"/>
  <c r="BA34" i="4"/>
  <c r="AJ27" i="4"/>
  <c r="AJ31" i="4"/>
  <c r="AC28" i="4"/>
  <c r="AC31" i="4"/>
  <c r="AB32" i="4"/>
  <c r="AB39" i="4"/>
  <c r="AJ40" i="4"/>
  <c r="AR29" i="4"/>
  <c r="AC27" i="4"/>
  <c r="AK40" i="4"/>
  <c r="AC32" i="4"/>
  <c r="AK36" i="4"/>
  <c r="AZ34" i="4"/>
  <c r="BA38" i="4"/>
  <c r="AK37" i="4"/>
  <c r="AZ30" i="4"/>
  <c r="BA30" i="4"/>
  <c r="AJ36" i="4"/>
  <c r="AJ35" i="4"/>
  <c r="BA26" i="4"/>
  <c r="AZ26" i="4"/>
  <c r="AC39" i="4"/>
  <c r="AR33" i="4"/>
  <c r="AZ38" i="4"/>
  <c r="AR37" i="4"/>
  <c r="AC35" i="4"/>
  <c r="K13" i="12"/>
  <c r="K16" i="12"/>
  <c r="K12" i="12"/>
  <c r="K10" i="12"/>
  <c r="K15" i="12"/>
  <c r="K14" i="12"/>
  <c r="K11" i="12"/>
  <c r="S14" i="39"/>
  <c r="S19" i="39"/>
  <c r="U14" i="39"/>
  <c r="U19" i="39"/>
  <c r="AK35" i="4" l="1"/>
  <c r="AK28" i="4"/>
  <c r="BH30" i="4"/>
  <c r="AS37" i="4"/>
  <c r="AK31" i="4"/>
  <c r="AZ33" i="4"/>
  <c r="AK32" i="4"/>
  <c r="AR27" i="4"/>
  <c r="AS40" i="4"/>
  <c r="AJ32" i="4"/>
  <c r="BH38" i="4"/>
  <c r="AS36" i="4"/>
  <c r="AK27" i="4"/>
  <c r="AR36" i="4"/>
  <c r="AJ28" i="4"/>
  <c r="BI30" i="4"/>
  <c r="BA29" i="4"/>
  <c r="AJ39" i="4"/>
  <c r="AZ37" i="4"/>
  <c r="BI38" i="4"/>
  <c r="BH34" i="4"/>
  <c r="AK39" i="4"/>
  <c r="AR31" i="4"/>
  <c r="BH26" i="4"/>
  <c r="BI26" i="4"/>
  <c r="BI34" i="4"/>
  <c r="AR35" i="4"/>
  <c r="BA33" i="4"/>
  <c r="AZ29" i="4"/>
  <c r="AR40" i="4"/>
  <c r="S39" i="39"/>
  <c r="S28" i="39"/>
  <c r="S24" i="39"/>
  <c r="S49" i="39" s="1"/>
  <c r="S44" i="39"/>
  <c r="K34" i="12"/>
  <c r="K33" i="12"/>
  <c r="K32" i="12"/>
  <c r="K31" i="12"/>
  <c r="U44" i="39"/>
  <c r="U24" i="39"/>
  <c r="U49" i="39" s="1"/>
  <c r="U39" i="39"/>
  <c r="BQ38" i="4" l="1"/>
  <c r="AZ40" i="4"/>
  <c r="BH29" i="4"/>
  <c r="BH37" i="4"/>
  <c r="AZ27" i="4"/>
  <c r="AZ36" i="4"/>
  <c r="BA37" i="4"/>
  <c r="BI33" i="4"/>
  <c r="BI29" i="4"/>
  <c r="AZ35" i="4"/>
  <c r="BQ34" i="4"/>
  <c r="BQ30" i="4"/>
  <c r="BA40" i="4"/>
  <c r="AS32" i="4"/>
  <c r="BH33" i="4"/>
  <c r="AR28" i="4"/>
  <c r="BQ26" i="4"/>
  <c r="AS31" i="4"/>
  <c r="BP26" i="4"/>
  <c r="AR32" i="4"/>
  <c r="AR39" i="4"/>
  <c r="AZ31" i="4"/>
  <c r="AS27" i="4"/>
  <c r="BP30" i="4"/>
  <c r="BA36" i="4"/>
  <c r="AS39" i="4"/>
  <c r="AS28" i="4"/>
  <c r="BP34" i="4"/>
  <c r="BP38" i="4"/>
  <c r="AS35" i="4"/>
  <c r="U53" i="39"/>
  <c r="U28" i="39"/>
  <c r="S53" i="39"/>
  <c r="AG20" i="59"/>
  <c r="AC20" i="59"/>
  <c r="AG19" i="59"/>
  <c r="AC19" i="59"/>
  <c r="AG18" i="59"/>
  <c r="AC18" i="59"/>
  <c r="AG17" i="59"/>
  <c r="AC17" i="59"/>
  <c r="B15" i="59"/>
  <c r="B14" i="59"/>
  <c r="B13" i="59"/>
  <c r="B12" i="59"/>
  <c r="B11" i="59"/>
  <c r="B10" i="59"/>
  <c r="A2" i="59"/>
  <c r="A4" i="59" s="1"/>
  <c r="B9" i="59"/>
  <c r="BD39" i="60"/>
  <c r="AZ39" i="60"/>
  <c r="AY39" i="60"/>
  <c r="AV39" i="60"/>
  <c r="BC39" i="60"/>
  <c r="AO39" i="60"/>
  <c r="BA39" i="60"/>
  <c r="AW39" i="60"/>
  <c r="AS39" i="60"/>
  <c r="AQ39" i="60"/>
  <c r="AP39" i="60"/>
  <c r="AT39" i="60"/>
  <c r="AN39" i="60"/>
  <c r="BE39" i="60"/>
  <c r="AU39" i="60"/>
  <c r="AM39" i="60"/>
  <c r="BX34" i="4" l="1"/>
  <c r="BX26" i="4"/>
  <c r="BY26" i="4"/>
  <c r="BA28" i="4"/>
  <c r="BA39" i="4"/>
  <c r="AZ28" i="4"/>
  <c r="BH27" i="4"/>
  <c r="BP37" i="4"/>
  <c r="BI40" i="4"/>
  <c r="BH40" i="4"/>
  <c r="BH35" i="4"/>
  <c r="BX38" i="4"/>
  <c r="BQ29" i="4"/>
  <c r="BQ33" i="4"/>
  <c r="BH36" i="4"/>
  <c r="BI36" i="4"/>
  <c r="BP33" i="4"/>
  <c r="BX30" i="4"/>
  <c r="BA32" i="4"/>
  <c r="BP29" i="4"/>
  <c r="BY34" i="4"/>
  <c r="BY38" i="4"/>
  <c r="AZ32" i="4"/>
  <c r="BA35" i="4"/>
  <c r="BA31" i="4"/>
  <c r="BI37" i="4"/>
  <c r="BA27" i="4"/>
  <c r="BH31" i="4"/>
  <c r="BY30" i="4"/>
  <c r="AZ39" i="4"/>
  <c r="AO83" i="59"/>
  <c r="AP83" i="59" s="1"/>
  <c r="AO70" i="59"/>
  <c r="AP70" i="59" s="1"/>
  <c r="AO58" i="59"/>
  <c r="AP58" i="59" s="1"/>
  <c r="AO46" i="59"/>
  <c r="AP46" i="59" s="1"/>
  <c r="AO34" i="59"/>
  <c r="AP34" i="59" s="1"/>
  <c r="AO22" i="59"/>
  <c r="AP22" i="59" s="1"/>
  <c r="AO5" i="59"/>
  <c r="C5" i="59"/>
  <c r="AI39" i="60"/>
  <c r="AH39" i="60"/>
  <c r="AG39" i="60"/>
  <c r="AD39" i="60"/>
  <c r="AC39" i="60"/>
  <c r="AA39" i="60"/>
  <c r="Z39" i="60"/>
  <c r="Y39" i="60"/>
  <c r="W39" i="60"/>
  <c r="V39" i="60"/>
  <c r="N39" i="60" s="1"/>
  <c r="K39" i="60"/>
  <c r="J39" i="60"/>
  <c r="AN14" i="59"/>
  <c r="G13" i="59"/>
  <c r="H13" i="59"/>
  <c r="C15" i="59"/>
  <c r="AN11" i="59"/>
  <c r="AN12" i="59"/>
  <c r="AN10" i="59"/>
  <c r="C10" i="59"/>
  <c r="H9" i="59"/>
  <c r="H12" i="59"/>
  <c r="C11" i="59"/>
  <c r="G14" i="59"/>
  <c r="G9" i="59"/>
  <c r="H15" i="59"/>
  <c r="AN13" i="59"/>
  <c r="G11" i="59"/>
  <c r="H14" i="59"/>
  <c r="G12" i="59"/>
  <c r="C13" i="59"/>
  <c r="C14" i="59"/>
  <c r="G15" i="59"/>
  <c r="C9" i="59"/>
  <c r="AN15" i="59"/>
  <c r="C12" i="59"/>
  <c r="H10" i="59"/>
  <c r="H11" i="59"/>
  <c r="AN9" i="59"/>
  <c r="G10" i="59"/>
  <c r="AO64" i="59" a="1"/>
  <c r="E11" i="59" l="1"/>
  <c r="BI32" i="4"/>
  <c r="BI27" i="4"/>
  <c r="BX33" i="4"/>
  <c r="BP27" i="4"/>
  <c r="BP31" i="4"/>
  <c r="BX37" i="4"/>
  <c r="BH28" i="4"/>
  <c r="BI39" i="4"/>
  <c r="BI35" i="4"/>
  <c r="BY33" i="4"/>
  <c r="BP40" i="4"/>
  <c r="BQ37" i="4"/>
  <c r="BQ36" i="4"/>
  <c r="BP36" i="4"/>
  <c r="BY29" i="4"/>
  <c r="BH32" i="4"/>
  <c r="BI28" i="4"/>
  <c r="BH39" i="4"/>
  <c r="BX29" i="4"/>
  <c r="BQ40" i="4"/>
  <c r="BP35" i="4"/>
  <c r="BI31" i="4"/>
  <c r="E9" i="59"/>
  <c r="E14" i="59"/>
  <c r="E10" i="59"/>
  <c r="E13" i="59"/>
  <c r="E15" i="59"/>
  <c r="E12" i="59"/>
  <c r="P39" i="60"/>
  <c r="O39" i="60"/>
  <c r="M39" i="60"/>
  <c r="S39" i="60"/>
  <c r="R39" i="60"/>
  <c r="AO64" i="59"/>
  <c r="AT46" i="59"/>
  <c r="AX46" i="59" s="1"/>
  <c r="BB46" i="59" s="1"/>
  <c r="BF46" i="59" s="1"/>
  <c r="AQ46" i="59"/>
  <c r="AT58" i="59"/>
  <c r="AX58" i="59" s="1"/>
  <c r="BB58" i="59" s="1"/>
  <c r="BF58" i="59" s="1"/>
  <c r="AQ58" i="59"/>
  <c r="AT83" i="59"/>
  <c r="AX83" i="59" s="1"/>
  <c r="BB83" i="59" s="1"/>
  <c r="BF83" i="59" s="1"/>
  <c r="AQ83" i="59"/>
  <c r="AQ70" i="59"/>
  <c r="AT70" i="59"/>
  <c r="AX70" i="59" s="1"/>
  <c r="BB70" i="59" s="1"/>
  <c r="BF70" i="59" s="1"/>
  <c r="AP5" i="59"/>
  <c r="AP35" i="59" s="1"/>
  <c r="AQ22" i="59"/>
  <c r="AT22" i="59"/>
  <c r="AX22" i="59" s="1"/>
  <c r="BB22" i="59" s="1"/>
  <c r="BF22" i="59" s="1"/>
  <c r="AT34" i="59"/>
  <c r="AX34" i="59" s="1"/>
  <c r="BB34" i="59" s="1"/>
  <c r="BF34" i="59" s="1"/>
  <c r="AQ34" i="59"/>
  <c r="AW38" i="60"/>
  <c r="AT38" i="60"/>
  <c r="H39" i="60"/>
  <c r="AN38" i="60"/>
  <c r="E39" i="60"/>
  <c r="BA38" i="60"/>
  <c r="AV38" i="60"/>
  <c r="AU38" i="60"/>
  <c r="AO38" i="60"/>
  <c r="AZ38" i="60"/>
  <c r="BE38" i="60"/>
  <c r="BC38" i="60"/>
  <c r="AS38" i="60"/>
  <c r="AQ38" i="60"/>
  <c r="AP38" i="60"/>
  <c r="G39" i="60"/>
  <c r="AM38" i="60"/>
  <c r="BD38" i="60"/>
  <c r="AY38" i="60"/>
  <c r="AO52" i="59"/>
  <c r="AO42" i="59"/>
  <c r="AO61" i="59" a="1"/>
  <c r="AO28" i="59"/>
  <c r="AO50" i="59"/>
  <c r="AO30" i="59"/>
  <c r="AO11" i="59"/>
  <c r="AO75" i="59"/>
  <c r="AO27" i="59"/>
  <c r="AO23" i="59"/>
  <c r="AO26" i="59"/>
  <c r="AO9" i="59"/>
  <c r="AO47" i="59"/>
  <c r="AO77" i="59"/>
  <c r="AO66" i="59" a="1"/>
  <c r="AO48" i="59"/>
  <c r="AO86" i="59"/>
  <c r="AO59" i="59" a="1"/>
  <c r="AO71" i="59"/>
  <c r="AO76" i="59"/>
  <c r="AO37" i="59"/>
  <c r="AO29" i="59"/>
  <c r="AO85" i="59"/>
  <c r="AO73" i="59"/>
  <c r="AO84" i="59"/>
  <c r="AO40" i="59"/>
  <c r="AO35" i="59"/>
  <c r="AO36" i="59"/>
  <c r="AO25" i="59"/>
  <c r="AO54" i="59"/>
  <c r="AO90" i="59"/>
  <c r="AO24" i="59"/>
  <c r="AO74" i="59"/>
  <c r="AO72" i="59"/>
  <c r="AO53" i="59"/>
  <c r="AO87" i="59"/>
  <c r="AO13" i="59"/>
  <c r="AO91" i="59"/>
  <c r="AO78" i="59"/>
  <c r="AO39" i="59"/>
  <c r="AO63" i="59" a="1"/>
  <c r="AO65" i="59" a="1"/>
  <c r="AO14" i="59"/>
  <c r="AO49" i="59"/>
  <c r="AO89" i="59"/>
  <c r="AO15" i="59"/>
  <c r="AO41" i="59"/>
  <c r="AO60" i="59" a="1"/>
  <c r="AO12" i="59"/>
  <c r="AO10" i="59"/>
  <c r="AO38" i="59"/>
  <c r="AO88" i="59"/>
  <c r="AO62" i="59" a="1"/>
  <c r="AO51" i="59"/>
  <c r="BQ39" i="4" l="1"/>
  <c r="BQ31" i="4"/>
  <c r="BQ28" i="4"/>
  <c r="BP32" i="4"/>
  <c r="BX35" i="4"/>
  <c r="BX36" i="4"/>
  <c r="BQ35" i="4"/>
  <c r="BX31" i="4"/>
  <c r="BX27" i="4"/>
  <c r="BY36" i="4"/>
  <c r="BQ27" i="4"/>
  <c r="BY37" i="4"/>
  <c r="BX40" i="4"/>
  <c r="BY40" i="4"/>
  <c r="BP39" i="4"/>
  <c r="BQ32" i="4"/>
  <c r="BP28" i="4"/>
  <c r="E17" i="59"/>
  <c r="E19" i="59"/>
  <c r="E18" i="59"/>
  <c r="E20" i="59"/>
  <c r="AO61" i="59"/>
  <c r="AO62" i="59"/>
  <c r="AO60" i="59"/>
  <c r="AO66" i="59"/>
  <c r="AO59" i="59"/>
  <c r="AO63" i="59"/>
  <c r="AO65" i="59"/>
  <c r="I39" i="60"/>
  <c r="AR58" i="59"/>
  <c r="AV58" i="59" s="1"/>
  <c r="AZ58" i="59" s="1"/>
  <c r="BD58" i="59" s="1"/>
  <c r="AU58" i="59"/>
  <c r="AY58" i="59" s="1"/>
  <c r="BC58" i="59" s="1"/>
  <c r="BG58" i="59" s="1"/>
  <c r="AU34" i="59"/>
  <c r="AY34" i="59" s="1"/>
  <c r="BC34" i="59" s="1"/>
  <c r="BG34" i="59" s="1"/>
  <c r="AR34" i="59"/>
  <c r="AV34" i="59" s="1"/>
  <c r="AZ34" i="59" s="1"/>
  <c r="BD34" i="59" s="1"/>
  <c r="AU46" i="59"/>
  <c r="AY46" i="59" s="1"/>
  <c r="BC46" i="59" s="1"/>
  <c r="BG46" i="59" s="1"/>
  <c r="AR46" i="59"/>
  <c r="AV46" i="59" s="1"/>
  <c r="AZ46" i="59" s="1"/>
  <c r="BD46" i="59" s="1"/>
  <c r="AU22" i="59"/>
  <c r="AY22" i="59" s="1"/>
  <c r="BC22" i="59" s="1"/>
  <c r="BG22" i="59" s="1"/>
  <c r="AR22" i="59"/>
  <c r="AV22" i="59" s="1"/>
  <c r="AZ22" i="59" s="1"/>
  <c r="BD22" i="59" s="1"/>
  <c r="J5" i="59"/>
  <c r="AT5" i="59"/>
  <c r="AQ5" i="59"/>
  <c r="AU70" i="59"/>
  <c r="AY70" i="59" s="1"/>
  <c r="BC70" i="59" s="1"/>
  <c r="BG70" i="59" s="1"/>
  <c r="AR70" i="59"/>
  <c r="AV70" i="59" s="1"/>
  <c r="AZ70" i="59" s="1"/>
  <c r="BD70" i="59" s="1"/>
  <c r="AU83" i="59"/>
  <c r="AY83" i="59" s="1"/>
  <c r="BC83" i="59" s="1"/>
  <c r="BG83" i="59" s="1"/>
  <c r="AR83" i="59"/>
  <c r="AV83" i="59" s="1"/>
  <c r="AZ83" i="59" s="1"/>
  <c r="BD83" i="59" s="1"/>
  <c r="AI38" i="60"/>
  <c r="AH38" i="60"/>
  <c r="AG38" i="60"/>
  <c r="AD38" i="60"/>
  <c r="AC38" i="60"/>
  <c r="AA38" i="60"/>
  <c r="Z38" i="60"/>
  <c r="Y38" i="60"/>
  <c r="W38" i="60"/>
  <c r="V38" i="60"/>
  <c r="N38" i="60" s="1"/>
  <c r="K38" i="60"/>
  <c r="J38" i="60"/>
  <c r="AP28" i="59"/>
  <c r="AP71" i="59"/>
  <c r="AP60" i="59" a="1"/>
  <c r="AP86" i="59"/>
  <c r="AP13" i="59"/>
  <c r="AP77" i="59"/>
  <c r="AP53" i="59"/>
  <c r="AP24" i="59"/>
  <c r="AP54" i="59"/>
  <c r="AP78" i="59"/>
  <c r="AP90" i="59"/>
  <c r="AP37" i="59"/>
  <c r="AP15" i="59"/>
  <c r="AP73" i="59"/>
  <c r="AP59" i="59" a="1"/>
  <c r="AP75" i="59"/>
  <c r="AP76" i="59"/>
  <c r="AP9" i="59"/>
  <c r="AP39" i="59"/>
  <c r="AP26" i="59"/>
  <c r="AP41" i="59"/>
  <c r="AP62" i="59" a="1"/>
  <c r="AP74" i="59"/>
  <c r="AP14" i="59"/>
  <c r="AP29" i="59"/>
  <c r="AP72" i="59"/>
  <c r="AP36" i="59"/>
  <c r="AP88" i="59"/>
  <c r="AP66" i="59" a="1"/>
  <c r="AP30" i="59"/>
  <c r="AP40" i="59"/>
  <c r="AP25" i="59"/>
  <c r="AP91" i="59"/>
  <c r="AP89" i="59"/>
  <c r="AP64" i="59" a="1"/>
  <c r="AP52" i="59"/>
  <c r="AP11" i="59"/>
  <c r="AP61" i="59" a="1"/>
  <c r="AP10" i="59"/>
  <c r="AP23" i="59"/>
  <c r="AP27" i="59"/>
  <c r="AP50" i="59"/>
  <c r="AP38" i="59"/>
  <c r="AP51" i="59"/>
  <c r="AP63" i="59" a="1"/>
  <c r="AP12" i="59"/>
  <c r="AP85" i="59"/>
  <c r="AP87" i="59"/>
  <c r="AP49" i="59"/>
  <c r="AP42" i="59"/>
  <c r="AP48" i="59"/>
  <c r="AP65" i="59" a="1"/>
  <c r="AP84" i="59"/>
  <c r="AP47" i="59"/>
  <c r="AT15" i="59"/>
  <c r="AQ53" i="59"/>
  <c r="R9" i="59" l="1"/>
  <c r="AP59" i="59"/>
  <c r="BX28" i="4"/>
  <c r="BY35" i="4"/>
  <c r="BX39" i="4"/>
  <c r="BX32" i="4"/>
  <c r="BY28" i="4"/>
  <c r="BY31" i="4"/>
  <c r="BY32" i="4"/>
  <c r="BY27" i="4"/>
  <c r="BY39" i="4"/>
  <c r="J9" i="59"/>
  <c r="AP61" i="59"/>
  <c r="R11" i="59"/>
  <c r="J11" i="59"/>
  <c r="AP65" i="59"/>
  <c r="AP63" i="59"/>
  <c r="AP62" i="59"/>
  <c r="R12" i="59"/>
  <c r="J12" i="59"/>
  <c r="AP60" i="59"/>
  <c r="R13" i="59"/>
  <c r="J13" i="59"/>
  <c r="J10" i="59"/>
  <c r="R10" i="59"/>
  <c r="AP66" i="59"/>
  <c r="J14" i="59"/>
  <c r="R14" i="59"/>
  <c r="J15" i="59"/>
  <c r="R15" i="59"/>
  <c r="AP64" i="59"/>
  <c r="R38" i="60"/>
  <c r="P38" i="60"/>
  <c r="O38" i="60"/>
  <c r="S38" i="60"/>
  <c r="M38" i="60"/>
  <c r="AX5" i="59"/>
  <c r="AX88" i="59" s="1"/>
  <c r="N5" i="59"/>
  <c r="Z5" i="59"/>
  <c r="AD5" i="59"/>
  <c r="V5" i="59"/>
  <c r="K5" i="59"/>
  <c r="AU5" i="59"/>
  <c r="AR5" i="59"/>
  <c r="AR9" i="59" s="1"/>
  <c r="AS37" i="60"/>
  <c r="AQ37" i="60"/>
  <c r="AU37" i="60"/>
  <c r="AP37" i="60"/>
  <c r="AT37" i="60"/>
  <c r="H38" i="60"/>
  <c r="AO37" i="60"/>
  <c r="BE37" i="60"/>
  <c r="BD37" i="60"/>
  <c r="AZ37" i="60"/>
  <c r="AW37" i="60"/>
  <c r="G38" i="60"/>
  <c r="AN37" i="60"/>
  <c r="AM37" i="60"/>
  <c r="AV37" i="60"/>
  <c r="E38" i="60"/>
  <c r="BC37" i="60"/>
  <c r="BA37" i="60"/>
  <c r="AY37" i="60"/>
  <c r="AT30" i="59"/>
  <c r="AQ86" i="59"/>
  <c r="AQ73" i="59"/>
  <c r="AT47" i="59"/>
  <c r="AQ63" i="59" a="1"/>
  <c r="AT54" i="59"/>
  <c r="AT26" i="59"/>
  <c r="AQ59" i="59" a="1"/>
  <c r="AQ28" i="59"/>
  <c r="AT66" i="59"/>
  <c r="AT61" i="59"/>
  <c r="AQ27" i="59"/>
  <c r="AQ36" i="59"/>
  <c r="AQ91" i="59"/>
  <c r="AT88" i="59"/>
  <c r="AQ66" i="59" a="1"/>
  <c r="AT35" i="59"/>
  <c r="AT73" i="59"/>
  <c r="AT14" i="59"/>
  <c r="AT27" i="59"/>
  <c r="AT75" i="59"/>
  <c r="AT12" i="59"/>
  <c r="AQ29" i="59"/>
  <c r="AT87" i="59"/>
  <c r="AT41" i="59"/>
  <c r="AQ90" i="59"/>
  <c r="AQ65" i="59" a="1"/>
  <c r="AQ48" i="59"/>
  <c r="AQ15" i="59"/>
  <c r="AQ88" i="59"/>
  <c r="AQ35" i="59"/>
  <c r="AT59" i="59"/>
  <c r="AQ52" i="59"/>
  <c r="AT48" i="59"/>
  <c r="AT64" i="59"/>
  <c r="AT39" i="59"/>
  <c r="AQ76" i="59"/>
  <c r="AT38" i="59"/>
  <c r="AQ39" i="59"/>
  <c r="AT84" i="59"/>
  <c r="AT9" i="59"/>
  <c r="AT91" i="59"/>
  <c r="AT52" i="59"/>
  <c r="AQ84" i="59"/>
  <c r="AT65" i="59"/>
  <c r="AT40" i="59"/>
  <c r="AQ11" i="59"/>
  <c r="AQ89" i="59"/>
  <c r="AT28" i="59"/>
  <c r="AT71" i="59"/>
  <c r="AQ40" i="59"/>
  <c r="AQ72" i="59"/>
  <c r="AQ10" i="59"/>
  <c r="AQ9" i="59"/>
  <c r="AT60" i="59"/>
  <c r="AT89" i="59"/>
  <c r="AT90" i="59"/>
  <c r="AT86" i="59"/>
  <c r="AT85" i="59"/>
  <c r="AQ51" i="59"/>
  <c r="AT23" i="59"/>
  <c r="AT10" i="59"/>
  <c r="AQ37" i="59"/>
  <c r="AQ64" i="59" a="1"/>
  <c r="AT24" i="59"/>
  <c r="AT53" i="59"/>
  <c r="AQ14" i="59"/>
  <c r="AQ61" i="59" a="1"/>
  <c r="AT51" i="59"/>
  <c r="AT49" i="59"/>
  <c r="AT78" i="59"/>
  <c r="AQ54" i="59"/>
  <c r="AT74" i="59"/>
  <c r="AQ38" i="59"/>
  <c r="AQ78" i="59"/>
  <c r="AQ85" i="59"/>
  <c r="AT50" i="59"/>
  <c r="AQ25" i="59"/>
  <c r="AQ23" i="59"/>
  <c r="AQ87" i="59"/>
  <c r="AQ50" i="59"/>
  <c r="AQ30" i="59"/>
  <c r="AQ74" i="59"/>
  <c r="AQ62" i="59" a="1"/>
  <c r="AT72" i="59"/>
  <c r="AQ12" i="59"/>
  <c r="AQ77" i="59"/>
  <c r="AQ26" i="59"/>
  <c r="AT63" i="59"/>
  <c r="AQ47" i="59"/>
  <c r="AQ42" i="59"/>
  <c r="AQ41" i="59"/>
  <c r="AT11" i="59"/>
  <c r="AT29" i="59"/>
  <c r="AT76" i="59"/>
  <c r="AQ24" i="59"/>
  <c r="AT77" i="59"/>
  <c r="AT13" i="59"/>
  <c r="AT25" i="59"/>
  <c r="AT42" i="59"/>
  <c r="AT62" i="59"/>
  <c r="AT37" i="59"/>
  <c r="AQ71" i="59"/>
  <c r="AQ60" i="59" a="1"/>
  <c r="AT36" i="59"/>
  <c r="AQ49" i="59"/>
  <c r="AQ13" i="59"/>
  <c r="AQ75" i="59"/>
  <c r="AU11" i="59"/>
  <c r="K12" i="59" l="1"/>
  <c r="AQ60" i="59"/>
  <c r="K11" i="59"/>
  <c r="AQ65" i="59"/>
  <c r="K15" i="59"/>
  <c r="K14" i="59"/>
  <c r="AQ61" i="59"/>
  <c r="AQ62" i="59"/>
  <c r="K13" i="59"/>
  <c r="AQ64" i="59"/>
  <c r="AQ63" i="59"/>
  <c r="AQ59" i="59"/>
  <c r="K10" i="59"/>
  <c r="S9" i="59"/>
  <c r="AQ66" i="59"/>
  <c r="S13" i="59"/>
  <c r="S11" i="59"/>
  <c r="S15" i="59"/>
  <c r="S14" i="59"/>
  <c r="S10" i="59"/>
  <c r="K9" i="59"/>
  <c r="S12" i="59"/>
  <c r="R19" i="59"/>
  <c r="J19" i="59"/>
  <c r="R18" i="59"/>
  <c r="R17" i="59"/>
  <c r="R20" i="59"/>
  <c r="J18" i="59"/>
  <c r="J17" i="59"/>
  <c r="J20" i="59"/>
  <c r="I38" i="60"/>
  <c r="T9" i="59"/>
  <c r="L9" i="59"/>
  <c r="AH5" i="59"/>
  <c r="R5" i="59"/>
  <c r="BB5" i="59"/>
  <c r="AY5" i="59"/>
  <c r="AY13" i="59" s="1"/>
  <c r="L5" i="59"/>
  <c r="AV5" i="59"/>
  <c r="AV11" i="59" s="1"/>
  <c r="W5" i="59"/>
  <c r="AE5" i="59"/>
  <c r="AA5" i="59"/>
  <c r="O5" i="59"/>
  <c r="AI37" i="60"/>
  <c r="AH37" i="60"/>
  <c r="AG37" i="60"/>
  <c r="AD37" i="60"/>
  <c r="AC37" i="60"/>
  <c r="AA37" i="60"/>
  <c r="Z37" i="60"/>
  <c r="Y37" i="60"/>
  <c r="W37" i="60"/>
  <c r="V37" i="60"/>
  <c r="N37" i="60" s="1"/>
  <c r="J37" i="60"/>
  <c r="K37" i="60"/>
  <c r="AX30" i="59"/>
  <c r="AX87" i="59"/>
  <c r="AU51" i="59"/>
  <c r="AX64" i="59"/>
  <c r="AU76" i="59"/>
  <c r="AX75" i="59"/>
  <c r="AX63" i="59"/>
  <c r="AX85" i="59"/>
  <c r="AU86" i="59"/>
  <c r="AX28" i="59"/>
  <c r="AX29" i="59"/>
  <c r="AU60" i="59"/>
  <c r="AU53" i="59"/>
  <c r="AX61" i="59"/>
  <c r="AU61" i="59"/>
  <c r="AU25" i="59"/>
  <c r="AX14" i="59"/>
  <c r="AU42" i="59"/>
  <c r="AU47" i="59"/>
  <c r="AX91" i="59"/>
  <c r="AR12" i="59"/>
  <c r="AU36" i="59"/>
  <c r="AX12" i="59"/>
  <c r="AU65" i="59"/>
  <c r="AX78" i="59"/>
  <c r="AU35" i="59"/>
  <c r="AU59" i="59"/>
  <c r="AU39" i="59"/>
  <c r="AU64" i="59"/>
  <c r="AR74" i="59"/>
  <c r="AU71" i="59"/>
  <c r="AU37" i="59"/>
  <c r="AU48" i="59"/>
  <c r="AU13" i="59"/>
  <c r="AU50" i="59"/>
  <c r="AU41" i="59"/>
  <c r="AR71" i="59"/>
  <c r="AU30" i="59"/>
  <c r="AX37" i="59"/>
  <c r="AU40" i="59"/>
  <c r="AX27" i="59"/>
  <c r="AX59" i="59"/>
  <c r="AX15" i="59"/>
  <c r="AX42" i="59"/>
  <c r="AX62" i="59"/>
  <c r="AX60" i="59"/>
  <c r="AX86" i="59"/>
  <c r="AX84" i="59"/>
  <c r="AR77" i="59"/>
  <c r="AU74" i="59"/>
  <c r="AX66" i="59"/>
  <c r="AU27" i="59"/>
  <c r="AU14" i="59"/>
  <c r="AU89" i="59"/>
  <c r="AR10" i="59"/>
  <c r="AX10" i="59"/>
  <c r="AU23" i="59"/>
  <c r="AX23" i="59"/>
  <c r="AU91" i="59"/>
  <c r="AU88" i="59"/>
  <c r="AR13" i="59"/>
  <c r="AX76" i="59"/>
  <c r="AX65" i="59"/>
  <c r="AU29" i="59"/>
  <c r="AR73" i="59"/>
  <c r="AX71" i="59"/>
  <c r="AU49" i="59"/>
  <c r="AX77" i="59"/>
  <c r="AU52" i="59"/>
  <c r="AX36" i="59"/>
  <c r="AU62" i="59"/>
  <c r="AX41" i="59"/>
  <c r="AR72" i="59"/>
  <c r="AR15" i="59"/>
  <c r="AU78" i="59"/>
  <c r="AU66" i="59"/>
  <c r="AU28" i="59"/>
  <c r="AX72" i="59"/>
  <c r="AX73" i="59"/>
  <c r="AX38" i="59"/>
  <c r="AR76" i="59"/>
  <c r="AX24" i="59"/>
  <c r="AX13" i="59"/>
  <c r="AX40" i="59"/>
  <c r="AU54" i="59"/>
  <c r="AX74" i="59"/>
  <c r="AU63" i="59"/>
  <c r="AU9" i="59"/>
  <c r="AX25" i="59"/>
  <c r="AU85" i="59"/>
  <c r="AU72" i="59"/>
  <c r="AU12" i="59"/>
  <c r="AU84" i="59"/>
  <c r="AX35" i="59"/>
  <c r="AU77" i="59"/>
  <c r="AX39" i="59"/>
  <c r="AR14" i="59"/>
  <c r="AU38" i="59"/>
  <c r="AU87" i="59"/>
  <c r="AX11" i="59"/>
  <c r="AU75" i="59"/>
  <c r="AU15" i="59"/>
  <c r="AX26" i="59"/>
  <c r="AU90" i="59"/>
  <c r="AU10" i="59"/>
  <c r="AU26" i="59"/>
  <c r="AR78" i="59"/>
  <c r="AU73" i="59"/>
  <c r="AR75" i="59"/>
  <c r="AX9" i="59"/>
  <c r="AX90" i="59"/>
  <c r="AU24" i="59"/>
  <c r="AX89" i="59"/>
  <c r="AR11" i="59"/>
  <c r="BB66" i="59"/>
  <c r="L10" i="59" l="1"/>
  <c r="T11" i="59"/>
  <c r="K19" i="59"/>
  <c r="T10" i="59"/>
  <c r="L11" i="59"/>
  <c r="S20" i="59"/>
  <c r="K17" i="59"/>
  <c r="K20" i="59"/>
  <c r="S17" i="59"/>
  <c r="S18" i="59"/>
  <c r="S19" i="59"/>
  <c r="K18" i="59"/>
  <c r="Z11" i="59"/>
  <c r="N11" i="59"/>
  <c r="Z9" i="59"/>
  <c r="N9" i="59"/>
  <c r="N10" i="59"/>
  <c r="Z10" i="59"/>
  <c r="N15" i="59"/>
  <c r="Z15" i="59"/>
  <c r="N14" i="59"/>
  <c r="Z14" i="59"/>
  <c r="T13" i="59"/>
  <c r="L13" i="59"/>
  <c r="T12" i="59"/>
  <c r="L12" i="59"/>
  <c r="T15" i="59"/>
  <c r="L15" i="59"/>
  <c r="T14" i="59"/>
  <c r="L14" i="59"/>
  <c r="Z13" i="59"/>
  <c r="N13" i="59"/>
  <c r="Z12" i="59"/>
  <c r="N12" i="59"/>
  <c r="M37" i="60"/>
  <c r="P37" i="60"/>
  <c r="S37" i="60"/>
  <c r="R37" i="60"/>
  <c r="O37" i="60"/>
  <c r="AA13" i="59"/>
  <c r="O13" i="59"/>
  <c r="AI5" i="59"/>
  <c r="AZ5" i="59"/>
  <c r="BC5" i="59"/>
  <c r="BC53" i="59" s="1"/>
  <c r="S5" i="59"/>
  <c r="AB5" i="59"/>
  <c r="P5" i="59"/>
  <c r="T5" i="59" s="1"/>
  <c r="AF5" i="59"/>
  <c r="X5" i="59"/>
  <c r="BF5" i="59"/>
  <c r="BC36" i="60"/>
  <c r="BA36" i="60"/>
  <c r="AY36" i="60"/>
  <c r="AZ36" i="60"/>
  <c r="AV36" i="60"/>
  <c r="AU36" i="60"/>
  <c r="AT36" i="60"/>
  <c r="AS36" i="60"/>
  <c r="AQ36" i="60"/>
  <c r="AP36" i="60"/>
  <c r="H37" i="60"/>
  <c r="AN36" i="60"/>
  <c r="AM36" i="60"/>
  <c r="G37" i="60"/>
  <c r="E37" i="60"/>
  <c r="BE36" i="60"/>
  <c r="BD36" i="60"/>
  <c r="AW36" i="60"/>
  <c r="AO36" i="60"/>
  <c r="BB47" i="59"/>
  <c r="AV12" i="59"/>
  <c r="BB10" i="59"/>
  <c r="AV73" i="59"/>
  <c r="BB53" i="59"/>
  <c r="AY71" i="59"/>
  <c r="AV9" i="59"/>
  <c r="BB59" i="59"/>
  <c r="BB75" i="59"/>
  <c r="BB90" i="59"/>
  <c r="AY25" i="59"/>
  <c r="BB9" i="59"/>
  <c r="AY89" i="59"/>
  <c r="AY76" i="59"/>
  <c r="BB71" i="59"/>
  <c r="BB89" i="59"/>
  <c r="AY78" i="59"/>
  <c r="AY39" i="59"/>
  <c r="AY9" i="59"/>
  <c r="BB64" i="59"/>
  <c r="AY88" i="59"/>
  <c r="BB65" i="59"/>
  <c r="AV75" i="59"/>
  <c r="AY37" i="59"/>
  <c r="AV72" i="59"/>
  <c r="AY84" i="59"/>
  <c r="AV10" i="59"/>
  <c r="BB48" i="59"/>
  <c r="AY27" i="59"/>
  <c r="AY35" i="59"/>
  <c r="BB12" i="59"/>
  <c r="AY38" i="59"/>
  <c r="AY29" i="59"/>
  <c r="AY72" i="59"/>
  <c r="BB77" i="59"/>
  <c r="AY12" i="59"/>
  <c r="AY86" i="59"/>
  <c r="AY75" i="59"/>
  <c r="AV15" i="59"/>
  <c r="BB91" i="59"/>
  <c r="AY66" i="59"/>
  <c r="AY24" i="59"/>
  <c r="AY36" i="59"/>
  <c r="AY15" i="59"/>
  <c r="BB78" i="59"/>
  <c r="AV78" i="59"/>
  <c r="AY62" i="59"/>
  <c r="AY11" i="59"/>
  <c r="BB61" i="59"/>
  <c r="BB38" i="59"/>
  <c r="AY74" i="59"/>
  <c r="AY26" i="59"/>
  <c r="BB60" i="59"/>
  <c r="BB13" i="59"/>
  <c r="AY65" i="59"/>
  <c r="AV77" i="59"/>
  <c r="AV74" i="59"/>
  <c r="BB63" i="59"/>
  <c r="AY90" i="59"/>
  <c r="BB49" i="59"/>
  <c r="BB54" i="59"/>
  <c r="AV14" i="59"/>
  <c r="BB87" i="59"/>
  <c r="AY10" i="59"/>
  <c r="AY59" i="59"/>
  <c r="BB73" i="59"/>
  <c r="BB88" i="59"/>
  <c r="AY28" i="59"/>
  <c r="BB62" i="59"/>
  <c r="AY30" i="59"/>
  <c r="AY77" i="59"/>
  <c r="AY91" i="59"/>
  <c r="BB85" i="59"/>
  <c r="BB76" i="59"/>
  <c r="BB36" i="59"/>
  <c r="BF10" i="59"/>
  <c r="BB72" i="59"/>
  <c r="AY85" i="59"/>
  <c r="AY14" i="59"/>
  <c r="AY73" i="59"/>
  <c r="AV13" i="59"/>
  <c r="BB11" i="59"/>
  <c r="BB15" i="59"/>
  <c r="AY23" i="59"/>
  <c r="AY87" i="59"/>
  <c r="BB35" i="59"/>
  <c r="BB52" i="59"/>
  <c r="BB40" i="59"/>
  <c r="AV71" i="59"/>
  <c r="BB37" i="59"/>
  <c r="AV76" i="59"/>
  <c r="AY40" i="59"/>
  <c r="BB39" i="59"/>
  <c r="BB84" i="59"/>
  <c r="BB14" i="59"/>
  <c r="BB74" i="59"/>
  <c r="BB42" i="59"/>
  <c r="AY64" i="59"/>
  <c r="AY41" i="59"/>
  <c r="BB50" i="59"/>
  <c r="AY63" i="59"/>
  <c r="AY60" i="59"/>
  <c r="AY42" i="59"/>
  <c r="BB51" i="59"/>
  <c r="AY61" i="59"/>
  <c r="BB86" i="59"/>
  <c r="BB41" i="59"/>
  <c r="AZ10" i="59"/>
  <c r="AA12" i="59" l="1"/>
  <c r="O12" i="59"/>
  <c r="AD11" i="59"/>
  <c r="AD13" i="59"/>
  <c r="O10" i="59"/>
  <c r="V15" i="59"/>
  <c r="AD12" i="59"/>
  <c r="AA11" i="59"/>
  <c r="O14" i="59"/>
  <c r="AA14" i="59"/>
  <c r="AA15" i="59"/>
  <c r="O15" i="59"/>
  <c r="AD9" i="59"/>
  <c r="AD10" i="59"/>
  <c r="V14" i="59"/>
  <c r="AA9" i="59"/>
  <c r="O11" i="59"/>
  <c r="AA10" i="59"/>
  <c r="V10" i="59"/>
  <c r="O9" i="59"/>
  <c r="V9" i="59"/>
  <c r="AD14" i="59"/>
  <c r="V12" i="59"/>
  <c r="AD15" i="59"/>
  <c r="V11" i="59"/>
  <c r="V13" i="59"/>
  <c r="T19" i="59"/>
  <c r="L20" i="59"/>
  <c r="N17" i="59"/>
  <c r="Z18" i="59"/>
  <c r="T18" i="59"/>
  <c r="L18" i="59"/>
  <c r="L17" i="59"/>
  <c r="L19" i="59"/>
  <c r="Z19" i="59"/>
  <c r="N19" i="59"/>
  <c r="Z17" i="59"/>
  <c r="N18" i="59"/>
  <c r="Z20" i="59"/>
  <c r="N20" i="59"/>
  <c r="T17" i="59"/>
  <c r="T20" i="59"/>
  <c r="I37" i="60"/>
  <c r="AB10" i="59"/>
  <c r="P10" i="59"/>
  <c r="AH10" i="59"/>
  <c r="BD5" i="59"/>
  <c r="BD77" i="59" s="1"/>
  <c r="BG5" i="59"/>
  <c r="BG90" i="59" s="1"/>
  <c r="AI36" i="60"/>
  <c r="AH36" i="60"/>
  <c r="AG36" i="60"/>
  <c r="AD36" i="60"/>
  <c r="AC36" i="60"/>
  <c r="AA36" i="60"/>
  <c r="Z36" i="60"/>
  <c r="Y36" i="60"/>
  <c r="W36" i="60"/>
  <c r="V36" i="60"/>
  <c r="N36" i="60" s="1"/>
  <c r="J36" i="60"/>
  <c r="K36" i="60"/>
  <c r="BI24" i="59"/>
  <c r="BF51" i="59"/>
  <c r="BC52" i="59"/>
  <c r="BI28" i="59"/>
  <c r="BC36" i="59"/>
  <c r="BC73" i="59"/>
  <c r="BC49" i="59"/>
  <c r="AZ9" i="59"/>
  <c r="BF53" i="59"/>
  <c r="BF28" i="59"/>
  <c r="BI29" i="59"/>
  <c r="BF63" i="59"/>
  <c r="BF36" i="59"/>
  <c r="BC74" i="59"/>
  <c r="BC60" i="59"/>
  <c r="BF37" i="59"/>
  <c r="BC35" i="59"/>
  <c r="AZ75" i="59"/>
  <c r="BI25" i="59"/>
  <c r="AZ11" i="59"/>
  <c r="AZ71" i="59"/>
  <c r="BF47" i="59"/>
  <c r="BF89" i="59"/>
  <c r="BC77" i="59"/>
  <c r="BF61" i="59"/>
  <c r="BC12" i="59"/>
  <c r="BC14" i="59"/>
  <c r="BC13" i="59"/>
  <c r="BC72" i="59"/>
  <c r="BF52" i="59"/>
  <c r="BI52" i="59"/>
  <c r="BF41" i="59"/>
  <c r="BF90" i="59"/>
  <c r="BF62" i="59"/>
  <c r="BC86" i="59"/>
  <c r="AZ12" i="59"/>
  <c r="AZ73" i="59"/>
  <c r="BF48" i="59"/>
  <c r="BF77" i="59"/>
  <c r="BI53" i="59"/>
  <c r="BF76" i="59"/>
  <c r="BF66" i="59"/>
  <c r="BC39" i="59"/>
  <c r="BC37" i="59"/>
  <c r="BC84" i="59"/>
  <c r="BC87" i="59"/>
  <c r="AZ76" i="59"/>
  <c r="BC62" i="59"/>
  <c r="BI26" i="59"/>
  <c r="BF85" i="59"/>
  <c r="BI50" i="59"/>
  <c r="BF30" i="59"/>
  <c r="BF15" i="59"/>
  <c r="BF75" i="59"/>
  <c r="BI36" i="59"/>
  <c r="BF86" i="59"/>
  <c r="BI35" i="59"/>
  <c r="BC41" i="59"/>
  <c r="BI38" i="59"/>
  <c r="BF65" i="59"/>
  <c r="BF38" i="59"/>
  <c r="BF11" i="59"/>
  <c r="BC64" i="59"/>
  <c r="BF71" i="59"/>
  <c r="BI40" i="59"/>
  <c r="BC78" i="59"/>
  <c r="BC48" i="59"/>
  <c r="BI49" i="59"/>
  <c r="AZ14" i="59"/>
  <c r="BF14" i="59"/>
  <c r="BC10" i="59"/>
  <c r="BI42" i="59"/>
  <c r="BC63" i="59"/>
  <c r="BF39" i="59"/>
  <c r="BC75" i="59"/>
  <c r="BC38" i="59"/>
  <c r="BF49" i="59"/>
  <c r="BF26" i="59"/>
  <c r="BF84" i="59"/>
  <c r="BC71" i="59"/>
  <c r="BF59" i="59"/>
  <c r="BC15" i="59"/>
  <c r="BI30" i="59"/>
  <c r="BC76" i="59"/>
  <c r="BC51" i="59"/>
  <c r="AZ74" i="59"/>
  <c r="BI48" i="59"/>
  <c r="BF13" i="59"/>
  <c r="BF64" i="59"/>
  <c r="BF91" i="59"/>
  <c r="BC66" i="59"/>
  <c r="BC91" i="59"/>
  <c r="BC42" i="59"/>
  <c r="BI37" i="59"/>
  <c r="AZ13" i="59"/>
  <c r="BF78" i="59"/>
  <c r="BF25" i="59"/>
  <c r="BF24" i="59"/>
  <c r="BF73" i="59"/>
  <c r="BI39" i="59"/>
  <c r="BF72" i="59"/>
  <c r="BC9" i="59"/>
  <c r="BC50" i="59"/>
  <c r="BF23" i="59"/>
  <c r="BC89" i="59"/>
  <c r="BF12" i="59"/>
  <c r="BC47" i="59"/>
  <c r="BI41" i="59"/>
  <c r="BC11" i="59"/>
  <c r="BC88" i="59"/>
  <c r="BF54" i="59"/>
  <c r="BC65" i="59"/>
  <c r="BF87" i="59"/>
  <c r="BF74" i="59"/>
  <c r="AZ77" i="59"/>
  <c r="BF50" i="59"/>
  <c r="AZ78" i="59"/>
  <c r="BI54" i="59"/>
  <c r="BC61" i="59"/>
  <c r="AZ15" i="59"/>
  <c r="BF88" i="59"/>
  <c r="AZ72" i="59"/>
  <c r="BC54" i="59"/>
  <c r="BF9" i="59"/>
  <c r="BF27" i="59"/>
  <c r="BF35" i="59"/>
  <c r="BI23" i="59"/>
  <c r="BC40" i="59"/>
  <c r="BF42" i="59"/>
  <c r="BI27" i="59"/>
  <c r="BC90" i="59"/>
  <c r="BC59" i="59"/>
  <c r="BI47" i="59"/>
  <c r="BI51" i="59"/>
  <c r="BF29" i="59"/>
  <c r="BF60" i="59"/>
  <c r="BF40" i="59"/>
  <c r="BC85" i="59"/>
  <c r="O17" i="59" l="1"/>
  <c r="AA18" i="59"/>
  <c r="AA17" i="59"/>
  <c r="AE10" i="59"/>
  <c r="AH11" i="59"/>
  <c r="AE14" i="59"/>
  <c r="AB11" i="59"/>
  <c r="W15" i="59"/>
  <c r="W9" i="59"/>
  <c r="AE11" i="59"/>
  <c r="O18" i="59"/>
  <c r="O20" i="59"/>
  <c r="O19" i="59"/>
  <c r="AA19" i="59"/>
  <c r="AA20" i="59"/>
  <c r="AE9" i="59"/>
  <c r="V18" i="59"/>
  <c r="AD18" i="59"/>
  <c r="AD17" i="59"/>
  <c r="AD20" i="59"/>
  <c r="AD19" i="59"/>
  <c r="V19" i="59"/>
  <c r="W11" i="59"/>
  <c r="P11" i="59"/>
  <c r="W10" i="59"/>
  <c r="W14" i="59"/>
  <c r="AE15" i="59"/>
  <c r="AE13" i="59"/>
  <c r="W13" i="59"/>
  <c r="AH13" i="59"/>
  <c r="AB9" i="59"/>
  <c r="P9" i="59"/>
  <c r="P15" i="59"/>
  <c r="AB15" i="59"/>
  <c r="AH12" i="59"/>
  <c r="AH14" i="59"/>
  <c r="P12" i="59"/>
  <c r="AB12" i="59"/>
  <c r="W12" i="59"/>
  <c r="AE12" i="59"/>
  <c r="AH15" i="59"/>
  <c r="AH9" i="59"/>
  <c r="AB14" i="59"/>
  <c r="P14" i="59"/>
  <c r="AB13" i="59"/>
  <c r="P13" i="59"/>
  <c r="P36" i="60"/>
  <c r="O36" i="60"/>
  <c r="M36" i="60"/>
  <c r="R36" i="60"/>
  <c r="S36" i="60"/>
  <c r="BC35" i="60"/>
  <c r="BA35" i="60"/>
  <c r="AZ35" i="60"/>
  <c r="AW35" i="60"/>
  <c r="AY35" i="60"/>
  <c r="AV35" i="60"/>
  <c r="AU35" i="60"/>
  <c r="AT35" i="60"/>
  <c r="AS35" i="60"/>
  <c r="AQ35" i="60"/>
  <c r="AP35" i="60"/>
  <c r="H36" i="60"/>
  <c r="AO35" i="60"/>
  <c r="G36" i="60"/>
  <c r="AN35" i="60"/>
  <c r="E36" i="60"/>
  <c r="AM35" i="60"/>
  <c r="BE35" i="60"/>
  <c r="BD35" i="60"/>
  <c r="BJ49" i="59"/>
  <c r="BG51" i="59"/>
  <c r="BJ26" i="59"/>
  <c r="BG10" i="59"/>
  <c r="BG48" i="59"/>
  <c r="BG30" i="59"/>
  <c r="BG49" i="59"/>
  <c r="BG38" i="59"/>
  <c r="BG86" i="59"/>
  <c r="BD75" i="59"/>
  <c r="BG29" i="59"/>
  <c r="BJ41" i="59"/>
  <c r="BJ50" i="59"/>
  <c r="BJ36" i="59"/>
  <c r="BD78" i="59"/>
  <c r="BG88" i="59"/>
  <c r="BG65" i="59"/>
  <c r="BG71" i="59"/>
  <c r="BD10" i="59"/>
  <c r="BG89" i="59"/>
  <c r="BG35" i="59"/>
  <c r="BG23" i="59"/>
  <c r="BG66" i="59"/>
  <c r="BG11" i="59"/>
  <c r="BG75" i="59"/>
  <c r="BJ40" i="59"/>
  <c r="BG84" i="59"/>
  <c r="BG13" i="59"/>
  <c r="BJ53" i="59"/>
  <c r="BG76" i="59"/>
  <c r="BG85" i="59"/>
  <c r="BJ35" i="59"/>
  <c r="BG60" i="59"/>
  <c r="BJ52" i="59"/>
  <c r="BD12" i="59"/>
  <c r="BG28" i="59"/>
  <c r="BG14" i="59"/>
  <c r="BG59" i="59"/>
  <c r="BJ29" i="59"/>
  <c r="BG61" i="59"/>
  <c r="BJ24" i="59"/>
  <c r="BD72" i="59"/>
  <c r="BJ25" i="59"/>
  <c r="BG87" i="59"/>
  <c r="BJ48" i="59"/>
  <c r="BG73" i="59"/>
  <c r="BD71" i="59"/>
  <c r="BG72" i="59"/>
  <c r="BJ54" i="59"/>
  <c r="BJ51" i="59"/>
  <c r="BG64" i="59"/>
  <c r="BJ30" i="59"/>
  <c r="BG42" i="59"/>
  <c r="BG27" i="59"/>
  <c r="BD13" i="59"/>
  <c r="BJ42" i="59"/>
  <c r="BG54" i="59"/>
  <c r="BJ47" i="59"/>
  <c r="BG12" i="59"/>
  <c r="BJ39" i="59"/>
  <c r="BD11" i="59"/>
  <c r="BD15" i="59"/>
  <c r="BD14" i="59"/>
  <c r="BG9" i="59"/>
  <c r="BG52" i="59"/>
  <c r="BG36" i="59"/>
  <c r="BG47" i="59"/>
  <c r="BG74" i="59"/>
  <c r="BJ38" i="59"/>
  <c r="BG78" i="59"/>
  <c r="BG25" i="59"/>
  <c r="BD76" i="59"/>
  <c r="BG37" i="59"/>
  <c r="BD9" i="59"/>
  <c r="BJ27" i="59"/>
  <c r="BJ28" i="59"/>
  <c r="BG91" i="59"/>
  <c r="BD74" i="59"/>
  <c r="BG77" i="59"/>
  <c r="BG24" i="59"/>
  <c r="BG53" i="59"/>
  <c r="BG41" i="59"/>
  <c r="BG15" i="59"/>
  <c r="BG26" i="59"/>
  <c r="BD73" i="59"/>
  <c r="BG50" i="59"/>
  <c r="BG40" i="59"/>
  <c r="BG39" i="59"/>
  <c r="BG62" i="59"/>
  <c r="BJ23" i="59"/>
  <c r="BG63" i="59"/>
  <c r="BJ37" i="59"/>
  <c r="AI9" i="59" l="1"/>
  <c r="AI12" i="59"/>
  <c r="AF9" i="59"/>
  <c r="AI10" i="59"/>
  <c r="AI13" i="59"/>
  <c r="X9" i="59"/>
  <c r="AE19" i="59"/>
  <c r="AH19" i="59"/>
  <c r="AH17" i="59"/>
  <c r="W19" i="59"/>
  <c r="AH18" i="59"/>
  <c r="AE17" i="59"/>
  <c r="AB18" i="59"/>
  <c r="P19" i="59"/>
  <c r="W18" i="59"/>
  <c r="AE18" i="59"/>
  <c r="AE20" i="59"/>
  <c r="AB19" i="59"/>
  <c r="AF15" i="59"/>
  <c r="X15" i="59"/>
  <c r="AF10" i="59"/>
  <c r="X10" i="59"/>
  <c r="AI15" i="59"/>
  <c r="AF11" i="59"/>
  <c r="X11" i="59"/>
  <c r="AI11" i="59"/>
  <c r="X13" i="59"/>
  <c r="AF13" i="59"/>
  <c r="X12" i="59"/>
  <c r="AF12" i="59"/>
  <c r="AF14" i="59"/>
  <c r="X14" i="59"/>
  <c r="AI14" i="59"/>
  <c r="AH20" i="59"/>
  <c r="AB20" i="59"/>
  <c r="AB17" i="59"/>
  <c r="P17" i="59"/>
  <c r="P20" i="59"/>
  <c r="P18" i="59"/>
  <c r="I36" i="60"/>
  <c r="AI35" i="60"/>
  <c r="AH35" i="60"/>
  <c r="AG35" i="60"/>
  <c r="AD35" i="60"/>
  <c r="AC35" i="60"/>
  <c r="AA35" i="60"/>
  <c r="Z35" i="60"/>
  <c r="Y35" i="60"/>
  <c r="W35" i="60"/>
  <c r="V35" i="60"/>
  <c r="N35" i="60" s="1"/>
  <c r="K35" i="60"/>
  <c r="J35" i="60"/>
  <c r="AI19" i="59" l="1"/>
  <c r="X18" i="59"/>
  <c r="AI18" i="59"/>
  <c r="AF20" i="59"/>
  <c r="AI17" i="59"/>
  <c r="AI20" i="59"/>
  <c r="AF18" i="59"/>
  <c r="AF19" i="59"/>
  <c r="AF17" i="59"/>
  <c r="X19" i="59"/>
  <c r="S35" i="60"/>
  <c r="R35" i="60"/>
  <c r="P35" i="60"/>
  <c r="O35" i="60"/>
  <c r="M35" i="60"/>
  <c r="BA34" i="60"/>
  <c r="AZ34" i="60"/>
  <c r="AY34" i="60"/>
  <c r="AV34" i="60"/>
  <c r="AU34" i="60"/>
  <c r="AS34" i="60"/>
  <c r="H35" i="60"/>
  <c r="AO34" i="60"/>
  <c r="AN34" i="60"/>
  <c r="BE34" i="60"/>
  <c r="BC34" i="60"/>
  <c r="AW34" i="60"/>
  <c r="E35" i="60"/>
  <c r="AT34" i="60"/>
  <c r="AQ34" i="60"/>
  <c r="AP34" i="60"/>
  <c r="G35" i="60"/>
  <c r="AM34" i="60"/>
  <c r="BD34" i="60"/>
  <c r="I35" i="60" l="1"/>
  <c r="AI34" i="60"/>
  <c r="AH34" i="60"/>
  <c r="AG34" i="60"/>
  <c r="AD34" i="60"/>
  <c r="AC34" i="60"/>
  <c r="AA34" i="60"/>
  <c r="Z34" i="60"/>
  <c r="Y34" i="60"/>
  <c r="W34" i="60"/>
  <c r="V34" i="60"/>
  <c r="N34" i="60" s="1"/>
  <c r="K34" i="60"/>
  <c r="J34" i="60"/>
  <c r="M34" i="60" l="1"/>
  <c r="R34" i="60"/>
  <c r="O34" i="60"/>
  <c r="S34" i="60"/>
  <c r="P34" i="60"/>
  <c r="AU33" i="60"/>
  <c r="AT33" i="60"/>
  <c r="AQ33" i="60"/>
  <c r="AP33" i="60"/>
  <c r="H34" i="60"/>
  <c r="G34" i="60"/>
  <c r="AN33" i="60"/>
  <c r="E34" i="60"/>
  <c r="AM33" i="60"/>
  <c r="AW33" i="60"/>
  <c r="AS33" i="60"/>
  <c r="AV33" i="60"/>
  <c r="AO33" i="60"/>
  <c r="BC33" i="60"/>
  <c r="AZ33" i="60"/>
  <c r="BE33" i="60"/>
  <c r="BD33" i="60"/>
  <c r="BA33" i="60"/>
  <c r="AY33" i="60"/>
  <c r="I34" i="60" l="1"/>
  <c r="AI33" i="60"/>
  <c r="AH33" i="60"/>
  <c r="AG33" i="60"/>
  <c r="AD33" i="60"/>
  <c r="AC33" i="60"/>
  <c r="AA33" i="60"/>
  <c r="Z33" i="60"/>
  <c r="Y33" i="60"/>
  <c r="W33" i="60"/>
  <c r="V33" i="60"/>
  <c r="N33" i="60" s="1"/>
  <c r="K33" i="60"/>
  <c r="J33" i="60"/>
  <c r="M33" i="60" l="1"/>
  <c r="S33" i="60"/>
  <c r="R33" i="60"/>
  <c r="P33" i="60"/>
  <c r="O33" i="60"/>
  <c r="AU32" i="60"/>
  <c r="AT32" i="60"/>
  <c r="AS32" i="60"/>
  <c r="AQ32" i="60"/>
  <c r="AP32" i="60"/>
  <c r="H33" i="60"/>
  <c r="AO32" i="60"/>
  <c r="AN32" i="60"/>
  <c r="E33" i="60"/>
  <c r="AM32" i="60"/>
  <c r="BE32" i="60"/>
  <c r="BD32" i="60"/>
  <c r="BC32" i="60"/>
  <c r="BA32" i="60"/>
  <c r="AZ32" i="60"/>
  <c r="AY32" i="60"/>
  <c r="AV32" i="60"/>
  <c r="G33" i="60"/>
  <c r="AW32" i="60"/>
  <c r="I33" i="60" l="1"/>
  <c r="AI32" i="60"/>
  <c r="AH32" i="60"/>
  <c r="AG32" i="60"/>
  <c r="AD32" i="60"/>
  <c r="AC32" i="60"/>
  <c r="AA32" i="60"/>
  <c r="Z32" i="60"/>
  <c r="Y32" i="60"/>
  <c r="W32" i="60"/>
  <c r="V32" i="60"/>
  <c r="N32" i="60" s="1"/>
  <c r="K32" i="60"/>
  <c r="J32" i="60"/>
  <c r="M32" i="60" l="1"/>
  <c r="R32" i="60"/>
  <c r="P32" i="60"/>
  <c r="O32" i="60"/>
  <c r="S32" i="60"/>
  <c r="AA42" i="60"/>
  <c r="AA41" i="60"/>
  <c r="N42" i="60"/>
  <c r="N41" i="60"/>
  <c r="V42" i="60"/>
  <c r="V41" i="60"/>
  <c r="W42" i="60"/>
  <c r="W41" i="60"/>
  <c r="Y42" i="60"/>
  <c r="Y41" i="60"/>
  <c r="Z41" i="60"/>
  <c r="Z42" i="60"/>
  <c r="AC41" i="60"/>
  <c r="AC42" i="60"/>
  <c r="AD41" i="60"/>
  <c r="AD42" i="60"/>
  <c r="AG41" i="60"/>
  <c r="AG42" i="60"/>
  <c r="AH41" i="60"/>
  <c r="AH42" i="60"/>
  <c r="AI41" i="60"/>
  <c r="AI42" i="60"/>
  <c r="H32" i="60"/>
  <c r="E32" i="60"/>
  <c r="G32" i="60"/>
  <c r="I32" i="60" l="1"/>
  <c r="S42" i="60"/>
  <c r="S41" i="60"/>
  <c r="O41" i="60"/>
  <c r="O42" i="60"/>
  <c r="P42" i="60"/>
  <c r="P41" i="60"/>
  <c r="R42" i="60"/>
  <c r="R41" i="60"/>
  <c r="M42" i="60"/>
  <c r="M41" i="60"/>
  <c r="AY25" i="60"/>
  <c r="AW25" i="60"/>
  <c r="AV25" i="60"/>
  <c r="AU25" i="60"/>
  <c r="AT25" i="60"/>
  <c r="AS25" i="60"/>
  <c r="K25" i="60"/>
  <c r="AP25" i="60"/>
  <c r="J25" i="60"/>
  <c r="AN25" i="60"/>
  <c r="AM25" i="60"/>
  <c r="BE25" i="60"/>
  <c r="AO25" i="60"/>
  <c r="AQ25" i="60"/>
  <c r="BA25" i="60"/>
  <c r="BD25" i="60"/>
  <c r="BC25" i="60"/>
  <c r="AZ25" i="60"/>
  <c r="AC25" i="60" l="1"/>
  <c r="Y25" i="60"/>
  <c r="AD25" i="60"/>
  <c r="V25" i="60"/>
  <c r="N25" i="60" s="1"/>
  <c r="AA25" i="60"/>
  <c r="Z25" i="60"/>
  <c r="W25" i="60"/>
  <c r="AG25" i="60"/>
  <c r="AH25" i="60"/>
  <c r="AI25" i="60"/>
  <c r="S25" i="60"/>
  <c r="R25" i="60"/>
  <c r="P25" i="60"/>
  <c r="O25" i="60"/>
  <c r="M25" i="60"/>
  <c r="G25" i="60"/>
  <c r="AN24" i="60"/>
  <c r="E25" i="60"/>
  <c r="AM24" i="60"/>
  <c r="BE24" i="60"/>
  <c r="BD24" i="60"/>
  <c r="BC24" i="60"/>
  <c r="AZ24" i="60"/>
  <c r="AY24" i="60"/>
  <c r="AW24" i="60"/>
  <c r="AV24" i="60"/>
  <c r="AT24" i="60"/>
  <c r="AS24" i="60"/>
  <c r="AQ24" i="60"/>
  <c r="AP24" i="60"/>
  <c r="AU24" i="60"/>
  <c r="H25" i="60"/>
  <c r="BA24" i="60"/>
  <c r="AO24" i="60"/>
  <c r="I25" i="60" l="1"/>
  <c r="AI24" i="60"/>
  <c r="AH24" i="60"/>
  <c r="AG24" i="60"/>
  <c r="AD24" i="60"/>
  <c r="AC24" i="60"/>
  <c r="AA24" i="60"/>
  <c r="Z24" i="60"/>
  <c r="Y24" i="60"/>
  <c r="W24" i="60"/>
  <c r="V24" i="60"/>
  <c r="N24" i="60" s="1"/>
  <c r="K24" i="60"/>
  <c r="J24" i="60"/>
  <c r="S24" i="60" l="1"/>
  <c r="R24" i="60"/>
  <c r="P24" i="60"/>
  <c r="M24" i="60"/>
  <c r="O24" i="60"/>
  <c r="AU23" i="60"/>
  <c r="AT23" i="60"/>
  <c r="AS23" i="60"/>
  <c r="AQ23" i="60"/>
  <c r="AP23" i="60"/>
  <c r="H24" i="60"/>
  <c r="AO23" i="60"/>
  <c r="G24" i="60"/>
  <c r="AN23" i="60"/>
  <c r="E24" i="60"/>
  <c r="BD23" i="60"/>
  <c r="AV23" i="60"/>
  <c r="BC23" i="60"/>
  <c r="AM23" i="60"/>
  <c r="BA23" i="60"/>
  <c r="AZ23" i="60"/>
  <c r="AY23" i="60"/>
  <c r="BE23" i="60"/>
  <c r="AW23" i="60"/>
  <c r="I24" i="60" l="1"/>
  <c r="AI23" i="60"/>
  <c r="AH23" i="60"/>
  <c r="AG23" i="60"/>
  <c r="AD23" i="60"/>
  <c r="AC23" i="60"/>
  <c r="AA23" i="60"/>
  <c r="Z23" i="60"/>
  <c r="Y23" i="60"/>
  <c r="W23" i="60"/>
  <c r="V23" i="60"/>
  <c r="N23" i="60" s="1"/>
  <c r="J23" i="60"/>
  <c r="K23" i="60"/>
  <c r="S23" i="60" l="1"/>
  <c r="R23" i="60"/>
  <c r="P23" i="60"/>
  <c r="O23" i="60"/>
  <c r="M23" i="60"/>
  <c r="AU22" i="60"/>
  <c r="AT22" i="60"/>
  <c r="AS22" i="60"/>
  <c r="AQ22" i="60"/>
  <c r="H23" i="60"/>
  <c r="AO22" i="60"/>
  <c r="G23" i="60"/>
  <c r="AN22" i="60"/>
  <c r="AM22" i="60"/>
  <c r="BE22" i="60"/>
  <c r="BD22" i="60"/>
  <c r="BA22" i="60"/>
  <c r="AV22" i="60"/>
  <c r="AY22" i="60"/>
  <c r="AP22" i="60"/>
  <c r="E23" i="60"/>
  <c r="AZ22" i="60"/>
  <c r="AW22" i="60"/>
  <c r="BC22" i="60"/>
  <c r="I23" i="60" l="1"/>
  <c r="AI22" i="60"/>
  <c r="AH22" i="60"/>
  <c r="AG22" i="60"/>
  <c r="AD22" i="60"/>
  <c r="AC22" i="60"/>
  <c r="AA22" i="60"/>
  <c r="Z22" i="60"/>
  <c r="Y22" i="60"/>
  <c r="W22" i="60"/>
  <c r="V22" i="60"/>
  <c r="N22" i="60" s="1"/>
  <c r="J22" i="60"/>
  <c r="K22" i="60"/>
  <c r="R22" i="60" l="1"/>
  <c r="S22" i="60"/>
  <c r="P22" i="60"/>
  <c r="O22" i="60"/>
  <c r="M22" i="60"/>
  <c r="AU21" i="60"/>
  <c r="AT21" i="60"/>
  <c r="AS21" i="60"/>
  <c r="AP21" i="60"/>
  <c r="H22" i="60"/>
  <c r="G22" i="60"/>
  <c r="AN21" i="60"/>
  <c r="E22" i="60"/>
  <c r="BE21" i="60"/>
  <c r="BD21" i="60"/>
  <c r="AZ21" i="60"/>
  <c r="AW21" i="60"/>
  <c r="AV21" i="60"/>
  <c r="AQ21" i="60"/>
  <c r="AM21" i="60"/>
  <c r="BC21" i="60"/>
  <c r="AY21" i="60"/>
  <c r="AO21" i="60"/>
  <c r="BA21" i="60"/>
  <c r="I22" i="60" l="1"/>
  <c r="AI21" i="60"/>
  <c r="AH21" i="60"/>
  <c r="AG21" i="60"/>
  <c r="AD21" i="60"/>
  <c r="AC21" i="60"/>
  <c r="AA21" i="60"/>
  <c r="Z21" i="60"/>
  <c r="Y21" i="60"/>
  <c r="W21" i="60"/>
  <c r="V21" i="60"/>
  <c r="N21" i="60" s="1"/>
  <c r="J21" i="60"/>
  <c r="K21" i="60"/>
  <c r="S21" i="60" l="1"/>
  <c r="R21" i="60"/>
  <c r="P21" i="60"/>
  <c r="O21" i="60"/>
  <c r="M21" i="60"/>
  <c r="AU20" i="60"/>
  <c r="AT20" i="60"/>
  <c r="AQ20" i="60"/>
  <c r="H21" i="60"/>
  <c r="G21" i="60"/>
  <c r="AN20" i="60"/>
  <c r="BC20" i="60"/>
  <c r="AZ20" i="60"/>
  <c r="AV20" i="60"/>
  <c r="AS20" i="60"/>
  <c r="E21" i="60"/>
  <c r="BE20" i="60"/>
  <c r="AY20" i="60"/>
  <c r="AP20" i="60"/>
  <c r="AM20" i="60"/>
  <c r="BD20" i="60"/>
  <c r="BA20" i="60"/>
  <c r="AO20" i="60"/>
  <c r="AW20" i="60"/>
  <c r="I21" i="60" l="1"/>
  <c r="AI20" i="60"/>
  <c r="AH20" i="60"/>
  <c r="AG20" i="60"/>
  <c r="AD20" i="60"/>
  <c r="AC20" i="60"/>
  <c r="AA20" i="60"/>
  <c r="Z20" i="60"/>
  <c r="Y20" i="60"/>
  <c r="W20" i="60"/>
  <c r="V20" i="60"/>
  <c r="N20" i="60" s="1"/>
  <c r="K20" i="60"/>
  <c r="J20" i="60"/>
  <c r="S20" i="60" l="1"/>
  <c r="R20" i="60"/>
  <c r="P20" i="60"/>
  <c r="O20" i="60"/>
  <c r="M20" i="60"/>
  <c r="AU19" i="60"/>
  <c r="AS19" i="60"/>
  <c r="AO19" i="60"/>
  <c r="E20" i="60"/>
  <c r="BD19" i="60"/>
  <c r="AW19" i="60"/>
  <c r="AT19" i="60"/>
  <c r="AQ19" i="60"/>
  <c r="H20" i="60"/>
  <c r="AN19" i="60"/>
  <c r="AM19" i="60"/>
  <c r="BE19" i="60"/>
  <c r="AZ19" i="60"/>
  <c r="AV19" i="60"/>
  <c r="AP19" i="60"/>
  <c r="BC19" i="60"/>
  <c r="BA19" i="60"/>
  <c r="G20" i="60"/>
  <c r="AY19" i="60"/>
  <c r="I20" i="60" l="1"/>
  <c r="AI19" i="60"/>
  <c r="AH19" i="60"/>
  <c r="AG19" i="60"/>
  <c r="AD19" i="60"/>
  <c r="AC19" i="60"/>
  <c r="AA19" i="60"/>
  <c r="Z19" i="60"/>
  <c r="Y19" i="60"/>
  <c r="W19" i="60"/>
  <c r="V19" i="60"/>
  <c r="N19" i="60" s="1"/>
  <c r="K19" i="60"/>
  <c r="J19" i="60"/>
  <c r="S19" i="60" l="1"/>
  <c r="R19" i="60"/>
  <c r="P19" i="60"/>
  <c r="O19" i="60"/>
  <c r="M19" i="60"/>
  <c r="AU18" i="60"/>
  <c r="AT18" i="60"/>
  <c r="H19" i="60"/>
  <c r="AN18" i="60"/>
  <c r="BD18" i="60"/>
  <c r="AY18" i="60"/>
  <c r="AW18" i="60"/>
  <c r="AS18" i="60"/>
  <c r="AP18" i="60"/>
  <c r="G19" i="60"/>
  <c r="E19" i="60"/>
  <c r="AM18" i="60"/>
  <c r="BC18" i="60"/>
  <c r="AZ18" i="60"/>
  <c r="AQ18" i="60"/>
  <c r="BE18" i="60"/>
  <c r="AO18" i="60"/>
  <c r="BA18" i="60"/>
  <c r="AV18" i="60"/>
  <c r="I19" i="60" l="1"/>
  <c r="AI18" i="60"/>
  <c r="AH18" i="60"/>
  <c r="AG18" i="60"/>
  <c r="AD18" i="60"/>
  <c r="AC18" i="60"/>
  <c r="AA18" i="60"/>
  <c r="Z18" i="60"/>
  <c r="Y18" i="60"/>
  <c r="W18" i="60"/>
  <c r="V18" i="60"/>
  <c r="N18" i="60" s="1"/>
  <c r="K18" i="60"/>
  <c r="J18" i="60"/>
  <c r="S18" i="60" l="1"/>
  <c r="R18" i="60"/>
  <c r="P18" i="60"/>
  <c r="O18" i="60"/>
  <c r="M18" i="60"/>
  <c r="AU17" i="60"/>
  <c r="AT17" i="60"/>
  <c r="AS17" i="60"/>
  <c r="AQ17" i="60"/>
  <c r="AP17" i="60"/>
  <c r="AO17" i="60"/>
  <c r="AN17" i="60"/>
  <c r="E18" i="60"/>
  <c r="BD17" i="60"/>
  <c r="BC17" i="60"/>
  <c r="BA17" i="60"/>
  <c r="AY17" i="60"/>
  <c r="H18" i="60"/>
  <c r="BE17" i="60"/>
  <c r="AW17" i="60"/>
  <c r="G18" i="60"/>
  <c r="AZ17" i="60"/>
  <c r="AV17" i="60"/>
  <c r="AM17" i="60"/>
  <c r="I18" i="60" l="1"/>
  <c r="AI17" i="60"/>
  <c r="AH17" i="60"/>
  <c r="AG17" i="60"/>
  <c r="AD17" i="60"/>
  <c r="AC17" i="60"/>
  <c r="AA17" i="60"/>
  <c r="Z17" i="60"/>
  <c r="Y17" i="60"/>
  <c r="W17" i="60"/>
  <c r="V17" i="60"/>
  <c r="N17" i="60" s="1"/>
  <c r="K17" i="60"/>
  <c r="J17" i="60"/>
  <c r="M17" i="60" l="1"/>
  <c r="S17" i="60"/>
  <c r="P17" i="60"/>
  <c r="R17" i="60"/>
  <c r="O17" i="60"/>
  <c r="AU16" i="60"/>
  <c r="AT16" i="60"/>
  <c r="AQ16" i="60"/>
  <c r="AP16" i="60"/>
  <c r="AO16" i="60"/>
  <c r="AN16" i="60"/>
  <c r="AM16" i="60"/>
  <c r="BE16" i="60"/>
  <c r="BC16" i="60"/>
  <c r="AZ16" i="60"/>
  <c r="AS16" i="60"/>
  <c r="G17" i="60"/>
  <c r="BD16" i="60"/>
  <c r="BA16" i="60"/>
  <c r="AW16" i="60"/>
  <c r="H17" i="60"/>
  <c r="AV16" i="60"/>
  <c r="E17" i="60"/>
  <c r="AY16" i="60"/>
  <c r="I17" i="60" l="1"/>
  <c r="AI16" i="60"/>
  <c r="AH16" i="60"/>
  <c r="AG16" i="60"/>
  <c r="AD16" i="60"/>
  <c r="AC16" i="60"/>
  <c r="AA16" i="60"/>
  <c r="Z16" i="60"/>
  <c r="Y16" i="60"/>
  <c r="W16" i="60"/>
  <c r="V16" i="60"/>
  <c r="N16" i="60" s="1"/>
  <c r="K16" i="60"/>
  <c r="J16" i="60"/>
  <c r="M16" i="60" l="1"/>
  <c r="S16" i="60"/>
  <c r="O16" i="60"/>
  <c r="P16" i="60"/>
  <c r="R16" i="60"/>
  <c r="AU15" i="60"/>
  <c r="AT15" i="60"/>
  <c r="AS15" i="60"/>
  <c r="AP15" i="60"/>
  <c r="H16" i="60"/>
  <c r="AN15" i="60"/>
  <c r="AM15" i="60"/>
  <c r="BD15" i="60"/>
  <c r="AZ15" i="60"/>
  <c r="AW15" i="60"/>
  <c r="AQ15" i="60"/>
  <c r="AO15" i="60"/>
  <c r="E16" i="60"/>
  <c r="BE15" i="60"/>
  <c r="BA15" i="60"/>
  <c r="AY15" i="60"/>
  <c r="AV15" i="60"/>
  <c r="BC15" i="60"/>
  <c r="G16" i="60"/>
  <c r="I16" i="60" l="1"/>
  <c r="AI15" i="60"/>
  <c r="AH15" i="60"/>
  <c r="AG15" i="60"/>
  <c r="AD15" i="60"/>
  <c r="AC15" i="60"/>
  <c r="AA15" i="60"/>
  <c r="Z15" i="60"/>
  <c r="Y15" i="60"/>
  <c r="W15" i="60"/>
  <c r="V15" i="60"/>
  <c r="N15" i="60" s="1"/>
  <c r="J15" i="60"/>
  <c r="K15" i="60"/>
  <c r="M15" i="60" l="1"/>
  <c r="S15" i="60"/>
  <c r="R15" i="60"/>
  <c r="O15" i="60"/>
  <c r="P15" i="60"/>
  <c r="Y28" i="60"/>
  <c r="Y27" i="60"/>
  <c r="N28" i="60"/>
  <c r="N27" i="60"/>
  <c r="Z28" i="60"/>
  <c r="Z27" i="60"/>
  <c r="AG27" i="60"/>
  <c r="AG28" i="60"/>
  <c r="V28" i="60"/>
  <c r="V27" i="60"/>
  <c r="W27" i="60"/>
  <c r="W28" i="60"/>
  <c r="AA28" i="60"/>
  <c r="AA27" i="60"/>
  <c r="AC27" i="60"/>
  <c r="AC28" i="60"/>
  <c r="AD28" i="60"/>
  <c r="AD27" i="60"/>
  <c r="AH28" i="60"/>
  <c r="AH27" i="60"/>
  <c r="AI28" i="60"/>
  <c r="AI27" i="60"/>
  <c r="H15" i="60"/>
  <c r="E15" i="60"/>
  <c r="G15" i="60"/>
  <c r="I15" i="60" l="1"/>
  <c r="P27" i="60"/>
  <c r="P28" i="60"/>
  <c r="O28" i="60"/>
  <c r="O27" i="60"/>
  <c r="R28" i="60"/>
  <c r="R27" i="60"/>
  <c r="S27" i="60"/>
  <c r="S28" i="60"/>
  <c r="M28" i="60"/>
  <c r="M27" i="60"/>
  <c r="AG11" i="60"/>
  <c r="AC11" i="60"/>
  <c r="R11" i="60"/>
  <c r="N11" i="60"/>
  <c r="E5" i="60"/>
  <c r="G11" i="60" s="1"/>
  <c r="C257" i="67"/>
  <c r="F257" i="67" s="1"/>
  <c r="I257" i="67" s="1"/>
  <c r="AD225" i="67"/>
  <c r="AC225" i="67"/>
  <c r="AB225" i="67"/>
  <c r="AA225" i="67"/>
  <c r="Z225" i="67"/>
  <c r="X225" i="67"/>
  <c r="T225" i="67"/>
  <c r="AD224" i="67"/>
  <c r="AC224" i="67"/>
  <c r="AB224" i="67"/>
  <c r="AA224" i="67"/>
  <c r="Z224" i="67"/>
  <c r="X224" i="67"/>
  <c r="T224" i="67"/>
  <c r="AD223" i="67"/>
  <c r="AC223" i="67"/>
  <c r="AB223" i="67"/>
  <c r="AA223" i="67"/>
  <c r="Z223" i="67"/>
  <c r="X223" i="67"/>
  <c r="T223" i="67"/>
  <c r="AD222" i="67"/>
  <c r="AC222" i="67"/>
  <c r="AB222" i="67"/>
  <c r="AA222" i="67"/>
  <c r="Z222" i="67"/>
  <c r="X222" i="67"/>
  <c r="W222" i="67"/>
  <c r="V222" i="67"/>
  <c r="U222" i="67"/>
  <c r="T222" i="67"/>
  <c r="AD221" i="67"/>
  <c r="AC221" i="67"/>
  <c r="AB221" i="67"/>
  <c r="AA221" i="67"/>
  <c r="Z221" i="67"/>
  <c r="X221" i="67"/>
  <c r="W221" i="67"/>
  <c r="V221" i="67"/>
  <c r="U221" i="67"/>
  <c r="T221" i="67"/>
  <c r="AD220" i="67"/>
  <c r="AC220" i="67"/>
  <c r="AB220" i="67"/>
  <c r="AA220" i="67"/>
  <c r="Z220" i="67"/>
  <c r="X220" i="67"/>
  <c r="W220" i="67"/>
  <c r="V220" i="67"/>
  <c r="U220" i="67"/>
  <c r="T220" i="67"/>
  <c r="AD219" i="67"/>
  <c r="AC219" i="67"/>
  <c r="AB219" i="67"/>
  <c r="AA219" i="67"/>
  <c r="Z219" i="67"/>
  <c r="X219" i="67"/>
  <c r="W219" i="67"/>
  <c r="V219" i="67"/>
  <c r="U219" i="67"/>
  <c r="T219" i="67"/>
  <c r="AD218" i="67"/>
  <c r="AC218" i="67"/>
  <c r="AB218" i="67"/>
  <c r="AA218" i="67"/>
  <c r="Z218" i="67"/>
  <c r="X218" i="67"/>
  <c r="W218" i="67"/>
  <c r="V218" i="67"/>
  <c r="U218" i="67"/>
  <c r="T218" i="67"/>
  <c r="AD217" i="67"/>
  <c r="AC217" i="67"/>
  <c r="AB217" i="67"/>
  <c r="AA217" i="67"/>
  <c r="Z217" i="67"/>
  <c r="X217" i="67"/>
  <c r="W217" i="67"/>
  <c r="V217" i="67"/>
  <c r="U217" i="67"/>
  <c r="T217" i="67"/>
  <c r="W212" i="67"/>
  <c r="Q212" i="67"/>
  <c r="L212" i="67"/>
  <c r="AD211" i="67"/>
  <c r="AC211" i="67"/>
  <c r="AB211" i="67"/>
  <c r="AA211" i="67"/>
  <c r="Z211" i="67"/>
  <c r="X211" i="67"/>
  <c r="T211" i="67"/>
  <c r="AD210" i="67"/>
  <c r="AC210" i="67"/>
  <c r="AB210" i="67"/>
  <c r="AA210" i="67"/>
  <c r="Z210" i="67"/>
  <c r="X210" i="67"/>
  <c r="T210" i="67"/>
  <c r="AD209" i="67"/>
  <c r="AC209" i="67"/>
  <c r="AB209" i="67"/>
  <c r="AA209" i="67"/>
  <c r="Z209" i="67"/>
  <c r="X209" i="67"/>
  <c r="T209" i="67"/>
  <c r="AD208" i="67"/>
  <c r="AC208" i="67"/>
  <c r="AB208" i="67"/>
  <c r="AA208" i="67"/>
  <c r="Z208" i="67"/>
  <c r="X208" i="67"/>
  <c r="W208" i="67"/>
  <c r="V208" i="67"/>
  <c r="U208" i="67"/>
  <c r="T208" i="67"/>
  <c r="AD207" i="67"/>
  <c r="AC207" i="67"/>
  <c r="AB207" i="67"/>
  <c r="AA207" i="67"/>
  <c r="Z207" i="67"/>
  <c r="X207" i="67"/>
  <c r="W207" i="67"/>
  <c r="V207" i="67"/>
  <c r="U207" i="67"/>
  <c r="T207" i="67"/>
  <c r="AD206" i="67"/>
  <c r="AC206" i="67"/>
  <c r="AB206" i="67"/>
  <c r="AA206" i="67"/>
  <c r="Z206" i="67"/>
  <c r="X206" i="67"/>
  <c r="W206" i="67"/>
  <c r="V206" i="67"/>
  <c r="U206" i="67"/>
  <c r="T206" i="67"/>
  <c r="AD205" i="67"/>
  <c r="AC205" i="67"/>
  <c r="AB205" i="67"/>
  <c r="AA205" i="67"/>
  <c r="Z205" i="67"/>
  <c r="X205" i="67"/>
  <c r="W205" i="67"/>
  <c r="V205" i="67"/>
  <c r="U205" i="67"/>
  <c r="T205" i="67"/>
  <c r="AD204" i="67"/>
  <c r="AC204" i="67"/>
  <c r="AB204" i="67"/>
  <c r="AA204" i="67"/>
  <c r="Z204" i="67"/>
  <c r="X204" i="67"/>
  <c r="W204" i="67"/>
  <c r="V204" i="67"/>
  <c r="U204" i="67"/>
  <c r="T204" i="67"/>
  <c r="AD203" i="67"/>
  <c r="AC203" i="67"/>
  <c r="AB203" i="67"/>
  <c r="AA203" i="67"/>
  <c r="Z203" i="67"/>
  <c r="X203" i="67"/>
  <c r="W203" i="67"/>
  <c r="V203" i="67"/>
  <c r="U203" i="67"/>
  <c r="T203" i="67"/>
  <c r="AD197" i="67"/>
  <c r="AC197" i="67"/>
  <c r="AB197" i="67"/>
  <c r="AA197" i="67"/>
  <c r="Z197" i="67"/>
  <c r="X197" i="67"/>
  <c r="T197" i="67"/>
  <c r="E197" i="67"/>
  <c r="B197" i="67"/>
  <c r="B50" i="67" s="1"/>
  <c r="AD196" i="67"/>
  <c r="AC196" i="67"/>
  <c r="AB196" i="67"/>
  <c r="AA196" i="67"/>
  <c r="Z196" i="67"/>
  <c r="X196" i="67"/>
  <c r="T196" i="67"/>
  <c r="E196" i="67"/>
  <c r="B196" i="67"/>
  <c r="AD195" i="67"/>
  <c r="AC195" i="67"/>
  <c r="AB195" i="67"/>
  <c r="AA195" i="67"/>
  <c r="Z195" i="67"/>
  <c r="X195" i="67"/>
  <c r="T195" i="67"/>
  <c r="E195" i="67"/>
  <c r="AD194" i="67"/>
  <c r="AC194" i="67"/>
  <c r="AB194" i="67"/>
  <c r="AA194" i="67"/>
  <c r="Z194" i="67"/>
  <c r="X194" i="67"/>
  <c r="W194" i="67"/>
  <c r="V194" i="67"/>
  <c r="U194" i="67"/>
  <c r="T194" i="67"/>
  <c r="AD193" i="67"/>
  <c r="AC193" i="67"/>
  <c r="AB193" i="67"/>
  <c r="AA193" i="67"/>
  <c r="Z193" i="67"/>
  <c r="X193" i="67"/>
  <c r="W193" i="67"/>
  <c r="V193" i="67"/>
  <c r="U193" i="67"/>
  <c r="T193" i="67"/>
  <c r="AD192" i="67"/>
  <c r="AC192" i="67"/>
  <c r="AB192" i="67"/>
  <c r="AA192" i="67"/>
  <c r="Z192" i="67"/>
  <c r="X192" i="67"/>
  <c r="W192" i="67"/>
  <c r="V192" i="67"/>
  <c r="U192" i="67"/>
  <c r="T192" i="67"/>
  <c r="AD191" i="67"/>
  <c r="AC191" i="67"/>
  <c r="AB191" i="67"/>
  <c r="AA191" i="67"/>
  <c r="Z191" i="67"/>
  <c r="X191" i="67"/>
  <c r="W191" i="67"/>
  <c r="V191" i="67"/>
  <c r="U191" i="67"/>
  <c r="T191" i="67"/>
  <c r="AD190" i="67"/>
  <c r="AC190" i="67"/>
  <c r="AB190" i="67"/>
  <c r="AA190" i="67"/>
  <c r="Z190" i="67"/>
  <c r="X190" i="67"/>
  <c r="W190" i="67"/>
  <c r="V190" i="67"/>
  <c r="U190" i="67"/>
  <c r="T190" i="67"/>
  <c r="AD189" i="67"/>
  <c r="AC189" i="67"/>
  <c r="AB189" i="67"/>
  <c r="AA189" i="67"/>
  <c r="Z189" i="67"/>
  <c r="X189" i="67"/>
  <c r="W189" i="67"/>
  <c r="V189" i="67"/>
  <c r="U189" i="67"/>
  <c r="T189" i="67"/>
  <c r="AJ184" i="67"/>
  <c r="AI184" i="67"/>
  <c r="AG184" i="67"/>
  <c r="AE184" i="67"/>
  <c r="AC184" i="67"/>
  <c r="X184" i="67"/>
  <c r="W184" i="67"/>
  <c r="U184" i="67"/>
  <c r="S184" i="67"/>
  <c r="N184" i="67"/>
  <c r="M184" i="67"/>
  <c r="K184" i="67"/>
  <c r="I184" i="67"/>
  <c r="AJ183" i="67"/>
  <c r="AI183" i="67"/>
  <c r="AG183" i="67"/>
  <c r="X183" i="67"/>
  <c r="W183" i="67"/>
  <c r="U183" i="67"/>
  <c r="Q183" i="67"/>
  <c r="S183" i="67" s="1"/>
  <c r="N183" i="67"/>
  <c r="M183" i="67"/>
  <c r="K183" i="67"/>
  <c r="AJ182" i="67"/>
  <c r="AI182" i="67"/>
  <c r="AG182" i="67"/>
  <c r="AE182" i="67"/>
  <c r="X182" i="67"/>
  <c r="W182" i="67"/>
  <c r="U182" i="67"/>
  <c r="S182" i="67"/>
  <c r="N182" i="67"/>
  <c r="M182" i="67"/>
  <c r="K182" i="67"/>
  <c r="I182" i="67"/>
  <c r="AJ181" i="67"/>
  <c r="AI181" i="67"/>
  <c r="AG181" i="67"/>
  <c r="AE181" i="67"/>
  <c r="X181" i="67"/>
  <c r="W181" i="67"/>
  <c r="U181" i="67"/>
  <c r="S181" i="67"/>
  <c r="N181" i="67"/>
  <c r="M181" i="67"/>
  <c r="K181" i="67"/>
  <c r="I181" i="67"/>
  <c r="AJ180" i="67"/>
  <c r="AI180" i="67"/>
  <c r="AG180" i="67"/>
  <c r="AE180" i="67"/>
  <c r="AD180" i="67"/>
  <c r="X180" i="67"/>
  <c r="W180" i="67"/>
  <c r="U180" i="67"/>
  <c r="S180" i="67"/>
  <c r="R180" i="67"/>
  <c r="N180" i="67"/>
  <c r="M180" i="67"/>
  <c r="K180" i="67"/>
  <c r="I180" i="67"/>
  <c r="H180" i="67"/>
  <c r="AD188" i="67" s="1"/>
  <c r="AD202" i="67" s="1"/>
  <c r="AJ179" i="67"/>
  <c r="AI179" i="67"/>
  <c r="AG179" i="67"/>
  <c r="AE179" i="67"/>
  <c r="AD179" i="67"/>
  <c r="X179" i="67"/>
  <c r="W179" i="67"/>
  <c r="U179" i="67"/>
  <c r="S179" i="67"/>
  <c r="R179" i="67"/>
  <c r="N179" i="67"/>
  <c r="M179" i="67"/>
  <c r="K179" i="67"/>
  <c r="I179" i="67"/>
  <c r="H179" i="67"/>
  <c r="B99" i="67" s="1"/>
  <c r="AJ178" i="67"/>
  <c r="AI178" i="67"/>
  <c r="AG178" i="67"/>
  <c r="AE178" i="67"/>
  <c r="AD178" i="67"/>
  <c r="X178" i="67"/>
  <c r="W178" i="67"/>
  <c r="U178" i="67"/>
  <c r="S178" i="67"/>
  <c r="R178" i="67"/>
  <c r="N178" i="67"/>
  <c r="M178" i="67"/>
  <c r="K178" i="67"/>
  <c r="I178" i="67"/>
  <c r="H178" i="67"/>
  <c r="B98" i="67" s="1"/>
  <c r="AJ177" i="67"/>
  <c r="AI177" i="67"/>
  <c r="AG177" i="67"/>
  <c r="AE177" i="67"/>
  <c r="AD177" i="67"/>
  <c r="X177" i="67"/>
  <c r="W177" i="67"/>
  <c r="U177" i="67"/>
  <c r="S177" i="67"/>
  <c r="R177" i="67"/>
  <c r="N177" i="67"/>
  <c r="M177" i="67"/>
  <c r="K177" i="67"/>
  <c r="I177" i="67"/>
  <c r="H177" i="67"/>
  <c r="B97" i="67" s="1"/>
  <c r="AJ176" i="67"/>
  <c r="AI176" i="67"/>
  <c r="AG176" i="67"/>
  <c r="AE176" i="67"/>
  <c r="AD176" i="67"/>
  <c r="X176" i="67"/>
  <c r="W176" i="67"/>
  <c r="U176" i="67"/>
  <c r="S176" i="67"/>
  <c r="R176" i="67"/>
  <c r="N176" i="67"/>
  <c r="M176" i="67"/>
  <c r="K176" i="67"/>
  <c r="I176" i="67"/>
  <c r="H176" i="67"/>
  <c r="Z188" i="67" s="1"/>
  <c r="AJ175" i="67"/>
  <c r="AI175" i="67"/>
  <c r="AG175" i="67"/>
  <c r="AE175" i="67"/>
  <c r="AD175" i="67"/>
  <c r="X175" i="67"/>
  <c r="W175" i="67"/>
  <c r="U175" i="67"/>
  <c r="S175" i="67"/>
  <c r="R175" i="67"/>
  <c r="N175" i="67"/>
  <c r="M175" i="67"/>
  <c r="K175" i="67"/>
  <c r="I175" i="67"/>
  <c r="H175" i="67"/>
  <c r="Y188" i="67" s="1"/>
  <c r="Y216" i="67" s="1"/>
  <c r="AJ174" i="67"/>
  <c r="AI174" i="67"/>
  <c r="AG174" i="67"/>
  <c r="AE174" i="67"/>
  <c r="AD174" i="67"/>
  <c r="X174" i="67"/>
  <c r="W174" i="67"/>
  <c r="U174" i="67"/>
  <c r="S174" i="67"/>
  <c r="R174" i="67"/>
  <c r="N174" i="67"/>
  <c r="M174" i="67"/>
  <c r="K174" i="67"/>
  <c r="I174" i="67"/>
  <c r="H174" i="67"/>
  <c r="X188" i="67" s="1"/>
  <c r="AJ173" i="67"/>
  <c r="AI173" i="67"/>
  <c r="AG173" i="67"/>
  <c r="AE173" i="67"/>
  <c r="AD173" i="67"/>
  <c r="X173" i="67"/>
  <c r="W173" i="67"/>
  <c r="U173" i="67"/>
  <c r="S173" i="67"/>
  <c r="R173" i="67"/>
  <c r="N173" i="67"/>
  <c r="M173" i="67"/>
  <c r="G93" i="67" s="1"/>
  <c r="K173" i="67"/>
  <c r="I173" i="67"/>
  <c r="H173" i="67"/>
  <c r="AJ172" i="67"/>
  <c r="AI172" i="67"/>
  <c r="AG172" i="67"/>
  <c r="AE172" i="67"/>
  <c r="AD172" i="67"/>
  <c r="X172" i="67"/>
  <c r="W172" i="67"/>
  <c r="U172" i="67"/>
  <c r="S172" i="67"/>
  <c r="R172" i="67"/>
  <c r="N172" i="67"/>
  <c r="M172" i="67"/>
  <c r="K172" i="67"/>
  <c r="I172" i="67"/>
  <c r="H172" i="67"/>
  <c r="V188" i="67" s="1"/>
  <c r="AJ171" i="67"/>
  <c r="AI171" i="67"/>
  <c r="AG171" i="67"/>
  <c r="AE171" i="67"/>
  <c r="AD171" i="67"/>
  <c r="X171" i="67"/>
  <c r="W171" i="67"/>
  <c r="U171" i="67"/>
  <c r="S171" i="67"/>
  <c r="R171" i="67"/>
  <c r="N171" i="67"/>
  <c r="M171" i="67"/>
  <c r="K171" i="67"/>
  <c r="I171" i="67"/>
  <c r="H171" i="67"/>
  <c r="U188" i="67" s="1"/>
  <c r="AJ170" i="67"/>
  <c r="AI170" i="67"/>
  <c r="AG170" i="67"/>
  <c r="AE170" i="67"/>
  <c r="AD170" i="67"/>
  <c r="X170" i="67"/>
  <c r="W170" i="67"/>
  <c r="U170" i="67"/>
  <c r="S170" i="67"/>
  <c r="R170" i="67"/>
  <c r="N170" i="67"/>
  <c r="M170" i="67"/>
  <c r="K170" i="67"/>
  <c r="I170" i="67"/>
  <c r="H170" i="67"/>
  <c r="T188" i="67" s="1"/>
  <c r="T202" i="67" s="1"/>
  <c r="AJ169" i="67"/>
  <c r="AI169" i="67"/>
  <c r="AG169" i="67"/>
  <c r="AE169" i="67"/>
  <c r="AD169" i="67"/>
  <c r="X169" i="67"/>
  <c r="W169" i="67"/>
  <c r="U169" i="67"/>
  <c r="S169" i="67"/>
  <c r="R169" i="67"/>
  <c r="N169" i="67"/>
  <c r="M169" i="67"/>
  <c r="K169" i="67"/>
  <c r="I169" i="67"/>
  <c r="H169" i="67"/>
  <c r="AJ168" i="67"/>
  <c r="AI168" i="67"/>
  <c r="AG168" i="67"/>
  <c r="AE168" i="67"/>
  <c r="AD168" i="67"/>
  <c r="X168" i="67"/>
  <c r="W168" i="67"/>
  <c r="U168" i="67"/>
  <c r="S168" i="67"/>
  <c r="R168" i="67"/>
  <c r="N168" i="67"/>
  <c r="M168" i="67"/>
  <c r="K168" i="67"/>
  <c r="I168" i="67"/>
  <c r="H168" i="67"/>
  <c r="R188" i="67" s="1"/>
  <c r="AJ167" i="67"/>
  <c r="AI167" i="67"/>
  <c r="AG167" i="67"/>
  <c r="AE167" i="67"/>
  <c r="AD167" i="67"/>
  <c r="X167" i="67"/>
  <c r="W167" i="67"/>
  <c r="U167" i="67"/>
  <c r="S167" i="67"/>
  <c r="R167" i="67"/>
  <c r="N167" i="67"/>
  <c r="M167" i="67"/>
  <c r="K167" i="67"/>
  <c r="I167" i="67"/>
  <c r="H167" i="67"/>
  <c r="B87" i="67" s="1"/>
  <c r="AJ166" i="67"/>
  <c r="AI166" i="67"/>
  <c r="AG166" i="67"/>
  <c r="AE166" i="67"/>
  <c r="AD166" i="67"/>
  <c r="X166" i="67"/>
  <c r="W166" i="67"/>
  <c r="U166" i="67"/>
  <c r="S166" i="67"/>
  <c r="R166" i="67"/>
  <c r="N166" i="67"/>
  <c r="M166" i="67"/>
  <c r="K166" i="67"/>
  <c r="I166" i="67"/>
  <c r="H166" i="67"/>
  <c r="P188" i="67" s="1"/>
  <c r="AJ165" i="67"/>
  <c r="AI165" i="67"/>
  <c r="AG165" i="67"/>
  <c r="AE165" i="67"/>
  <c r="AD165" i="67"/>
  <c r="X165" i="67"/>
  <c r="W165" i="67"/>
  <c r="U165" i="67"/>
  <c r="S165" i="67"/>
  <c r="R165" i="67"/>
  <c r="N165" i="67"/>
  <c r="M165" i="67"/>
  <c r="K165" i="67"/>
  <c r="I165" i="67"/>
  <c r="H165" i="67"/>
  <c r="AJ164" i="67"/>
  <c r="AI164" i="67"/>
  <c r="AG164" i="67"/>
  <c r="AE164" i="67"/>
  <c r="AD164" i="67"/>
  <c r="X164" i="67"/>
  <c r="W164" i="67"/>
  <c r="U164" i="67"/>
  <c r="S164" i="67"/>
  <c r="R164" i="67"/>
  <c r="N164" i="67"/>
  <c r="M164" i="67"/>
  <c r="K164" i="67"/>
  <c r="I164" i="67"/>
  <c r="H164" i="67"/>
  <c r="B84" i="67" s="1"/>
  <c r="AJ163" i="67"/>
  <c r="AI163" i="67"/>
  <c r="AG163" i="67"/>
  <c r="AE163" i="67"/>
  <c r="AD163" i="67"/>
  <c r="X163" i="67"/>
  <c r="W163" i="67"/>
  <c r="U163" i="67"/>
  <c r="S163" i="67"/>
  <c r="R163" i="67"/>
  <c r="N163" i="67"/>
  <c r="M163" i="67"/>
  <c r="K163" i="67"/>
  <c r="I163" i="67"/>
  <c r="H163" i="67"/>
  <c r="AJ162" i="67"/>
  <c r="AI162" i="67"/>
  <c r="AG162" i="67"/>
  <c r="AE162" i="67"/>
  <c r="AD162" i="67"/>
  <c r="X162" i="67"/>
  <c r="W162" i="67"/>
  <c r="U162" i="67"/>
  <c r="S162" i="67"/>
  <c r="R162" i="67"/>
  <c r="N162" i="67"/>
  <c r="M162" i="67"/>
  <c r="G82" i="67" s="1"/>
  <c r="K162" i="67"/>
  <c r="I162" i="67"/>
  <c r="H162" i="67"/>
  <c r="AJ161" i="67"/>
  <c r="AI161" i="67"/>
  <c r="AG161" i="67"/>
  <c r="AE161" i="67"/>
  <c r="AD161" i="67"/>
  <c r="X161" i="67"/>
  <c r="W161" i="67"/>
  <c r="U161" i="67"/>
  <c r="S161" i="67"/>
  <c r="R161" i="67"/>
  <c r="N161" i="67"/>
  <c r="M161" i="67"/>
  <c r="K161" i="67"/>
  <c r="I161" i="67"/>
  <c r="H161" i="67"/>
  <c r="AJ160" i="67"/>
  <c r="AI160" i="67"/>
  <c r="AG160" i="67"/>
  <c r="AE160" i="67"/>
  <c r="AD160" i="67"/>
  <c r="X160" i="67"/>
  <c r="W160" i="67"/>
  <c r="U160" i="67"/>
  <c r="S160" i="67"/>
  <c r="R160" i="67"/>
  <c r="N160" i="67"/>
  <c r="M160" i="67"/>
  <c r="K160" i="67"/>
  <c r="I160" i="67"/>
  <c r="H160" i="67"/>
  <c r="J188" i="67" s="1"/>
  <c r="J216" i="67" s="1"/>
  <c r="AJ159" i="67"/>
  <c r="AI159" i="67"/>
  <c r="AG159" i="67"/>
  <c r="AE159" i="67"/>
  <c r="AD159" i="67"/>
  <c r="X159" i="67"/>
  <c r="W159" i="67"/>
  <c r="U159" i="67"/>
  <c r="S159" i="67"/>
  <c r="R159" i="67"/>
  <c r="N159" i="67"/>
  <c r="M159" i="67"/>
  <c r="K159" i="67"/>
  <c r="I159" i="67"/>
  <c r="H159" i="67"/>
  <c r="AJ158" i="67"/>
  <c r="AI158" i="67"/>
  <c r="AG158" i="67"/>
  <c r="AE158" i="67"/>
  <c r="AD158" i="67"/>
  <c r="X158" i="67"/>
  <c r="W158" i="67"/>
  <c r="U158" i="67"/>
  <c r="S158" i="67"/>
  <c r="R158" i="67"/>
  <c r="N158" i="67"/>
  <c r="M158" i="67"/>
  <c r="K158" i="67"/>
  <c r="I158" i="67"/>
  <c r="H158" i="67"/>
  <c r="H188" i="67" s="1"/>
  <c r="H202" i="67" s="1"/>
  <c r="AJ157" i="67"/>
  <c r="AI157" i="67"/>
  <c r="AG157" i="67"/>
  <c r="AE157" i="67"/>
  <c r="AD157" i="67"/>
  <c r="X157" i="67"/>
  <c r="W157" i="67"/>
  <c r="U157" i="67"/>
  <c r="S157" i="67"/>
  <c r="R157" i="67"/>
  <c r="N157" i="67"/>
  <c r="M157" i="67"/>
  <c r="K157" i="67"/>
  <c r="I157" i="67"/>
  <c r="H157" i="67"/>
  <c r="AE152" i="67"/>
  <c r="S152" i="67"/>
  <c r="AE151" i="67"/>
  <c r="S151" i="67"/>
  <c r="I151" i="67"/>
  <c r="AJ147" i="67"/>
  <c r="I39" i="67" s="1"/>
  <c r="AI147" i="67"/>
  <c r="AH147" i="67"/>
  <c r="AG147" i="67"/>
  <c r="AD147" i="67"/>
  <c r="X147" i="67"/>
  <c r="F39" i="67" s="1"/>
  <c r="W147" i="67"/>
  <c r="V147" i="67"/>
  <c r="U147" i="67"/>
  <c r="R147" i="67"/>
  <c r="N147" i="67"/>
  <c r="C39" i="67" s="1"/>
  <c r="M147" i="67"/>
  <c r="L147" i="67"/>
  <c r="K147" i="67"/>
  <c r="H147" i="67"/>
  <c r="AJ146" i="67"/>
  <c r="AI146" i="67"/>
  <c r="AH146" i="67"/>
  <c r="AG146" i="67"/>
  <c r="AE146" i="67"/>
  <c r="AD146" i="67"/>
  <c r="X146" i="67"/>
  <c r="W146" i="67"/>
  <c r="V146" i="67"/>
  <c r="U146" i="67"/>
  <c r="S146" i="67"/>
  <c r="R146" i="67"/>
  <c r="N146" i="67"/>
  <c r="I38" i="67" s="1"/>
  <c r="M146" i="67"/>
  <c r="L146" i="67"/>
  <c r="K146" i="67"/>
  <c r="I146" i="67"/>
  <c r="H146" i="67"/>
  <c r="AJ145" i="67"/>
  <c r="AI145" i="67"/>
  <c r="AG145" i="67"/>
  <c r="X145" i="67"/>
  <c r="W145" i="67"/>
  <c r="U145" i="67"/>
  <c r="N145" i="67"/>
  <c r="F37" i="67" s="1"/>
  <c r="M145" i="67"/>
  <c r="K145" i="67"/>
  <c r="AJ144" i="67"/>
  <c r="AI144" i="67"/>
  <c r="AH144" i="67"/>
  <c r="AG144" i="67"/>
  <c r="AE144" i="67"/>
  <c r="X144" i="67"/>
  <c r="W144" i="67"/>
  <c r="V144" i="67"/>
  <c r="U144" i="67"/>
  <c r="S144" i="67"/>
  <c r="N144" i="67"/>
  <c r="I36" i="67" s="1"/>
  <c r="M144" i="67"/>
  <c r="L144" i="67"/>
  <c r="K144" i="67"/>
  <c r="I144" i="67"/>
  <c r="AJ143" i="67"/>
  <c r="AI143" i="67"/>
  <c r="AH143" i="67"/>
  <c r="AG143" i="67"/>
  <c r="AE143" i="67"/>
  <c r="X143" i="67"/>
  <c r="W143" i="67"/>
  <c r="V143" i="67"/>
  <c r="U143" i="67"/>
  <c r="S143" i="67"/>
  <c r="N143" i="67"/>
  <c r="C35" i="67" s="1"/>
  <c r="M143" i="67"/>
  <c r="L143" i="67"/>
  <c r="K143" i="67"/>
  <c r="I143" i="67"/>
  <c r="AJ142" i="67"/>
  <c r="AI142" i="67"/>
  <c r="AH142" i="67"/>
  <c r="AG142" i="67"/>
  <c r="AE142" i="67"/>
  <c r="X142" i="67"/>
  <c r="W142" i="67"/>
  <c r="V142" i="67"/>
  <c r="U142" i="67"/>
  <c r="S142" i="67"/>
  <c r="N142" i="67"/>
  <c r="C34" i="67" s="1"/>
  <c r="M142" i="67"/>
  <c r="L142" i="67"/>
  <c r="K142" i="67"/>
  <c r="I142" i="67"/>
  <c r="AJ141" i="67"/>
  <c r="AI141" i="67"/>
  <c r="AH141" i="67"/>
  <c r="AG141" i="67"/>
  <c r="AE141" i="67"/>
  <c r="X141" i="67"/>
  <c r="W141" i="67"/>
  <c r="V141" i="67"/>
  <c r="U141" i="67"/>
  <c r="S141" i="67"/>
  <c r="N141" i="67"/>
  <c r="F33" i="67" s="1"/>
  <c r="M141" i="67"/>
  <c r="L141" i="67"/>
  <c r="K141" i="67"/>
  <c r="I141" i="67"/>
  <c r="AJ140" i="67"/>
  <c r="AI140" i="67"/>
  <c r="AH140" i="67"/>
  <c r="AG140" i="67"/>
  <c r="AE140" i="67"/>
  <c r="X140" i="67"/>
  <c r="W140" i="67"/>
  <c r="V140" i="67"/>
  <c r="U140" i="67"/>
  <c r="S140" i="67"/>
  <c r="N140" i="67"/>
  <c r="M140" i="67"/>
  <c r="L140" i="67"/>
  <c r="K140" i="67"/>
  <c r="I140" i="67"/>
  <c r="AJ139" i="67"/>
  <c r="AI139" i="67"/>
  <c r="AH139" i="67"/>
  <c r="AG139" i="67"/>
  <c r="AE139" i="67"/>
  <c r="X139" i="67"/>
  <c r="W139" i="67"/>
  <c r="V139" i="67"/>
  <c r="U139" i="67"/>
  <c r="S139" i="67"/>
  <c r="N139" i="67"/>
  <c r="C31" i="67" s="1"/>
  <c r="M139" i="67"/>
  <c r="L139" i="67"/>
  <c r="K139" i="67"/>
  <c r="I139" i="67"/>
  <c r="V134" i="67"/>
  <c r="AE133" i="67"/>
  <c r="S133" i="67"/>
  <c r="I133" i="67"/>
  <c r="S132" i="67"/>
  <c r="I132" i="67"/>
  <c r="AJ129" i="67"/>
  <c r="AI129" i="67"/>
  <c r="AH129" i="67"/>
  <c r="AG129" i="67"/>
  <c r="AD129" i="67"/>
  <c r="X129" i="67"/>
  <c r="W129" i="67"/>
  <c r="V129" i="67"/>
  <c r="U129" i="67"/>
  <c r="R129" i="67"/>
  <c r="N129" i="67"/>
  <c r="M129" i="67"/>
  <c r="L129" i="67"/>
  <c r="K129" i="67"/>
  <c r="H129" i="67"/>
  <c r="B39" i="67" s="1"/>
  <c r="AJ128" i="67"/>
  <c r="AI128" i="67"/>
  <c r="AH128" i="67"/>
  <c r="AG128" i="67"/>
  <c r="AE128" i="67"/>
  <c r="AD128" i="67"/>
  <c r="X128" i="67"/>
  <c r="W128" i="67"/>
  <c r="V128" i="67"/>
  <c r="U128" i="67"/>
  <c r="S128" i="67"/>
  <c r="R128" i="67"/>
  <c r="N128" i="67"/>
  <c r="M128" i="67"/>
  <c r="L128" i="67"/>
  <c r="K128" i="67"/>
  <c r="I128" i="67"/>
  <c r="H128" i="67"/>
  <c r="B64" i="67" s="1"/>
  <c r="AJ127" i="67"/>
  <c r="AI127" i="67"/>
  <c r="AG127" i="67"/>
  <c r="X127" i="67"/>
  <c r="W127" i="67"/>
  <c r="U127" i="67"/>
  <c r="N127" i="67"/>
  <c r="M127" i="67"/>
  <c r="K127" i="67"/>
  <c r="AJ126" i="67"/>
  <c r="AI126" i="67"/>
  <c r="AH126" i="67"/>
  <c r="AG126" i="67"/>
  <c r="AE126" i="67"/>
  <c r="X126" i="67"/>
  <c r="W126" i="67"/>
  <c r="V126" i="67"/>
  <c r="U126" i="67"/>
  <c r="S126" i="67"/>
  <c r="N126" i="67"/>
  <c r="M126" i="67"/>
  <c r="L126" i="67"/>
  <c r="K126" i="67"/>
  <c r="I126" i="67"/>
  <c r="AJ125" i="67"/>
  <c r="AI125" i="67"/>
  <c r="AH125" i="67"/>
  <c r="AG125" i="67"/>
  <c r="AE125" i="67"/>
  <c r="X125" i="67"/>
  <c r="W125" i="67"/>
  <c r="V125" i="67"/>
  <c r="U125" i="67"/>
  <c r="S125" i="67"/>
  <c r="N125" i="67"/>
  <c r="M125" i="67"/>
  <c r="L125" i="67"/>
  <c r="K125" i="67"/>
  <c r="I125" i="67"/>
  <c r="AJ124" i="67"/>
  <c r="AI124" i="67"/>
  <c r="AH124" i="67"/>
  <c r="AG124" i="67"/>
  <c r="AE124" i="67"/>
  <c r="X124" i="67"/>
  <c r="W124" i="67"/>
  <c r="V124" i="67"/>
  <c r="U124" i="67"/>
  <c r="S124" i="67"/>
  <c r="N124" i="67"/>
  <c r="M124" i="67"/>
  <c r="L124" i="67"/>
  <c r="K124" i="67"/>
  <c r="I124" i="67"/>
  <c r="AJ123" i="67"/>
  <c r="AI123" i="67"/>
  <c r="AH123" i="67"/>
  <c r="AG123" i="67"/>
  <c r="AE123" i="67"/>
  <c r="X123" i="67"/>
  <c r="W123" i="67"/>
  <c r="V123" i="67"/>
  <c r="U123" i="67"/>
  <c r="S123" i="67"/>
  <c r="N123" i="67"/>
  <c r="M123" i="67"/>
  <c r="L123" i="67"/>
  <c r="K123" i="67"/>
  <c r="I123" i="67"/>
  <c r="AJ122" i="67"/>
  <c r="AI122" i="67"/>
  <c r="AH122" i="67"/>
  <c r="AG122" i="67"/>
  <c r="AE122" i="67"/>
  <c r="X122" i="67"/>
  <c r="W122" i="67"/>
  <c r="V122" i="67"/>
  <c r="U122" i="67"/>
  <c r="S122" i="67"/>
  <c r="N122" i="67"/>
  <c r="M122" i="67"/>
  <c r="L122" i="67"/>
  <c r="K122" i="67"/>
  <c r="I122" i="67"/>
  <c r="AJ121" i="67"/>
  <c r="AI121" i="67"/>
  <c r="AH121" i="67"/>
  <c r="AH134" i="67" s="1"/>
  <c r="AG121" i="67"/>
  <c r="AE121" i="67"/>
  <c r="X121" i="67"/>
  <c r="W121" i="67"/>
  <c r="V121" i="67"/>
  <c r="U121" i="67"/>
  <c r="S121" i="67"/>
  <c r="N121" i="67"/>
  <c r="M121" i="67"/>
  <c r="L121" i="67"/>
  <c r="L134" i="67" s="1"/>
  <c r="K121" i="67"/>
  <c r="I121" i="67"/>
  <c r="AF120" i="67"/>
  <c r="AF134" i="67" s="1"/>
  <c r="T120" i="67"/>
  <c r="T134" i="67" s="1"/>
  <c r="B104" i="67"/>
  <c r="B103" i="67"/>
  <c r="B102" i="67"/>
  <c r="B101" i="67"/>
  <c r="G87" i="67"/>
  <c r="I75" i="67"/>
  <c r="F75" i="67"/>
  <c r="C75" i="67"/>
  <c r="I55" i="67"/>
  <c r="F55" i="67"/>
  <c r="C55" i="67"/>
  <c r="A38" i="67"/>
  <c r="A35" i="67"/>
  <c r="I34" i="67"/>
  <c r="A34" i="67"/>
  <c r="A33" i="67"/>
  <c r="A32" i="67"/>
  <c r="A31" i="67"/>
  <c r="I29" i="67"/>
  <c r="F29" i="67"/>
  <c r="C29" i="67"/>
  <c r="I25" i="67"/>
  <c r="I26" i="67" s="1"/>
  <c r="F25" i="67"/>
  <c r="I21" i="67"/>
  <c r="F21" i="67"/>
  <c r="C21" i="67"/>
  <c r="I20" i="67"/>
  <c r="F20" i="67"/>
  <c r="C20" i="67"/>
  <c r="J14" i="67"/>
  <c r="G14" i="67"/>
  <c r="D14" i="67"/>
  <c r="J10" i="67"/>
  <c r="G10" i="67"/>
  <c r="D10" i="67"/>
  <c r="I8" i="67"/>
  <c r="F8" i="67"/>
  <c r="C8" i="67"/>
  <c r="E198" i="67" s="1"/>
  <c r="J6" i="67"/>
  <c r="G6" i="67"/>
  <c r="D6" i="67"/>
  <c r="N39" i="61"/>
  <c r="N38" i="61"/>
  <c r="N37" i="61"/>
  <c r="N36" i="61"/>
  <c r="N35" i="61"/>
  <c r="N34" i="61"/>
  <c r="U28" i="61"/>
  <c r="N28" i="61"/>
  <c r="U27" i="61"/>
  <c r="S27" i="61"/>
  <c r="Z27" i="61" s="1"/>
  <c r="N27" i="61"/>
  <c r="U26" i="61"/>
  <c r="N26" i="61"/>
  <c r="D26" i="61"/>
  <c r="C26" i="61"/>
  <c r="B26" i="61"/>
  <c r="U25" i="61"/>
  <c r="N25" i="61"/>
  <c r="U24" i="61"/>
  <c r="S24" i="61"/>
  <c r="Z24" i="61" s="1"/>
  <c r="N24" i="61"/>
  <c r="U23" i="61"/>
  <c r="N23" i="61"/>
  <c r="Z22" i="61"/>
  <c r="Y22" i="61"/>
  <c r="X22" i="61"/>
  <c r="W22" i="61"/>
  <c r="V22" i="61"/>
  <c r="R22" i="61"/>
  <c r="Q22" i="61"/>
  <c r="P22" i="61"/>
  <c r="O22" i="61"/>
  <c r="D22" i="61"/>
  <c r="C22" i="61"/>
  <c r="B22" i="61"/>
  <c r="I19" i="61"/>
  <c r="C18" i="61"/>
  <c r="D18" i="61" s="1"/>
  <c r="B18" i="61"/>
  <c r="S15" i="61"/>
  <c r="S28" i="61" s="1"/>
  <c r="Z28" i="61" s="1"/>
  <c r="Q15" i="61"/>
  <c r="Q28" i="61" s="1"/>
  <c r="X28" i="61" s="1"/>
  <c r="N15" i="61"/>
  <c r="N14" i="61"/>
  <c r="S14" i="61" s="1"/>
  <c r="C14" i="61"/>
  <c r="D14" i="61" s="1"/>
  <c r="B14" i="61"/>
  <c r="S13" i="61"/>
  <c r="S26" i="61" s="1"/>
  <c r="Z26" i="61" s="1"/>
  <c r="N13" i="61"/>
  <c r="S12" i="61"/>
  <c r="S25" i="61" s="1"/>
  <c r="Z25" i="61" s="1"/>
  <c r="N12" i="61"/>
  <c r="P11" i="61"/>
  <c r="P24" i="61" s="1"/>
  <c r="W24" i="61" s="1"/>
  <c r="O11" i="61"/>
  <c r="O24" i="61" s="1"/>
  <c r="V24" i="61" s="1"/>
  <c r="N11" i="61"/>
  <c r="S11" i="61" s="1"/>
  <c r="S10" i="61"/>
  <c r="S23" i="61" s="1"/>
  <c r="Z23" i="61" s="1"/>
  <c r="P10" i="61"/>
  <c r="P23" i="61" s="1"/>
  <c r="W23" i="61" s="1"/>
  <c r="N10" i="61"/>
  <c r="G10" i="61"/>
  <c r="F10" i="61"/>
  <c r="E10" i="61"/>
  <c r="D10" i="61"/>
  <c r="C10" i="61"/>
  <c r="R9" i="61"/>
  <c r="Q9" i="61"/>
  <c r="P9" i="61"/>
  <c r="O9" i="61"/>
  <c r="D54" i="36"/>
  <c r="D67" i="36" s="1"/>
  <c r="D44" i="36"/>
  <c r="D43" i="36"/>
  <c r="D42" i="36"/>
  <c r="D41" i="36"/>
  <c r="D27" i="36"/>
  <c r="C23" i="36"/>
  <c r="C22" i="36"/>
  <c r="C21" i="36"/>
  <c r="O14" i="36"/>
  <c r="H14" i="36"/>
  <c r="G14" i="36"/>
  <c r="O13" i="36"/>
  <c r="H13" i="36"/>
  <c r="G13" i="36"/>
  <c r="O12" i="36"/>
  <c r="H12" i="36"/>
  <c r="G12" i="36"/>
  <c r="O11" i="36"/>
  <c r="H11" i="36"/>
  <c r="G11" i="36"/>
  <c r="O10" i="36"/>
  <c r="H10" i="36"/>
  <c r="G10" i="36"/>
  <c r="O9" i="36"/>
  <c r="H9" i="36"/>
  <c r="G9" i="36"/>
  <c r="O7" i="36"/>
  <c r="H7" i="36"/>
  <c r="G7" i="36"/>
  <c r="O6" i="36"/>
  <c r="H6" i="36"/>
  <c r="G6" i="36"/>
  <c r="C2" i="36"/>
  <c r="CA76" i="38"/>
  <c r="BW76" i="38"/>
  <c r="BV76" i="38"/>
  <c r="BU76" i="38"/>
  <c r="BR76" i="38"/>
  <c r="BN76" i="38"/>
  <c r="BM76" i="38"/>
  <c r="BJ76" i="38"/>
  <c r="BI76" i="38"/>
  <c r="BF76" i="38"/>
  <c r="BE76" i="38"/>
  <c r="BB76" i="38"/>
  <c r="AX76" i="38"/>
  <c r="AW76" i="38"/>
  <c r="AR76" i="38"/>
  <c r="AQ76" i="38"/>
  <c r="AP76" i="38"/>
  <c r="AO76" i="38"/>
  <c r="AL76" i="38"/>
  <c r="AH76" i="38"/>
  <c r="AG76" i="38"/>
  <c r="Z76" i="38"/>
  <c r="Y76" i="38"/>
  <c r="V76" i="38"/>
  <c r="U76" i="38"/>
  <c r="T76" i="38"/>
  <c r="S76" i="38"/>
  <c r="R76" i="38"/>
  <c r="Q76" i="38"/>
  <c r="K76" i="38"/>
  <c r="J76" i="38"/>
  <c r="I76" i="38"/>
  <c r="AO75" i="38"/>
  <c r="BW73" i="38"/>
  <c r="BV73" i="38"/>
  <c r="BP73" i="38"/>
  <c r="BO73" i="38"/>
  <c r="AX73" i="38"/>
  <c r="AV73" i="38"/>
  <c r="AP73" i="38"/>
  <c r="AO73" i="38"/>
  <c r="AN73" i="38"/>
  <c r="AF73" i="38"/>
  <c r="R73" i="38"/>
  <c r="P73" i="38"/>
  <c r="H73" i="38"/>
  <c r="BW72" i="38"/>
  <c r="BT72" i="38"/>
  <c r="BJ72" i="38"/>
  <c r="BG72" i="38"/>
  <c r="BF72" i="38"/>
  <c r="AW72" i="38"/>
  <c r="AO72" i="38"/>
  <c r="AJ72" i="38"/>
  <c r="AD72" i="38"/>
  <c r="AB72" i="38"/>
  <c r="Q72" i="38"/>
  <c r="P72" i="38"/>
  <c r="N72" i="38"/>
  <c r="I72" i="38"/>
  <c r="H72" i="38"/>
  <c r="CC71" i="38"/>
  <c r="BW71" i="38"/>
  <c r="BR71" i="38"/>
  <c r="BP71" i="38"/>
  <c r="BM71" i="38"/>
  <c r="BJ71" i="38"/>
  <c r="BH71" i="38"/>
  <c r="BG71" i="38"/>
  <c r="AZ71" i="38"/>
  <c r="AL71" i="38"/>
  <c r="AH71" i="38"/>
  <c r="AD71" i="38"/>
  <c r="AB71" i="38"/>
  <c r="AA71" i="38"/>
  <c r="CC70" i="38"/>
  <c r="CB70" i="38"/>
  <c r="CA70" i="38"/>
  <c r="BZ70" i="38"/>
  <c r="BR70" i="38"/>
  <c r="BO70" i="38"/>
  <c r="BN70" i="38"/>
  <c r="BK70" i="38"/>
  <c r="BE70" i="38"/>
  <c r="BB70" i="38"/>
  <c r="AR70" i="38"/>
  <c r="AI70" i="38"/>
  <c r="AC70" i="38"/>
  <c r="R70" i="38"/>
  <c r="Q70" i="38"/>
  <c r="P70" i="38"/>
  <c r="O70" i="38"/>
  <c r="N70" i="38"/>
  <c r="L70" i="38"/>
  <c r="J70" i="38"/>
  <c r="I70" i="38"/>
  <c r="BU69" i="38"/>
  <c r="BM69" i="38"/>
  <c r="BE69" i="38"/>
  <c r="AW69" i="38"/>
  <c r="AO69" i="38"/>
  <c r="AG69" i="38"/>
  <c r="Y69" i="38"/>
  <c r="Q69" i="38"/>
  <c r="I69" i="38"/>
  <c r="BU68" i="38"/>
  <c r="BM68" i="38"/>
  <c r="BE68" i="38"/>
  <c r="AW68" i="38"/>
  <c r="AO68" i="38"/>
  <c r="AG68" i="38"/>
  <c r="Y68" i="38"/>
  <c r="Q68" i="38"/>
  <c r="I68" i="38"/>
  <c r="BU67" i="38"/>
  <c r="BM67" i="38"/>
  <c r="BE67" i="38"/>
  <c r="AW67" i="38"/>
  <c r="AO67" i="38"/>
  <c r="AG67" i="38"/>
  <c r="Y67" i="38"/>
  <c r="Q67" i="38"/>
  <c r="I67" i="38"/>
  <c r="BU66" i="38"/>
  <c r="BM66" i="38"/>
  <c r="BE66" i="38"/>
  <c r="AW66" i="38"/>
  <c r="AO66" i="38"/>
  <c r="AG66" i="38"/>
  <c r="Y66" i="38"/>
  <c r="Q66" i="38"/>
  <c r="I66" i="38"/>
  <c r="BU65" i="38"/>
  <c r="BM65" i="38"/>
  <c r="BE65" i="38"/>
  <c r="AW65" i="38"/>
  <c r="AO65" i="38"/>
  <c r="AG65" i="38"/>
  <c r="Y65" i="38"/>
  <c r="Q65" i="38"/>
  <c r="I65" i="38"/>
  <c r="BU64" i="38"/>
  <c r="BM64" i="38"/>
  <c r="BE64" i="38"/>
  <c r="AW64" i="38"/>
  <c r="AO64" i="38"/>
  <c r="AG64" i="38"/>
  <c r="Y64" i="38"/>
  <c r="Q64" i="38"/>
  <c r="I64" i="38"/>
  <c r="BU63" i="38"/>
  <c r="BM63" i="38"/>
  <c r="BE63" i="38"/>
  <c r="AW63" i="38"/>
  <c r="AO63" i="38"/>
  <c r="AG63" i="38"/>
  <c r="Y63" i="38"/>
  <c r="Q63" i="38"/>
  <c r="I63" i="38"/>
  <c r="BU62" i="38"/>
  <c r="BM62" i="38"/>
  <c r="BL62" i="38"/>
  <c r="BE62" i="38"/>
  <c r="AW62" i="38"/>
  <c r="AO62" i="38"/>
  <c r="AG62" i="38"/>
  <c r="Y62" i="38"/>
  <c r="Q62" i="38"/>
  <c r="I62" i="38"/>
  <c r="BU61" i="38"/>
  <c r="BM61" i="38"/>
  <c r="BE61" i="38"/>
  <c r="AW61" i="38"/>
  <c r="AO61" i="38"/>
  <c r="AG61" i="38"/>
  <c r="Y61" i="38"/>
  <c r="Q61" i="38"/>
  <c r="I61" i="38"/>
  <c r="BU60" i="38"/>
  <c r="BM60" i="38"/>
  <c r="BE60" i="38"/>
  <c r="AW60" i="38"/>
  <c r="AO60" i="38"/>
  <c r="AG60" i="38"/>
  <c r="Y60" i="38"/>
  <c r="Q60" i="38"/>
  <c r="I60" i="38"/>
  <c r="BU59" i="38"/>
  <c r="BM59" i="38"/>
  <c r="BE59" i="38"/>
  <c r="AW59" i="38"/>
  <c r="AO59" i="38"/>
  <c r="AG59" i="38"/>
  <c r="Y59" i="38"/>
  <c r="Q59" i="38"/>
  <c r="I59" i="38"/>
  <c r="BU58" i="38"/>
  <c r="BM58" i="38"/>
  <c r="BE58" i="38"/>
  <c r="AW58" i="38"/>
  <c r="AO58" i="38"/>
  <c r="AG58" i="38"/>
  <c r="Y58" i="38"/>
  <c r="Q58" i="38"/>
  <c r="I58" i="38"/>
  <c r="BU57" i="38"/>
  <c r="BM57" i="38"/>
  <c r="BE57" i="38"/>
  <c r="AW57" i="38"/>
  <c r="AO57" i="38"/>
  <c r="AG57" i="38"/>
  <c r="Y57" i="38"/>
  <c r="Q57" i="38"/>
  <c r="Q75" i="38" s="1"/>
  <c r="I57" i="38"/>
  <c r="BU56" i="38"/>
  <c r="BM56" i="38"/>
  <c r="BE56" i="38"/>
  <c r="AW56" i="38"/>
  <c r="AO56" i="38"/>
  <c r="AG56" i="38"/>
  <c r="Y56" i="38"/>
  <c r="Q56" i="38"/>
  <c r="I56" i="38"/>
  <c r="BU55" i="38"/>
  <c r="BM55" i="38"/>
  <c r="BE55" i="38"/>
  <c r="BE75" i="38" s="1"/>
  <c r="AW55" i="38"/>
  <c r="AO55" i="38"/>
  <c r="AG55" i="38"/>
  <c r="Y55" i="38"/>
  <c r="Q55" i="38"/>
  <c r="I55" i="38"/>
  <c r="I75" i="38" s="1"/>
  <c r="D55" i="38"/>
  <c r="CC54" i="38"/>
  <c r="BS54" i="38"/>
  <c r="BP54" i="38"/>
  <c r="BI54" i="38"/>
  <c r="BH54" i="38"/>
  <c r="BE54" i="38"/>
  <c r="BD54" i="38"/>
  <c r="AZ54" i="38"/>
  <c r="AW54" i="38"/>
  <c r="AV54" i="38"/>
  <c r="AT54" i="38"/>
  <c r="AS54" i="38"/>
  <c r="AR54" i="38"/>
  <c r="AQ54" i="38"/>
  <c r="AN54" i="38"/>
  <c r="AM54" i="38"/>
  <c r="AG54" i="38"/>
  <c r="Z54" i="38"/>
  <c r="W54" i="38"/>
  <c r="T54" i="38"/>
  <c r="S54" i="38"/>
  <c r="R54" i="38"/>
  <c r="M54" i="38"/>
  <c r="L54" i="38"/>
  <c r="K54" i="38"/>
  <c r="I54" i="38"/>
  <c r="D54" i="38"/>
  <c r="CB53" i="38"/>
  <c r="CA53" i="38"/>
  <c r="BS53" i="38"/>
  <c r="BR53" i="38"/>
  <c r="BN53" i="38"/>
  <c r="BM53" i="38"/>
  <c r="BA53" i="38"/>
  <c r="AX53" i="38"/>
  <c r="AW53" i="38"/>
  <c r="AU53" i="38"/>
  <c r="AT53" i="38"/>
  <c r="AR53" i="38"/>
  <c r="AQ53" i="38"/>
  <c r="AP53" i="38"/>
  <c r="AO53" i="38"/>
  <c r="AM53" i="38"/>
  <c r="AD53" i="38"/>
  <c r="W53" i="38"/>
  <c r="V53" i="38"/>
  <c r="U53" i="38"/>
  <c r="T53" i="38"/>
  <c r="S53" i="38"/>
  <c r="L53" i="38"/>
  <c r="K53" i="38"/>
  <c r="G53" i="38"/>
  <c r="F53" i="38"/>
  <c r="E53" i="38"/>
  <c r="CB52" i="38"/>
  <c r="BS52" i="38"/>
  <c r="BR52" i="38"/>
  <c r="BQ52" i="38"/>
  <c r="BP52" i="38"/>
  <c r="BO52" i="38"/>
  <c r="BK52" i="38"/>
  <c r="BH52" i="38"/>
  <c r="BF52" i="38"/>
  <c r="BE52" i="38"/>
  <c r="BA52" i="38"/>
  <c r="AZ52" i="38"/>
  <c r="AY52" i="38"/>
  <c r="AX52" i="38"/>
  <c r="AM52" i="38"/>
  <c r="AI52" i="38"/>
  <c r="AH52" i="38"/>
  <c r="AG52" i="38"/>
  <c r="AB52" i="38"/>
  <c r="AA52" i="38"/>
  <c r="Z52" i="38"/>
  <c r="O52" i="38"/>
  <c r="L52" i="38"/>
  <c r="K52" i="38"/>
  <c r="J52" i="38"/>
  <c r="E52" i="38"/>
  <c r="D52" i="38"/>
  <c r="CC51" i="38"/>
  <c r="BY51" i="38"/>
  <c r="BO51" i="38"/>
  <c r="BN51" i="38"/>
  <c r="BK51" i="38"/>
  <c r="BC51" i="38"/>
  <c r="AX51" i="38"/>
  <c r="AU51" i="38"/>
  <c r="AT51" i="38"/>
  <c r="AS51" i="38"/>
  <c r="AL51" i="38"/>
  <c r="AK51" i="38"/>
  <c r="AJ51" i="38"/>
  <c r="AI51" i="38"/>
  <c r="AH51" i="38"/>
  <c r="AD51" i="38"/>
  <c r="AC51" i="38"/>
  <c r="Z51" i="38"/>
  <c r="O51" i="38"/>
  <c r="N51" i="38"/>
  <c r="M51" i="38"/>
  <c r="J51" i="38"/>
  <c r="CC50" i="38"/>
  <c r="CB50" i="38"/>
  <c r="CA50" i="38"/>
  <c r="BZ50" i="38"/>
  <c r="BY50" i="38"/>
  <c r="BX50" i="38"/>
  <c r="BH50" i="38"/>
  <c r="BB50" i="38"/>
  <c r="BA50" i="38"/>
  <c r="AZ50" i="38"/>
  <c r="AS50" i="38"/>
  <c r="AR50" i="38"/>
  <c r="T50" i="38"/>
  <c r="M50" i="38"/>
  <c r="D50" i="38"/>
  <c r="CC47" i="38"/>
  <c r="CB47" i="38"/>
  <c r="CA47" i="38"/>
  <c r="BZ47" i="38"/>
  <c r="BY47" i="38"/>
  <c r="BX47" i="38"/>
  <c r="BW47" i="38"/>
  <c r="BV47" i="38"/>
  <c r="BU47" i="38"/>
  <c r="BS47" i="38"/>
  <c r="BR47" i="38"/>
  <c r="BQ47" i="38"/>
  <c r="BP47" i="38"/>
  <c r="BO47" i="38"/>
  <c r="BN47" i="38"/>
  <c r="BM47" i="38"/>
  <c r="BK47" i="38"/>
  <c r="BJ47" i="38"/>
  <c r="BI47" i="38"/>
  <c r="BH47" i="38"/>
  <c r="BG47" i="38"/>
  <c r="BF47" i="38"/>
  <c r="BE47" i="38"/>
  <c r="BC47" i="38"/>
  <c r="BB47" i="38"/>
  <c r="BA47" i="38"/>
  <c r="AZ47" i="38"/>
  <c r="AY47" i="38"/>
  <c r="AX47" i="38"/>
  <c r="AW47" i="38"/>
  <c r="AU47" i="38"/>
  <c r="AT47" i="38"/>
  <c r="AS47" i="38"/>
  <c r="AR47" i="38"/>
  <c r="AQ47" i="38"/>
  <c r="AP47" i="38"/>
  <c r="AO47" i="38"/>
  <c r="AM47" i="38"/>
  <c r="AL47" i="38"/>
  <c r="AK47" i="38"/>
  <c r="AJ47" i="38"/>
  <c r="AI47" i="38"/>
  <c r="AH47" i="38"/>
  <c r="AG47" i="38"/>
  <c r="AE47" i="38"/>
  <c r="AD47" i="38"/>
  <c r="AC47" i="38"/>
  <c r="AB47" i="38"/>
  <c r="AA47" i="38"/>
  <c r="Z47" i="38"/>
  <c r="Y47" i="38"/>
  <c r="W47" i="38"/>
  <c r="V47" i="38"/>
  <c r="U47" i="38"/>
  <c r="T47" i="38"/>
  <c r="S47" i="38"/>
  <c r="R47" i="38"/>
  <c r="Q47" i="38"/>
  <c r="O47" i="38"/>
  <c r="N47" i="38"/>
  <c r="M47" i="38"/>
  <c r="L47" i="38"/>
  <c r="K47" i="38"/>
  <c r="J47" i="38"/>
  <c r="I47" i="38"/>
  <c r="G47" i="38"/>
  <c r="F47" i="38"/>
  <c r="E47" i="38"/>
  <c r="D47" i="38"/>
  <c r="CC46" i="38"/>
  <c r="CB46" i="38"/>
  <c r="CA46" i="38"/>
  <c r="BZ46" i="38"/>
  <c r="BX46" i="38"/>
  <c r="BW46" i="38"/>
  <c r="BV46" i="38"/>
  <c r="BU46" i="38"/>
  <c r="BS46" i="38"/>
  <c r="BR46" i="38"/>
  <c r="BP46" i="38"/>
  <c r="BO46" i="38"/>
  <c r="BN46" i="38"/>
  <c r="BM46" i="38"/>
  <c r="BK46" i="38"/>
  <c r="BJ46" i="38"/>
  <c r="BH46" i="38"/>
  <c r="BG46" i="38"/>
  <c r="BF46" i="38"/>
  <c r="BE46" i="38"/>
  <c r="BC46" i="38"/>
  <c r="BB46" i="38"/>
  <c r="AZ46" i="38"/>
  <c r="AY46" i="38"/>
  <c r="AX46" i="38"/>
  <c r="AW46" i="38"/>
  <c r="AU46" i="38"/>
  <c r="AT46" i="38"/>
  <c r="AR46" i="38"/>
  <c r="AQ46" i="38"/>
  <c r="AP46" i="38"/>
  <c r="AO46" i="38"/>
  <c r="AM46" i="38"/>
  <c r="AL46" i="38"/>
  <c r="AJ46" i="38"/>
  <c r="AI46" i="38"/>
  <c r="AH46" i="38"/>
  <c r="AG46" i="38"/>
  <c r="AE46" i="38"/>
  <c r="AD46" i="38"/>
  <c r="AB46" i="38"/>
  <c r="AA46" i="38"/>
  <c r="Z46" i="38"/>
  <c r="Y46" i="38"/>
  <c r="W46" i="38"/>
  <c r="V46" i="38"/>
  <c r="T46" i="38"/>
  <c r="S46" i="38"/>
  <c r="R46" i="38"/>
  <c r="Q46" i="38"/>
  <c r="O46" i="38"/>
  <c r="N46" i="38"/>
  <c r="L46" i="38"/>
  <c r="K46" i="38"/>
  <c r="J46" i="38"/>
  <c r="I46" i="38"/>
  <c r="G46" i="38"/>
  <c r="F46" i="38"/>
  <c r="E46" i="38"/>
  <c r="D46" i="38"/>
  <c r="CC45" i="38"/>
  <c r="CB45" i="38"/>
  <c r="CA45" i="38"/>
  <c r="BZ45" i="38"/>
  <c r="BX45" i="38"/>
  <c r="BW45" i="38"/>
  <c r="BV45" i="38"/>
  <c r="BU45" i="38"/>
  <c r="BS45" i="38"/>
  <c r="BR45" i="38"/>
  <c r="BP45" i="38"/>
  <c r="BO45" i="38"/>
  <c r="BN45" i="38"/>
  <c r="BM45" i="38"/>
  <c r="BK45" i="38"/>
  <c r="BJ45" i="38"/>
  <c r="BH45" i="38"/>
  <c r="BG45" i="38"/>
  <c r="BF45" i="38"/>
  <c r="BE45" i="38"/>
  <c r="BC45" i="38"/>
  <c r="BB45" i="38"/>
  <c r="AZ45" i="38"/>
  <c r="AY45" i="38"/>
  <c r="AX45" i="38"/>
  <c r="AW45" i="38"/>
  <c r="AU45" i="38"/>
  <c r="AT45" i="38"/>
  <c r="AR45" i="38"/>
  <c r="AQ45" i="38"/>
  <c r="AP45" i="38"/>
  <c r="AO45" i="38"/>
  <c r="AM45" i="38"/>
  <c r="AL45" i="38"/>
  <c r="AJ45" i="38"/>
  <c r="AI45" i="38"/>
  <c r="AH45" i="38"/>
  <c r="AG45" i="38"/>
  <c r="AE45" i="38"/>
  <c r="AD45" i="38"/>
  <c r="AB45" i="38"/>
  <c r="AA45" i="38"/>
  <c r="Z45" i="38"/>
  <c r="Y45" i="38"/>
  <c r="W45" i="38"/>
  <c r="V45" i="38"/>
  <c r="T45" i="38"/>
  <c r="S45" i="38"/>
  <c r="R45" i="38"/>
  <c r="Q45" i="38"/>
  <c r="O45" i="38"/>
  <c r="N45" i="38"/>
  <c r="L45" i="38"/>
  <c r="K45" i="38"/>
  <c r="J45" i="38"/>
  <c r="I45" i="38"/>
  <c r="G45" i="38"/>
  <c r="F45" i="38"/>
  <c r="E45" i="38"/>
  <c r="D45" i="38"/>
  <c r="CC44" i="38"/>
  <c r="CB44" i="38"/>
  <c r="CA44" i="38"/>
  <c r="BZ44" i="38"/>
  <c r="BX44" i="38"/>
  <c r="BW44" i="38"/>
  <c r="BV44" i="38"/>
  <c r="BU44" i="38"/>
  <c r="BS44" i="38"/>
  <c r="BR44" i="38"/>
  <c r="BP44" i="38"/>
  <c r="BO44" i="38"/>
  <c r="BN44" i="38"/>
  <c r="BM44" i="38"/>
  <c r="BK44" i="38"/>
  <c r="BJ44" i="38"/>
  <c r="BH44" i="38"/>
  <c r="BG44" i="38"/>
  <c r="BF44" i="38"/>
  <c r="BE44" i="38"/>
  <c r="BC44" i="38"/>
  <c r="BB44" i="38"/>
  <c r="AZ44" i="38"/>
  <c r="AY44" i="38"/>
  <c r="AX44" i="38"/>
  <c r="AW44" i="38"/>
  <c r="AU44" i="38"/>
  <c r="AT44" i="38"/>
  <c r="AR44" i="38"/>
  <c r="AQ44" i="38"/>
  <c r="AP44" i="38"/>
  <c r="AO44" i="38"/>
  <c r="AM44" i="38"/>
  <c r="AL44" i="38"/>
  <c r="AJ44" i="38"/>
  <c r="AI44" i="38"/>
  <c r="AH44" i="38"/>
  <c r="AG44" i="38"/>
  <c r="AE44" i="38"/>
  <c r="AD44" i="38"/>
  <c r="AB44" i="38"/>
  <c r="AA44" i="38"/>
  <c r="Z44" i="38"/>
  <c r="Y44" i="38"/>
  <c r="W44" i="38"/>
  <c r="V44" i="38"/>
  <c r="T44" i="38"/>
  <c r="S44" i="38"/>
  <c r="R44" i="38"/>
  <c r="Q44" i="38"/>
  <c r="O44" i="38"/>
  <c r="N44" i="38"/>
  <c r="L44" i="38"/>
  <c r="K44" i="38"/>
  <c r="J44" i="38"/>
  <c r="I44" i="38"/>
  <c r="G44" i="38"/>
  <c r="F44" i="38"/>
  <c r="E44" i="38"/>
  <c r="D44" i="38"/>
  <c r="CC43" i="38"/>
  <c r="CB43" i="38"/>
  <c r="CA43" i="38"/>
  <c r="BZ43" i="38"/>
  <c r="BX43" i="38"/>
  <c r="BW43" i="38"/>
  <c r="BV43" i="38"/>
  <c r="BU43" i="38"/>
  <c r="BS43" i="38"/>
  <c r="BR43" i="38"/>
  <c r="BP43" i="38"/>
  <c r="BO43" i="38"/>
  <c r="BN43" i="38"/>
  <c r="BM43" i="38"/>
  <c r="BK43" i="38"/>
  <c r="BJ43" i="38"/>
  <c r="BH43" i="38"/>
  <c r="BG43" i="38"/>
  <c r="BF43" i="38"/>
  <c r="BE43" i="38"/>
  <c r="BC43" i="38"/>
  <c r="BB43" i="38"/>
  <c r="AZ43" i="38"/>
  <c r="AY43" i="38"/>
  <c r="AX43" i="38"/>
  <c r="AW43" i="38"/>
  <c r="AU43" i="38"/>
  <c r="AT43" i="38"/>
  <c r="AR43" i="38"/>
  <c r="AQ43" i="38"/>
  <c r="AP43" i="38"/>
  <c r="AO43" i="38"/>
  <c r="AM43" i="38"/>
  <c r="AL43" i="38"/>
  <c r="AJ43" i="38"/>
  <c r="AI43" i="38"/>
  <c r="AH43" i="38"/>
  <c r="AG43" i="38"/>
  <c r="AE43" i="38"/>
  <c r="AD43" i="38"/>
  <c r="AB43" i="38"/>
  <c r="AA43" i="38"/>
  <c r="Z43" i="38"/>
  <c r="Y43" i="38"/>
  <c r="W43" i="38"/>
  <c r="V43" i="38"/>
  <c r="T43" i="38"/>
  <c r="S43" i="38"/>
  <c r="R43" i="38"/>
  <c r="Q43" i="38"/>
  <c r="O43" i="38"/>
  <c r="N43" i="38"/>
  <c r="L43" i="38"/>
  <c r="K43" i="38"/>
  <c r="J43" i="38"/>
  <c r="I43" i="38"/>
  <c r="G43" i="38"/>
  <c r="F43" i="38"/>
  <c r="E43" i="38"/>
  <c r="D43" i="38"/>
  <c r="CC42" i="38"/>
  <c r="CB42" i="38"/>
  <c r="CA42" i="38"/>
  <c r="BZ42" i="38"/>
  <c r="BY42" i="38"/>
  <c r="BX42" i="38"/>
  <c r="BW42" i="38"/>
  <c r="BV42" i="38"/>
  <c r="BU42" i="38"/>
  <c r="BT42" i="38"/>
  <c r="BS42" i="38"/>
  <c r="BR42" i="38"/>
  <c r="BQ42" i="38"/>
  <c r="BP42" i="38"/>
  <c r="BO42" i="38"/>
  <c r="BN42" i="38"/>
  <c r="BM42" i="38"/>
  <c r="BL42" i="38"/>
  <c r="BK42" i="38"/>
  <c r="BJ42" i="38"/>
  <c r="BI42" i="38"/>
  <c r="BH42" i="38"/>
  <c r="BG42" i="38"/>
  <c r="BF42" i="38"/>
  <c r="BE42" i="38"/>
  <c r="BD42" i="38"/>
  <c r="BC42" i="38"/>
  <c r="BB42" i="38"/>
  <c r="BA42" i="38"/>
  <c r="AZ42" i="38"/>
  <c r="AY42" i="38"/>
  <c r="AX42" i="38"/>
  <c r="AW42" i="38"/>
  <c r="AV42" i="38"/>
  <c r="AU42" i="38"/>
  <c r="AT42" i="38"/>
  <c r="AS42" i="38"/>
  <c r="AR42" i="38"/>
  <c r="AQ42" i="38"/>
  <c r="AP42" i="38"/>
  <c r="AO42" i="38"/>
  <c r="AN42" i="38"/>
  <c r="AM42" i="38"/>
  <c r="AL42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C41" i="38"/>
  <c r="CC76" i="38" s="1"/>
  <c r="CB41" i="38"/>
  <c r="CB76" i="38" s="1"/>
  <c r="CA41" i="38"/>
  <c r="BZ41" i="38"/>
  <c r="BZ76" i="38" s="1"/>
  <c r="BY41" i="38"/>
  <c r="BY76" i="38" s="1"/>
  <c r="BX41" i="38"/>
  <c r="BX76" i="38" s="1"/>
  <c r="BW41" i="38"/>
  <c r="BS41" i="38"/>
  <c r="BS76" i="38" s="1"/>
  <c r="BR41" i="38"/>
  <c r="BQ41" i="38"/>
  <c r="BQ76" i="38" s="1"/>
  <c r="BP41" i="38"/>
  <c r="BP76" i="38" s="1"/>
  <c r="BO41" i="38"/>
  <c r="BO76" i="38" s="1"/>
  <c r="BK41" i="38"/>
  <c r="BK76" i="38" s="1"/>
  <c r="BJ41" i="38"/>
  <c r="BI41" i="38"/>
  <c r="BH41" i="38"/>
  <c r="BH76" i="38" s="1"/>
  <c r="BG41" i="38"/>
  <c r="BG76" i="38" s="1"/>
  <c r="BC41" i="38"/>
  <c r="BC76" i="38" s="1"/>
  <c r="BB41" i="38"/>
  <c r="BA41" i="38"/>
  <c r="BA76" i="38" s="1"/>
  <c r="AZ41" i="38"/>
  <c r="AZ76" i="38" s="1"/>
  <c r="AY41" i="38"/>
  <c r="AY76" i="38" s="1"/>
  <c r="AU41" i="38"/>
  <c r="AU76" i="38" s="1"/>
  <c r="AT41" i="38"/>
  <c r="AT76" i="38" s="1"/>
  <c r="AS41" i="38"/>
  <c r="AS76" i="38" s="1"/>
  <c r="AR41" i="38"/>
  <c r="AQ41" i="38"/>
  <c r="AM41" i="38"/>
  <c r="AM76" i="38" s="1"/>
  <c r="AL41" i="38"/>
  <c r="AK41" i="38"/>
  <c r="AK76" i="38" s="1"/>
  <c r="AJ41" i="38"/>
  <c r="AJ76" i="38" s="1"/>
  <c r="AI41" i="38"/>
  <c r="AI76" i="38" s="1"/>
  <c r="AE41" i="38"/>
  <c r="AE76" i="38" s="1"/>
  <c r="AD41" i="38"/>
  <c r="AD76" i="38" s="1"/>
  <c r="AC41" i="38"/>
  <c r="AC76" i="38" s="1"/>
  <c r="AB41" i="38"/>
  <c r="AB76" i="38" s="1"/>
  <c r="AA41" i="38"/>
  <c r="AA76" i="38" s="1"/>
  <c r="W41" i="38"/>
  <c r="W76" i="38" s="1"/>
  <c r="V41" i="38"/>
  <c r="U41" i="38"/>
  <c r="T41" i="38"/>
  <c r="S41" i="38"/>
  <c r="O41" i="38"/>
  <c r="O76" i="38" s="1"/>
  <c r="N41" i="38"/>
  <c r="N76" i="38" s="1"/>
  <c r="M41" i="38"/>
  <c r="M76" i="38" s="1"/>
  <c r="L41" i="38"/>
  <c r="L76" i="38" s="1"/>
  <c r="K41" i="38"/>
  <c r="G41" i="38"/>
  <c r="G76" i="38" s="1"/>
  <c r="F41" i="38"/>
  <c r="F76" i="38" s="1"/>
  <c r="E41" i="38"/>
  <c r="E76" i="38" s="1"/>
  <c r="D41" i="38"/>
  <c r="D76" i="38" s="1"/>
  <c r="CB40" i="38"/>
  <c r="D40" i="38"/>
  <c r="CC39" i="38"/>
  <c r="CB39" i="38"/>
  <c r="CA39" i="38"/>
  <c r="BZ39" i="38"/>
  <c r="BY39" i="38"/>
  <c r="BX39" i="38"/>
  <c r="BW39" i="38"/>
  <c r="BV39" i="38"/>
  <c r="BU39" i="38"/>
  <c r="BT39" i="38"/>
  <c r="BS39" i="38"/>
  <c r="BR39" i="38"/>
  <c r="BQ39" i="38"/>
  <c r="BP39" i="38"/>
  <c r="BO39" i="38"/>
  <c r="BN39" i="38"/>
  <c r="BM39" i="38"/>
  <c r="BL39" i="38"/>
  <c r="BK39" i="38"/>
  <c r="BJ39" i="38"/>
  <c r="BI39" i="38"/>
  <c r="BH39" i="38"/>
  <c r="BG39" i="38"/>
  <c r="BF39" i="38"/>
  <c r="BE39" i="38"/>
  <c r="BD39" i="38"/>
  <c r="BC39" i="38"/>
  <c r="BB39" i="38"/>
  <c r="BA39" i="38"/>
  <c r="AZ39" i="38"/>
  <c r="AY39" i="38"/>
  <c r="AX39" i="38"/>
  <c r="AW39" i="38"/>
  <c r="AV39" i="38"/>
  <c r="AU39" i="38"/>
  <c r="AT39" i="38"/>
  <c r="AS39" i="38"/>
  <c r="AR39" i="38"/>
  <c r="AQ39" i="38"/>
  <c r="AP39" i="38"/>
  <c r="AO39" i="38"/>
  <c r="AN39" i="38"/>
  <c r="AM39" i="38"/>
  <c r="AL39" i="38"/>
  <c r="AK39" i="38"/>
  <c r="AJ39" i="38"/>
  <c r="AI39" i="38"/>
  <c r="AH39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CC38" i="38"/>
  <c r="CC73" i="38" s="1"/>
  <c r="CB38" i="38"/>
  <c r="CB73" i="38" s="1"/>
  <c r="BZ38" i="38"/>
  <c r="BZ73" i="38" s="1"/>
  <c r="BX38" i="38"/>
  <c r="BX73" i="38" s="1"/>
  <c r="BW38" i="38"/>
  <c r="BV38" i="38"/>
  <c r="BU38" i="38"/>
  <c r="BU73" i="38" s="1"/>
  <c r="BT38" i="38"/>
  <c r="BT73" i="38" s="1"/>
  <c r="BR38" i="38"/>
  <c r="BR73" i="38" s="1"/>
  <c r="BP38" i="38"/>
  <c r="BO38" i="38"/>
  <c r="BN38" i="38"/>
  <c r="BN73" i="38" s="1"/>
  <c r="BM38" i="38"/>
  <c r="BM73" i="38" s="1"/>
  <c r="BL38" i="38"/>
  <c r="BL73" i="38" s="1"/>
  <c r="BJ38" i="38"/>
  <c r="BJ73" i="38" s="1"/>
  <c r="BH38" i="38"/>
  <c r="BH73" i="38" s="1"/>
  <c r="BG38" i="38"/>
  <c r="BG73" i="38" s="1"/>
  <c r="BF38" i="38"/>
  <c r="BF73" i="38" s="1"/>
  <c r="BE38" i="38"/>
  <c r="BE73" i="38" s="1"/>
  <c r="BD38" i="38"/>
  <c r="BD73" i="38" s="1"/>
  <c r="BB38" i="38"/>
  <c r="BB73" i="38" s="1"/>
  <c r="AZ38" i="38"/>
  <c r="AZ73" i="38" s="1"/>
  <c r="AY38" i="38"/>
  <c r="AY73" i="38" s="1"/>
  <c r="AX38" i="38"/>
  <c r="AW38" i="38"/>
  <c r="AW73" i="38" s="1"/>
  <c r="AV38" i="38"/>
  <c r="AT38" i="38"/>
  <c r="AT73" i="38" s="1"/>
  <c r="AR38" i="38"/>
  <c r="AR73" i="38" s="1"/>
  <c r="AQ38" i="38"/>
  <c r="AQ73" i="38" s="1"/>
  <c r="AP38" i="38"/>
  <c r="AO38" i="38"/>
  <c r="AN38" i="38"/>
  <c r="AL38" i="38"/>
  <c r="AL73" i="38" s="1"/>
  <c r="AJ38" i="38"/>
  <c r="AJ73" i="38" s="1"/>
  <c r="AI38" i="38"/>
  <c r="AI73" i="38" s="1"/>
  <c r="AH38" i="38"/>
  <c r="AH73" i="38" s="1"/>
  <c r="AG38" i="38"/>
  <c r="AG73" i="38" s="1"/>
  <c r="AF38" i="38"/>
  <c r="AD38" i="38"/>
  <c r="AD73" i="38" s="1"/>
  <c r="AB38" i="38"/>
  <c r="AB73" i="38" s="1"/>
  <c r="AA38" i="38"/>
  <c r="AA73" i="38" s="1"/>
  <c r="Z38" i="38"/>
  <c r="Z73" i="38" s="1"/>
  <c r="Y38" i="38"/>
  <c r="Y73" i="38" s="1"/>
  <c r="X38" i="38"/>
  <c r="X73" i="38" s="1"/>
  <c r="V38" i="38"/>
  <c r="V73" i="38" s="1"/>
  <c r="T38" i="38"/>
  <c r="T73" i="38" s="1"/>
  <c r="S38" i="38"/>
  <c r="S73" i="38" s="1"/>
  <c r="R38" i="38"/>
  <c r="Q38" i="38"/>
  <c r="Q73" i="38" s="1"/>
  <c r="P38" i="38"/>
  <c r="N38" i="38"/>
  <c r="N73" i="38" s="1"/>
  <c r="L38" i="38"/>
  <c r="L73" i="38" s="1"/>
  <c r="K38" i="38"/>
  <c r="K73" i="38" s="1"/>
  <c r="J38" i="38"/>
  <c r="J73" i="38" s="1"/>
  <c r="I38" i="38"/>
  <c r="I73" i="38" s="1"/>
  <c r="H38" i="38"/>
  <c r="F38" i="38"/>
  <c r="F73" i="38" s="1"/>
  <c r="D38" i="38"/>
  <c r="D73" i="38" s="1"/>
  <c r="CC37" i="38"/>
  <c r="CC72" i="38" s="1"/>
  <c r="CB37" i="38"/>
  <c r="CB72" i="38" s="1"/>
  <c r="BZ37" i="38"/>
  <c r="BZ72" i="38" s="1"/>
  <c r="BX37" i="38"/>
  <c r="BX72" i="38" s="1"/>
  <c r="BW37" i="38"/>
  <c r="BV37" i="38"/>
  <c r="BV72" i="38" s="1"/>
  <c r="BU37" i="38"/>
  <c r="BU72" i="38" s="1"/>
  <c r="BT37" i="38"/>
  <c r="BR37" i="38"/>
  <c r="BR72" i="38" s="1"/>
  <c r="BP37" i="38"/>
  <c r="BP72" i="38" s="1"/>
  <c r="BO37" i="38"/>
  <c r="BO72" i="38" s="1"/>
  <c r="BN37" i="38"/>
  <c r="BN72" i="38" s="1"/>
  <c r="BM37" i="38"/>
  <c r="BM72" i="38" s="1"/>
  <c r="BL37" i="38"/>
  <c r="BL72" i="38" s="1"/>
  <c r="BJ37" i="38"/>
  <c r="BH37" i="38"/>
  <c r="BH72" i="38" s="1"/>
  <c r="BG37" i="38"/>
  <c r="BF37" i="38"/>
  <c r="BE37" i="38"/>
  <c r="BE72" i="38" s="1"/>
  <c r="BD37" i="38"/>
  <c r="BD72" i="38" s="1"/>
  <c r="BB37" i="38"/>
  <c r="BB72" i="38" s="1"/>
  <c r="AZ37" i="38"/>
  <c r="AZ72" i="38" s="1"/>
  <c r="AY37" i="38"/>
  <c r="AY72" i="38" s="1"/>
  <c r="AX37" i="38"/>
  <c r="AX72" i="38" s="1"/>
  <c r="AW37" i="38"/>
  <c r="AV37" i="38"/>
  <c r="AV72" i="38" s="1"/>
  <c r="AT37" i="38"/>
  <c r="AT72" i="38" s="1"/>
  <c r="AR37" i="38"/>
  <c r="AR72" i="38" s="1"/>
  <c r="AQ37" i="38"/>
  <c r="AQ72" i="38" s="1"/>
  <c r="AP37" i="38"/>
  <c r="AP72" i="38" s="1"/>
  <c r="AO37" i="38"/>
  <c r="AN37" i="38"/>
  <c r="AN72" i="38" s="1"/>
  <c r="AL37" i="38"/>
  <c r="AL72" i="38" s="1"/>
  <c r="AJ37" i="38"/>
  <c r="AI37" i="38"/>
  <c r="AI72" i="38" s="1"/>
  <c r="AH37" i="38"/>
  <c r="AH72" i="38" s="1"/>
  <c r="AG37" i="38"/>
  <c r="AG72" i="38" s="1"/>
  <c r="AF37" i="38"/>
  <c r="AF72" i="38" s="1"/>
  <c r="AD37" i="38"/>
  <c r="AB37" i="38"/>
  <c r="AA37" i="38"/>
  <c r="AA72" i="38" s="1"/>
  <c r="Z37" i="38"/>
  <c r="Z72" i="38" s="1"/>
  <c r="Y37" i="38"/>
  <c r="Y72" i="38" s="1"/>
  <c r="X37" i="38"/>
  <c r="X72" i="38" s="1"/>
  <c r="V37" i="38"/>
  <c r="V72" i="38" s="1"/>
  <c r="T37" i="38"/>
  <c r="T72" i="38" s="1"/>
  <c r="S37" i="38"/>
  <c r="S72" i="38" s="1"/>
  <c r="R37" i="38"/>
  <c r="R72" i="38" s="1"/>
  <c r="Q37" i="38"/>
  <c r="P37" i="38"/>
  <c r="N37" i="38"/>
  <c r="L37" i="38"/>
  <c r="L72" i="38" s="1"/>
  <c r="K37" i="38"/>
  <c r="K72" i="38" s="1"/>
  <c r="J37" i="38"/>
  <c r="J72" i="38" s="1"/>
  <c r="I37" i="38"/>
  <c r="H37" i="38"/>
  <c r="F37" i="38"/>
  <c r="F72" i="38" s="1"/>
  <c r="E37" i="38"/>
  <c r="E72" i="38" s="1"/>
  <c r="D37" i="38"/>
  <c r="D72" i="38" s="1"/>
  <c r="CC36" i="38"/>
  <c r="CB36" i="38"/>
  <c r="CB71" i="38" s="1"/>
  <c r="BZ36" i="38"/>
  <c r="BZ71" i="38" s="1"/>
  <c r="BX36" i="38"/>
  <c r="BX71" i="38" s="1"/>
  <c r="BW36" i="38"/>
  <c r="BV36" i="38"/>
  <c r="BV71" i="38" s="1"/>
  <c r="BU36" i="38"/>
  <c r="BU71" i="38" s="1"/>
  <c r="BT36" i="38"/>
  <c r="BT71" i="38" s="1"/>
  <c r="BR36" i="38"/>
  <c r="BP36" i="38"/>
  <c r="BO36" i="38"/>
  <c r="BO71" i="38" s="1"/>
  <c r="BN36" i="38"/>
  <c r="BN71" i="38" s="1"/>
  <c r="BM36" i="38"/>
  <c r="BL36" i="38"/>
  <c r="BL71" i="38" s="1"/>
  <c r="BJ36" i="38"/>
  <c r="BH36" i="38"/>
  <c r="BG36" i="38"/>
  <c r="BF36" i="38"/>
  <c r="BF71" i="38" s="1"/>
  <c r="BE36" i="38"/>
  <c r="BE71" i="38" s="1"/>
  <c r="BD36" i="38"/>
  <c r="BD71" i="38" s="1"/>
  <c r="BB36" i="38"/>
  <c r="BB71" i="38" s="1"/>
  <c r="AZ36" i="38"/>
  <c r="AY36" i="38"/>
  <c r="AY71" i="38" s="1"/>
  <c r="AX36" i="38"/>
  <c r="AX71" i="38" s="1"/>
  <c r="AW36" i="38"/>
  <c r="AW71" i="38" s="1"/>
  <c r="AV36" i="38"/>
  <c r="AV71" i="38" s="1"/>
  <c r="AT36" i="38"/>
  <c r="AT71" i="38" s="1"/>
  <c r="AR36" i="38"/>
  <c r="AR71" i="38" s="1"/>
  <c r="AQ36" i="38"/>
  <c r="AQ71" i="38" s="1"/>
  <c r="AP36" i="38"/>
  <c r="AP71" i="38" s="1"/>
  <c r="AO36" i="38"/>
  <c r="AO71" i="38" s="1"/>
  <c r="AN36" i="38"/>
  <c r="AN71" i="38" s="1"/>
  <c r="AL36" i="38"/>
  <c r="AJ36" i="38"/>
  <c r="AJ71" i="38" s="1"/>
  <c r="AI36" i="38"/>
  <c r="AI71" i="38" s="1"/>
  <c r="AH36" i="38"/>
  <c r="AG36" i="38"/>
  <c r="AG71" i="38" s="1"/>
  <c r="AF36" i="38"/>
  <c r="AF71" i="38" s="1"/>
  <c r="AD36" i="38"/>
  <c r="AB36" i="38"/>
  <c r="AA36" i="38"/>
  <c r="Z36" i="38"/>
  <c r="Z71" i="38" s="1"/>
  <c r="Y36" i="38"/>
  <c r="Y71" i="38" s="1"/>
  <c r="X36" i="38"/>
  <c r="X71" i="38" s="1"/>
  <c r="V36" i="38"/>
  <c r="V71" i="38" s="1"/>
  <c r="T36" i="38"/>
  <c r="T71" i="38" s="1"/>
  <c r="S36" i="38"/>
  <c r="S71" i="38" s="1"/>
  <c r="R36" i="38"/>
  <c r="R71" i="38" s="1"/>
  <c r="Q36" i="38"/>
  <c r="Q71" i="38" s="1"/>
  <c r="P36" i="38"/>
  <c r="P71" i="38" s="1"/>
  <c r="N36" i="38"/>
  <c r="N71" i="38" s="1"/>
  <c r="L36" i="38"/>
  <c r="L71" i="38" s="1"/>
  <c r="K36" i="38"/>
  <c r="K71" i="38" s="1"/>
  <c r="J36" i="38"/>
  <c r="J71" i="38" s="1"/>
  <c r="I36" i="38"/>
  <c r="I71" i="38" s="1"/>
  <c r="H36" i="38"/>
  <c r="H71" i="38" s="1"/>
  <c r="F36" i="38"/>
  <c r="F71" i="38" s="1"/>
  <c r="E36" i="38"/>
  <c r="E71" i="38" s="1"/>
  <c r="D36" i="38"/>
  <c r="D71" i="38" s="1"/>
  <c r="CC35" i="38"/>
  <c r="CB35" i="38"/>
  <c r="CA35" i="38"/>
  <c r="BZ35" i="38"/>
  <c r="BY35" i="38"/>
  <c r="BY70" i="38" s="1"/>
  <c r="BX35" i="38"/>
  <c r="BX70" i="38" s="1"/>
  <c r="BW35" i="38"/>
  <c r="BW70" i="38" s="1"/>
  <c r="BV35" i="38"/>
  <c r="BV70" i="38" s="1"/>
  <c r="BU35" i="38"/>
  <c r="BU70" i="38" s="1"/>
  <c r="BT35" i="38"/>
  <c r="BT70" i="38" s="1"/>
  <c r="BS35" i="38"/>
  <c r="BS70" i="38" s="1"/>
  <c r="BR35" i="38"/>
  <c r="BQ35" i="38"/>
  <c r="BQ70" i="38" s="1"/>
  <c r="BP35" i="38"/>
  <c r="BP70" i="38" s="1"/>
  <c r="BO35" i="38"/>
  <c r="BN35" i="38"/>
  <c r="BM35" i="38"/>
  <c r="BM70" i="38" s="1"/>
  <c r="BL35" i="38"/>
  <c r="BL70" i="38" s="1"/>
  <c r="BK35" i="38"/>
  <c r="BJ35" i="38"/>
  <c r="BJ70" i="38" s="1"/>
  <c r="BI35" i="38"/>
  <c r="BI70" i="38" s="1"/>
  <c r="BH35" i="38"/>
  <c r="BH70" i="38" s="1"/>
  <c r="BG35" i="38"/>
  <c r="BG70" i="38" s="1"/>
  <c r="BF35" i="38"/>
  <c r="BF70" i="38" s="1"/>
  <c r="BE35" i="38"/>
  <c r="BD35" i="38"/>
  <c r="BD70" i="38" s="1"/>
  <c r="BC35" i="38"/>
  <c r="BC70" i="38" s="1"/>
  <c r="BB35" i="38"/>
  <c r="BA35" i="38"/>
  <c r="BA70" i="38" s="1"/>
  <c r="AZ35" i="38"/>
  <c r="AZ70" i="38" s="1"/>
  <c r="AY35" i="38"/>
  <c r="AY70" i="38" s="1"/>
  <c r="AX35" i="38"/>
  <c r="AX70" i="38" s="1"/>
  <c r="AW35" i="38"/>
  <c r="AW70" i="38" s="1"/>
  <c r="AV35" i="38"/>
  <c r="AV70" i="38" s="1"/>
  <c r="AU35" i="38"/>
  <c r="AU70" i="38" s="1"/>
  <c r="AT35" i="38"/>
  <c r="AT70" i="38" s="1"/>
  <c r="AS35" i="38"/>
  <c r="AS70" i="38" s="1"/>
  <c r="AR35" i="38"/>
  <c r="AQ35" i="38"/>
  <c r="AQ70" i="38" s="1"/>
  <c r="AP35" i="38"/>
  <c r="AP70" i="38" s="1"/>
  <c r="AO35" i="38"/>
  <c r="AO70" i="38" s="1"/>
  <c r="AN35" i="38"/>
  <c r="AN70" i="38" s="1"/>
  <c r="AM35" i="38"/>
  <c r="AM70" i="38" s="1"/>
  <c r="AL35" i="38"/>
  <c r="AL70" i="38" s="1"/>
  <c r="AK35" i="38"/>
  <c r="AK70" i="38" s="1"/>
  <c r="AJ35" i="38"/>
  <c r="AJ70" i="38" s="1"/>
  <c r="AI35" i="38"/>
  <c r="AH35" i="38"/>
  <c r="AH70" i="38" s="1"/>
  <c r="AG35" i="38"/>
  <c r="AG70" i="38" s="1"/>
  <c r="AF35" i="38"/>
  <c r="AF70" i="38" s="1"/>
  <c r="AE35" i="38"/>
  <c r="AE70" i="38" s="1"/>
  <c r="AD35" i="38"/>
  <c r="AD70" i="38" s="1"/>
  <c r="AC35" i="38"/>
  <c r="AB35" i="38"/>
  <c r="AB70" i="38" s="1"/>
  <c r="AA35" i="38"/>
  <c r="AA70" i="38" s="1"/>
  <c r="Z35" i="38"/>
  <c r="Z70" i="38" s="1"/>
  <c r="Y35" i="38"/>
  <c r="Y70" i="38" s="1"/>
  <c r="X35" i="38"/>
  <c r="X70" i="38" s="1"/>
  <c r="W35" i="38"/>
  <c r="W70" i="38" s="1"/>
  <c r="V35" i="38"/>
  <c r="V70" i="38" s="1"/>
  <c r="U35" i="38"/>
  <c r="U70" i="38" s="1"/>
  <c r="T35" i="38"/>
  <c r="T70" i="38" s="1"/>
  <c r="S35" i="38"/>
  <c r="S70" i="38" s="1"/>
  <c r="R35" i="38"/>
  <c r="Q35" i="38"/>
  <c r="P35" i="38"/>
  <c r="O35" i="38"/>
  <c r="N35" i="38"/>
  <c r="M35" i="38"/>
  <c r="M70" i="38" s="1"/>
  <c r="L35" i="38"/>
  <c r="K35" i="38"/>
  <c r="K70" i="38" s="1"/>
  <c r="J35" i="38"/>
  <c r="I35" i="38"/>
  <c r="H35" i="38"/>
  <c r="H70" i="38" s="1"/>
  <c r="G35" i="38"/>
  <c r="G70" i="38" s="1"/>
  <c r="F35" i="38"/>
  <c r="F70" i="38" s="1"/>
  <c r="E35" i="38"/>
  <c r="E70" i="38" s="1"/>
  <c r="D35" i="38"/>
  <c r="D70" i="38" s="1"/>
  <c r="CB34" i="38"/>
  <c r="CB69" i="38" s="1"/>
  <c r="U34" i="38"/>
  <c r="U69" i="38" s="1"/>
  <c r="CB33" i="38"/>
  <c r="CB68" i="38" s="1"/>
  <c r="CB32" i="38"/>
  <c r="CB67" i="38" s="1"/>
  <c r="CB31" i="38"/>
  <c r="CB66" i="38" s="1"/>
  <c r="CB30" i="38"/>
  <c r="CB65" i="38" s="1"/>
  <c r="CB29" i="38"/>
  <c r="CB64" i="38" s="1"/>
  <c r="CB28" i="38"/>
  <c r="CB63" i="38" s="1"/>
  <c r="CB27" i="38"/>
  <c r="CB62" i="38" s="1"/>
  <c r="CB26" i="38"/>
  <c r="CB61" i="38" s="1"/>
  <c r="CB25" i="38"/>
  <c r="CB60" i="38" s="1"/>
  <c r="CB24" i="38"/>
  <c r="CB59" i="38" s="1"/>
  <c r="CB23" i="38"/>
  <c r="CB58" i="38" s="1"/>
  <c r="CB22" i="38"/>
  <c r="CB57" i="38" s="1"/>
  <c r="CB21" i="38"/>
  <c r="CB56" i="38" s="1"/>
  <c r="CB20" i="38"/>
  <c r="CB55" i="38" s="1"/>
  <c r="D20" i="38"/>
  <c r="CC19" i="38"/>
  <c r="CB19" i="38"/>
  <c r="CB54" i="38" s="1"/>
  <c r="CA19" i="38"/>
  <c r="CA54" i="38" s="1"/>
  <c r="BZ19" i="38"/>
  <c r="BZ54" i="38" s="1"/>
  <c r="BY19" i="38"/>
  <c r="BY54" i="38" s="1"/>
  <c r="BX19" i="38"/>
  <c r="BX54" i="38" s="1"/>
  <c r="BW19" i="38"/>
  <c r="BW54" i="38" s="1"/>
  <c r="BV19" i="38"/>
  <c r="BV54" i="38" s="1"/>
  <c r="BU19" i="38"/>
  <c r="BU54" i="38" s="1"/>
  <c r="BT19" i="38"/>
  <c r="BT54" i="38" s="1"/>
  <c r="BS19" i="38"/>
  <c r="BR19" i="38"/>
  <c r="BR54" i="38" s="1"/>
  <c r="BQ19" i="38"/>
  <c r="BQ54" i="38" s="1"/>
  <c r="BP19" i="38"/>
  <c r="BO19" i="38"/>
  <c r="BO54" i="38" s="1"/>
  <c r="BN19" i="38"/>
  <c r="BN54" i="38" s="1"/>
  <c r="BM19" i="38"/>
  <c r="BM54" i="38" s="1"/>
  <c r="BL19" i="38"/>
  <c r="BL54" i="38" s="1"/>
  <c r="BK19" i="38"/>
  <c r="BK54" i="38" s="1"/>
  <c r="BJ19" i="38"/>
  <c r="BJ54" i="38" s="1"/>
  <c r="BI19" i="38"/>
  <c r="BH19" i="38"/>
  <c r="BG19" i="38"/>
  <c r="BG54" i="38" s="1"/>
  <c r="BF19" i="38"/>
  <c r="BF54" i="38" s="1"/>
  <c r="BE19" i="38"/>
  <c r="BD19" i="38"/>
  <c r="BC19" i="38"/>
  <c r="BC54" i="38" s="1"/>
  <c r="BB19" i="38"/>
  <c r="BB54" i="38" s="1"/>
  <c r="BA19" i="38"/>
  <c r="BA54" i="38" s="1"/>
  <c r="AZ19" i="38"/>
  <c r="AY19" i="38"/>
  <c r="AY54" i="38" s="1"/>
  <c r="AX19" i="38"/>
  <c r="AX54" i="38" s="1"/>
  <c r="AW19" i="38"/>
  <c r="AV19" i="38"/>
  <c r="AU19" i="38"/>
  <c r="AU54" i="38" s="1"/>
  <c r="AT19" i="38"/>
  <c r="AS19" i="38"/>
  <c r="AR19" i="38"/>
  <c r="AQ19" i="38"/>
  <c r="AP19" i="38"/>
  <c r="AP54" i="38" s="1"/>
  <c r="AO19" i="38"/>
  <c r="AO54" i="38" s="1"/>
  <c r="AN19" i="38"/>
  <c r="AM19" i="38"/>
  <c r="AL19" i="38"/>
  <c r="AL54" i="38" s="1"/>
  <c r="AK19" i="38"/>
  <c r="AK54" i="38" s="1"/>
  <c r="AJ19" i="38"/>
  <c r="AJ54" i="38" s="1"/>
  <c r="AI19" i="38"/>
  <c r="AI54" i="38" s="1"/>
  <c r="AH19" i="38"/>
  <c r="AH54" i="38" s="1"/>
  <c r="AG19" i="38"/>
  <c r="AF19" i="38"/>
  <c r="AF54" i="38" s="1"/>
  <c r="AE19" i="38"/>
  <c r="AE54" i="38" s="1"/>
  <c r="AD19" i="38"/>
  <c r="AD54" i="38" s="1"/>
  <c r="AC19" i="38"/>
  <c r="AC54" i="38" s="1"/>
  <c r="AB19" i="38"/>
  <c r="AB54" i="38" s="1"/>
  <c r="AA19" i="38"/>
  <c r="AA54" i="38" s="1"/>
  <c r="Z19" i="38"/>
  <c r="Y19" i="38"/>
  <c r="Y54" i="38" s="1"/>
  <c r="X19" i="38"/>
  <c r="X54" i="38" s="1"/>
  <c r="W19" i="38"/>
  <c r="V19" i="38"/>
  <c r="V54" i="38" s="1"/>
  <c r="U19" i="38"/>
  <c r="U54" i="38" s="1"/>
  <c r="T19" i="38"/>
  <c r="S19" i="38"/>
  <c r="R19" i="38"/>
  <c r="Q19" i="38"/>
  <c r="Q54" i="38" s="1"/>
  <c r="P19" i="38"/>
  <c r="P54" i="38" s="1"/>
  <c r="O19" i="38"/>
  <c r="O54" i="38" s="1"/>
  <c r="N19" i="38"/>
  <c r="N54" i="38" s="1"/>
  <c r="M19" i="38"/>
  <c r="L19" i="38"/>
  <c r="K19" i="38"/>
  <c r="J19" i="38"/>
  <c r="J54" i="38" s="1"/>
  <c r="I19" i="38"/>
  <c r="H19" i="38"/>
  <c r="H54" i="38" s="1"/>
  <c r="G19" i="38"/>
  <c r="G54" i="38" s="1"/>
  <c r="F19" i="38"/>
  <c r="F54" i="38" s="1"/>
  <c r="E19" i="38"/>
  <c r="E54" i="38" s="1"/>
  <c r="D19" i="38"/>
  <c r="CC18" i="38"/>
  <c r="CC53" i="38" s="1"/>
  <c r="CB18" i="38"/>
  <c r="CA18" i="38"/>
  <c r="BZ18" i="38"/>
  <c r="BZ53" i="38" s="1"/>
  <c r="BY18" i="38"/>
  <c r="BY53" i="38" s="1"/>
  <c r="BX18" i="38"/>
  <c r="BX53" i="38" s="1"/>
  <c r="BW18" i="38"/>
  <c r="BW53" i="38" s="1"/>
  <c r="BV18" i="38"/>
  <c r="BV53" i="38" s="1"/>
  <c r="BU18" i="38"/>
  <c r="BU53" i="38" s="1"/>
  <c r="BS18" i="38"/>
  <c r="BR18" i="38"/>
  <c r="BQ18" i="38"/>
  <c r="BQ53" i="38" s="1"/>
  <c r="BP18" i="38"/>
  <c r="BP53" i="38" s="1"/>
  <c r="BO18" i="38"/>
  <c r="BO53" i="38" s="1"/>
  <c r="BN18" i="38"/>
  <c r="BM18" i="38"/>
  <c r="BK18" i="38"/>
  <c r="BK53" i="38" s="1"/>
  <c r="BJ18" i="38"/>
  <c r="BJ53" i="38" s="1"/>
  <c r="BI18" i="38"/>
  <c r="BI53" i="38" s="1"/>
  <c r="BH18" i="38"/>
  <c r="BH53" i="38" s="1"/>
  <c r="BG18" i="38"/>
  <c r="BG53" i="38" s="1"/>
  <c r="BF18" i="38"/>
  <c r="BF53" i="38" s="1"/>
  <c r="BE18" i="38"/>
  <c r="BE53" i="38" s="1"/>
  <c r="BC18" i="38"/>
  <c r="BC53" i="38" s="1"/>
  <c r="BB18" i="38"/>
  <c r="BB53" i="38" s="1"/>
  <c r="BA18" i="38"/>
  <c r="AZ18" i="38"/>
  <c r="AZ53" i="38" s="1"/>
  <c r="AY18" i="38"/>
  <c r="AY53" i="38" s="1"/>
  <c r="AX18" i="38"/>
  <c r="AW18" i="38"/>
  <c r="AU18" i="38"/>
  <c r="AT18" i="38"/>
  <c r="AS18" i="38"/>
  <c r="AS53" i="38" s="1"/>
  <c r="AR18" i="38"/>
  <c r="AQ18" i="38"/>
  <c r="AP18" i="38"/>
  <c r="AO18" i="38"/>
  <c r="AM18" i="38"/>
  <c r="AL18" i="38"/>
  <c r="AL53" i="38" s="1"/>
  <c r="AK18" i="38"/>
  <c r="AK53" i="38" s="1"/>
  <c r="AJ18" i="38"/>
  <c r="AJ53" i="38" s="1"/>
  <c r="AI18" i="38"/>
  <c r="AI53" i="38" s="1"/>
  <c r="AH18" i="38"/>
  <c r="AH53" i="38" s="1"/>
  <c r="AG18" i="38"/>
  <c r="AG53" i="38" s="1"/>
  <c r="AE18" i="38"/>
  <c r="AE53" i="38" s="1"/>
  <c r="AD18" i="38"/>
  <c r="AC18" i="38"/>
  <c r="AC53" i="38" s="1"/>
  <c r="AB18" i="38"/>
  <c r="AB53" i="38" s="1"/>
  <c r="AA18" i="38"/>
  <c r="AA53" i="38" s="1"/>
  <c r="Z18" i="38"/>
  <c r="Z53" i="38" s="1"/>
  <c r="Y18" i="38"/>
  <c r="Y53" i="38" s="1"/>
  <c r="W18" i="38"/>
  <c r="V18" i="38"/>
  <c r="U18" i="38"/>
  <c r="T18" i="38"/>
  <c r="S18" i="38"/>
  <c r="R18" i="38"/>
  <c r="R53" i="38" s="1"/>
  <c r="Q18" i="38"/>
  <c r="Q53" i="38" s="1"/>
  <c r="O18" i="38"/>
  <c r="O53" i="38" s="1"/>
  <c r="N18" i="38"/>
  <c r="N53" i="38" s="1"/>
  <c r="M18" i="38"/>
  <c r="M53" i="38" s="1"/>
  <c r="L18" i="38"/>
  <c r="K18" i="38"/>
  <c r="J18" i="38"/>
  <c r="J53" i="38" s="1"/>
  <c r="I18" i="38"/>
  <c r="I53" i="38" s="1"/>
  <c r="G18" i="38"/>
  <c r="F18" i="38"/>
  <c r="E18" i="38"/>
  <c r="D18" i="38"/>
  <c r="D53" i="38" s="1"/>
  <c r="CC17" i="38"/>
  <c r="CC52" i="38" s="1"/>
  <c r="CB17" i="38"/>
  <c r="CA17" i="38"/>
  <c r="CA52" i="38" s="1"/>
  <c r="BZ17" i="38"/>
  <c r="BZ52" i="38" s="1"/>
  <c r="BY17" i="38"/>
  <c r="BY52" i="38" s="1"/>
  <c r="BX17" i="38"/>
  <c r="BX52" i="38" s="1"/>
  <c r="BW17" i="38"/>
  <c r="BW52" i="38" s="1"/>
  <c r="BV17" i="38"/>
  <c r="BV52" i="38" s="1"/>
  <c r="BU17" i="38"/>
  <c r="BU52" i="38" s="1"/>
  <c r="BS17" i="38"/>
  <c r="BR17" i="38"/>
  <c r="BQ17" i="38"/>
  <c r="BP17" i="38"/>
  <c r="BO17" i="38"/>
  <c r="BN17" i="38"/>
  <c r="BN52" i="38" s="1"/>
  <c r="BM17" i="38"/>
  <c r="BM52" i="38" s="1"/>
  <c r="BK17" i="38"/>
  <c r="BJ17" i="38"/>
  <c r="BJ52" i="38" s="1"/>
  <c r="BI17" i="38"/>
  <c r="BI52" i="38" s="1"/>
  <c r="BH17" i="38"/>
  <c r="BG17" i="38"/>
  <c r="BG52" i="38" s="1"/>
  <c r="BF17" i="38"/>
  <c r="BE17" i="38"/>
  <c r="BC17" i="38"/>
  <c r="BC52" i="38" s="1"/>
  <c r="BB17" i="38"/>
  <c r="BB52" i="38" s="1"/>
  <c r="BA17" i="38"/>
  <c r="AZ17" i="38"/>
  <c r="AY17" i="38"/>
  <c r="AX17" i="38"/>
  <c r="AW17" i="38"/>
  <c r="AW52" i="38" s="1"/>
  <c r="AU17" i="38"/>
  <c r="AU52" i="38" s="1"/>
  <c r="AT17" i="38"/>
  <c r="AT52" i="38" s="1"/>
  <c r="AS17" i="38"/>
  <c r="AS52" i="38" s="1"/>
  <c r="AR17" i="38"/>
  <c r="AR52" i="38" s="1"/>
  <c r="AQ17" i="38"/>
  <c r="AQ52" i="38" s="1"/>
  <c r="AP17" i="38"/>
  <c r="AP52" i="38" s="1"/>
  <c r="AO17" i="38"/>
  <c r="AO52" i="38" s="1"/>
  <c r="AM17" i="38"/>
  <c r="AL17" i="38"/>
  <c r="AL52" i="38" s="1"/>
  <c r="AK17" i="38"/>
  <c r="AK52" i="38" s="1"/>
  <c r="AJ17" i="38"/>
  <c r="AJ52" i="38" s="1"/>
  <c r="AI17" i="38"/>
  <c r="AH17" i="38"/>
  <c r="AG17" i="38"/>
  <c r="AE17" i="38"/>
  <c r="AE52" i="38" s="1"/>
  <c r="AD17" i="38"/>
  <c r="AD52" i="38" s="1"/>
  <c r="AC17" i="38"/>
  <c r="AC52" i="38" s="1"/>
  <c r="AB17" i="38"/>
  <c r="AA17" i="38"/>
  <c r="Z17" i="38"/>
  <c r="Y17" i="38"/>
  <c r="Y52" i="38" s="1"/>
  <c r="W17" i="38"/>
  <c r="W52" i="38" s="1"/>
  <c r="V17" i="38"/>
  <c r="V52" i="38" s="1"/>
  <c r="U17" i="38"/>
  <c r="U52" i="38" s="1"/>
  <c r="T17" i="38"/>
  <c r="T52" i="38" s="1"/>
  <c r="S17" i="38"/>
  <c r="S52" i="38" s="1"/>
  <c r="R17" i="38"/>
  <c r="R52" i="38" s="1"/>
  <c r="Q17" i="38"/>
  <c r="Q52" i="38" s="1"/>
  <c r="O17" i="38"/>
  <c r="N17" i="38"/>
  <c r="N52" i="38" s="1"/>
  <c r="M17" i="38"/>
  <c r="M52" i="38" s="1"/>
  <c r="L17" i="38"/>
  <c r="K17" i="38"/>
  <c r="J17" i="38"/>
  <c r="I17" i="38"/>
  <c r="I52" i="38" s="1"/>
  <c r="G17" i="38"/>
  <c r="G52" i="38" s="1"/>
  <c r="F17" i="38"/>
  <c r="F52" i="38" s="1"/>
  <c r="E17" i="38"/>
  <c r="D17" i="38"/>
  <c r="CC16" i="38"/>
  <c r="CB16" i="38"/>
  <c r="CB51" i="38" s="1"/>
  <c r="CA16" i="38"/>
  <c r="CA51" i="38" s="1"/>
  <c r="BZ16" i="38"/>
  <c r="BZ51" i="38" s="1"/>
  <c r="BY16" i="38"/>
  <c r="BX16" i="38"/>
  <c r="BX51" i="38" s="1"/>
  <c r="BW16" i="38"/>
  <c r="BW51" i="38" s="1"/>
  <c r="BV16" i="38"/>
  <c r="BV51" i="38" s="1"/>
  <c r="BS16" i="38"/>
  <c r="BS51" i="38" s="1"/>
  <c r="BR16" i="38"/>
  <c r="BR51" i="38" s="1"/>
  <c r="BQ16" i="38"/>
  <c r="BQ51" i="38" s="1"/>
  <c r="BP16" i="38"/>
  <c r="BP51" i="38" s="1"/>
  <c r="BO16" i="38"/>
  <c r="BN16" i="38"/>
  <c r="BK16" i="38"/>
  <c r="BJ16" i="38"/>
  <c r="BJ51" i="38" s="1"/>
  <c r="BI16" i="38"/>
  <c r="BI51" i="38" s="1"/>
  <c r="BH16" i="38"/>
  <c r="BH51" i="38" s="1"/>
  <c r="BG16" i="38"/>
  <c r="BG51" i="38" s="1"/>
  <c r="BF16" i="38"/>
  <c r="BF51" i="38" s="1"/>
  <c r="BC16" i="38"/>
  <c r="BB16" i="38"/>
  <c r="BB51" i="38" s="1"/>
  <c r="BA16" i="38"/>
  <c r="BA51" i="38" s="1"/>
  <c r="AZ16" i="38"/>
  <c r="AZ51" i="38" s="1"/>
  <c r="AY16" i="38"/>
  <c r="AY51" i="38" s="1"/>
  <c r="AX16" i="38"/>
  <c r="AU16" i="38"/>
  <c r="AT16" i="38"/>
  <c r="AS16" i="38"/>
  <c r="AR16" i="38"/>
  <c r="AR51" i="38" s="1"/>
  <c r="AQ16" i="38"/>
  <c r="AQ51" i="38" s="1"/>
  <c r="AP16" i="38"/>
  <c r="AP51" i="38" s="1"/>
  <c r="AM16" i="38"/>
  <c r="AM51" i="38" s="1"/>
  <c r="AL16" i="38"/>
  <c r="AK16" i="38"/>
  <c r="AJ16" i="38"/>
  <c r="AI16" i="38"/>
  <c r="AH16" i="38"/>
  <c r="AE16" i="38"/>
  <c r="AE51" i="38" s="1"/>
  <c r="AD16" i="38"/>
  <c r="AC16" i="38"/>
  <c r="AB16" i="38"/>
  <c r="AB51" i="38" s="1"/>
  <c r="AA16" i="38"/>
  <c r="AA51" i="38" s="1"/>
  <c r="Z16" i="38"/>
  <c r="W16" i="38"/>
  <c r="W51" i="38" s="1"/>
  <c r="V16" i="38"/>
  <c r="V51" i="38" s="1"/>
  <c r="U16" i="38"/>
  <c r="U51" i="38" s="1"/>
  <c r="T16" i="38"/>
  <c r="T51" i="38" s="1"/>
  <c r="S16" i="38"/>
  <c r="S51" i="38" s="1"/>
  <c r="R16" i="38"/>
  <c r="R51" i="38" s="1"/>
  <c r="O16" i="38"/>
  <c r="N16" i="38"/>
  <c r="M16" i="38"/>
  <c r="L16" i="38"/>
  <c r="L51" i="38" s="1"/>
  <c r="K16" i="38"/>
  <c r="K51" i="38" s="1"/>
  <c r="J16" i="38"/>
  <c r="G16" i="38"/>
  <c r="G51" i="38" s="1"/>
  <c r="F16" i="38"/>
  <c r="F51" i="38" s="1"/>
  <c r="E16" i="38"/>
  <c r="E51" i="38" s="1"/>
  <c r="D16" i="38"/>
  <c r="D51" i="38" s="1"/>
  <c r="CC15" i="38"/>
  <c r="CB15" i="38"/>
  <c r="CA15" i="38"/>
  <c r="BZ15" i="38"/>
  <c r="BY15" i="38"/>
  <c r="BX15" i="38"/>
  <c r="BS15" i="38"/>
  <c r="BS50" i="38" s="1"/>
  <c r="BR15" i="38"/>
  <c r="BR50" i="38" s="1"/>
  <c r="BQ15" i="38"/>
  <c r="BQ50" i="38" s="1"/>
  <c r="BP15" i="38"/>
  <c r="BP50" i="38" s="1"/>
  <c r="BK15" i="38"/>
  <c r="BK50" i="38" s="1"/>
  <c r="BJ15" i="38"/>
  <c r="BJ50" i="38" s="1"/>
  <c r="BI15" i="38"/>
  <c r="BI50" i="38" s="1"/>
  <c r="BH15" i="38"/>
  <c r="BC15" i="38"/>
  <c r="BC50" i="38" s="1"/>
  <c r="BB15" i="38"/>
  <c r="BA15" i="38"/>
  <c r="AZ15" i="38"/>
  <c r="AU15" i="38"/>
  <c r="AU50" i="38" s="1"/>
  <c r="AT15" i="38"/>
  <c r="AT50" i="38" s="1"/>
  <c r="AS15" i="38"/>
  <c r="AR15" i="38"/>
  <c r="AM15" i="38"/>
  <c r="AM50" i="38" s="1"/>
  <c r="AL15" i="38"/>
  <c r="AL50" i="38" s="1"/>
  <c r="AK15" i="38"/>
  <c r="AK50" i="38" s="1"/>
  <c r="AJ15" i="38"/>
  <c r="AJ50" i="38" s="1"/>
  <c r="AE15" i="38"/>
  <c r="AE50" i="38" s="1"/>
  <c r="AD15" i="38"/>
  <c r="AD50" i="38" s="1"/>
  <c r="AC15" i="38"/>
  <c r="AC50" i="38" s="1"/>
  <c r="AB15" i="38"/>
  <c r="AB50" i="38" s="1"/>
  <c r="W15" i="38"/>
  <c r="W50" i="38" s="1"/>
  <c r="V15" i="38"/>
  <c r="V50" i="38" s="1"/>
  <c r="U15" i="38"/>
  <c r="U50" i="38" s="1"/>
  <c r="T15" i="38"/>
  <c r="O15" i="38"/>
  <c r="O50" i="38" s="1"/>
  <c r="N15" i="38"/>
  <c r="N50" i="38" s="1"/>
  <c r="M15" i="38"/>
  <c r="L15" i="38"/>
  <c r="L50" i="38" s="1"/>
  <c r="G15" i="38"/>
  <c r="G50" i="38" s="1"/>
  <c r="F15" i="38"/>
  <c r="F50" i="38" s="1"/>
  <c r="E15" i="38"/>
  <c r="E50" i="38" s="1"/>
  <c r="D15" i="38"/>
  <c r="CC14" i="38"/>
  <c r="CB14" i="38"/>
  <c r="G14" i="38"/>
  <c r="F14" i="38"/>
  <c r="E14" i="38"/>
  <c r="D14" i="38"/>
  <c r="CC13" i="38"/>
  <c r="CB13" i="38"/>
  <c r="G13" i="38"/>
  <c r="F13" i="38"/>
  <c r="E13" i="38"/>
  <c r="D13" i="38"/>
  <c r="CC12" i="38"/>
  <c r="CB12" i="38"/>
  <c r="CA12" i="38"/>
  <c r="BZ12" i="38"/>
  <c r="BY12" i="38"/>
  <c r="BX12" i="38"/>
  <c r="BW12" i="38"/>
  <c r="BV12" i="38"/>
  <c r="BU12" i="38"/>
  <c r="BT12" i="38"/>
  <c r="BS12" i="38"/>
  <c r="BR12" i="38"/>
  <c r="BQ12" i="38"/>
  <c r="BP12" i="38"/>
  <c r="BO12" i="38"/>
  <c r="BN12" i="38"/>
  <c r="BM12" i="38"/>
  <c r="BL12" i="38"/>
  <c r="BK12" i="38"/>
  <c r="BJ12" i="38"/>
  <c r="BI12" i="38"/>
  <c r="BH12" i="38"/>
  <c r="BG12" i="38"/>
  <c r="BF12" i="38"/>
  <c r="BE12" i="38"/>
  <c r="BD12" i="38"/>
  <c r="BC12" i="38"/>
  <c r="BB12" i="38"/>
  <c r="BA12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AM12" i="38"/>
  <c r="AL12" i="38"/>
  <c r="AK12" i="38"/>
  <c r="AJ12" i="38"/>
  <c r="AI12" i="38"/>
  <c r="AH12" i="38"/>
  <c r="AG12" i="38"/>
  <c r="AF12" i="38"/>
  <c r="AE12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C11" i="38"/>
  <c r="CB11" i="38"/>
  <c r="CA11" i="38"/>
  <c r="BZ11" i="38"/>
  <c r="BY11" i="38"/>
  <c r="BX11" i="38"/>
  <c r="BW11" i="38"/>
  <c r="BV11" i="38"/>
  <c r="BU11" i="38"/>
  <c r="BT11" i="38"/>
  <c r="BS11" i="38"/>
  <c r="BR11" i="38"/>
  <c r="BQ11" i="38"/>
  <c r="BP11" i="38"/>
  <c r="BO11" i="38"/>
  <c r="BN11" i="38"/>
  <c r="BM11" i="38"/>
  <c r="BL11" i="38"/>
  <c r="BK11" i="38"/>
  <c r="BJ11" i="38"/>
  <c r="BI11" i="38"/>
  <c r="BH11" i="38"/>
  <c r="BG11" i="38"/>
  <c r="BF11" i="38"/>
  <c r="BE11" i="38"/>
  <c r="BD11" i="38"/>
  <c r="BC11" i="38"/>
  <c r="BB11" i="38"/>
  <c r="BA11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AM11" i="38"/>
  <c r="AL11" i="38"/>
  <c r="AK11" i="38"/>
  <c r="AJ11" i="38"/>
  <c r="AI11" i="38"/>
  <c r="AH11" i="38"/>
  <c r="AG11" i="38"/>
  <c r="AF11" i="38"/>
  <c r="AE11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P11" i="38"/>
  <c r="O11" i="38"/>
  <c r="M11" i="38"/>
  <c r="J11" i="38"/>
  <c r="I11" i="38"/>
  <c r="H11" i="38"/>
  <c r="G11" i="38"/>
  <c r="D11" i="38"/>
  <c r="CC10" i="38"/>
  <c r="CB10" i="38"/>
  <c r="CA10" i="38"/>
  <c r="BZ10" i="38"/>
  <c r="BY10" i="38"/>
  <c r="BX10" i="38"/>
  <c r="BW10" i="38"/>
  <c r="BV10" i="38"/>
  <c r="BU10" i="38"/>
  <c r="BT10" i="38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G10" i="38"/>
  <c r="BF10" i="38"/>
  <c r="BE10" i="38"/>
  <c r="BD10" i="38"/>
  <c r="BC10" i="38"/>
  <c r="BB10" i="38"/>
  <c r="BA10" i="38"/>
  <c r="AZ10" i="38"/>
  <c r="AY10" i="38"/>
  <c r="AX10" i="38"/>
  <c r="AW10" i="38"/>
  <c r="AV10" i="38"/>
  <c r="AU10" i="38"/>
  <c r="AT10" i="38"/>
  <c r="AS10" i="38"/>
  <c r="AR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E10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P10" i="38"/>
  <c r="O10" i="38"/>
  <c r="M10" i="38"/>
  <c r="J10" i="38"/>
  <c r="I10" i="38"/>
  <c r="H10" i="38"/>
  <c r="G10" i="38"/>
  <c r="D10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Q9" i="38"/>
  <c r="BP9" i="38"/>
  <c r="BO9" i="38"/>
  <c r="BN9" i="38"/>
  <c r="BM9" i="38"/>
  <c r="BL9" i="38"/>
  <c r="BK9" i="38"/>
  <c r="BJ9" i="38"/>
  <c r="BI9" i="38"/>
  <c r="BH9" i="38"/>
  <c r="BG9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F9" i="38"/>
  <c r="AE9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P9" i="38"/>
  <c r="O9" i="38"/>
  <c r="M9" i="38"/>
  <c r="J9" i="38"/>
  <c r="I9" i="38"/>
  <c r="H9" i="38"/>
  <c r="G9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Q8" i="38"/>
  <c r="BP8" i="38"/>
  <c r="BO8" i="38"/>
  <c r="BN8" i="38"/>
  <c r="BM8" i="38"/>
  <c r="BL8" i="38"/>
  <c r="BK8" i="38"/>
  <c r="BJ8" i="38"/>
  <c r="BI8" i="38"/>
  <c r="BH8" i="38"/>
  <c r="BG8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P8" i="38"/>
  <c r="O8" i="38"/>
  <c r="J8" i="38"/>
  <c r="I8" i="38"/>
  <c r="H8" i="38"/>
  <c r="G8" i="38"/>
  <c r="D8" i="38"/>
  <c r="CC7" i="38"/>
  <c r="CB7" i="38"/>
  <c r="CA7" i="38"/>
  <c r="BZ7" i="38"/>
  <c r="BY7" i="38"/>
  <c r="BX7" i="38"/>
  <c r="BW7" i="38"/>
  <c r="BV7" i="38"/>
  <c r="BU7" i="38"/>
  <c r="BT7" i="38"/>
  <c r="BS7" i="38"/>
  <c r="BR7" i="38"/>
  <c r="BQ7" i="38"/>
  <c r="BP7" i="38"/>
  <c r="BO7" i="38"/>
  <c r="BN7" i="38"/>
  <c r="BM7" i="38"/>
  <c r="BL7" i="38"/>
  <c r="BK7" i="38"/>
  <c r="BJ7" i="38"/>
  <c r="BI7" i="38"/>
  <c r="BH7" i="38"/>
  <c r="BG7" i="38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F7" i="38"/>
  <c r="AE7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P7" i="38"/>
  <c r="O7" i="38"/>
  <c r="J7" i="38"/>
  <c r="I7" i="38"/>
  <c r="H7" i="38"/>
  <c r="G7" i="38"/>
  <c r="CC6" i="38"/>
  <c r="CB6" i="38"/>
  <c r="CA6" i="38"/>
  <c r="BZ6" i="38"/>
  <c r="BY6" i="38"/>
  <c r="BX6" i="38"/>
  <c r="BW6" i="38"/>
  <c r="BV6" i="38"/>
  <c r="BU6" i="38"/>
  <c r="BT6" i="38"/>
  <c r="BS6" i="38"/>
  <c r="BR6" i="38"/>
  <c r="BQ6" i="38"/>
  <c r="BP6" i="38"/>
  <c r="BO6" i="38"/>
  <c r="BN6" i="38"/>
  <c r="BM6" i="38"/>
  <c r="BL6" i="38"/>
  <c r="BK6" i="38"/>
  <c r="BJ6" i="38"/>
  <c r="BI6" i="38"/>
  <c r="BH6" i="38"/>
  <c r="BG6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F6" i="38"/>
  <c r="AE6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P6" i="38"/>
  <c r="O6" i="38"/>
  <c r="J6" i="38"/>
  <c r="I6" i="38"/>
  <c r="H6" i="38"/>
  <c r="G6" i="38"/>
  <c r="E6" i="38"/>
  <c r="D6" i="38"/>
  <c r="C2" i="38"/>
  <c r="BV76" i="35"/>
  <c r="BU76" i="35"/>
  <c r="BN76" i="35"/>
  <c r="BM76" i="35"/>
  <c r="BF76" i="35"/>
  <c r="BE76" i="35"/>
  <c r="AX76" i="35"/>
  <c r="AW76" i="35"/>
  <c r="AP76" i="35"/>
  <c r="AO76" i="35"/>
  <c r="AH76" i="35"/>
  <c r="AG76" i="35"/>
  <c r="Z76" i="35"/>
  <c r="Y76" i="35"/>
  <c r="R76" i="35"/>
  <c r="Q76" i="35"/>
  <c r="J76" i="35"/>
  <c r="I76" i="35"/>
  <c r="BU69" i="35"/>
  <c r="BM69" i="35"/>
  <c r="BE69" i="35"/>
  <c r="AW69" i="35"/>
  <c r="AO69" i="35"/>
  <c r="AG69" i="35"/>
  <c r="Y69" i="35"/>
  <c r="Q69" i="35"/>
  <c r="I69" i="35"/>
  <c r="BU68" i="35"/>
  <c r="BM68" i="35"/>
  <c r="BE68" i="35"/>
  <c r="AW68" i="35"/>
  <c r="AO68" i="35"/>
  <c r="AG68" i="35"/>
  <c r="Y68" i="35"/>
  <c r="Q68" i="35"/>
  <c r="I68" i="35"/>
  <c r="BU67" i="35"/>
  <c r="BM67" i="35"/>
  <c r="BE67" i="35"/>
  <c r="AW67" i="35"/>
  <c r="AO67" i="35"/>
  <c r="AG67" i="35"/>
  <c r="Y67" i="35"/>
  <c r="Q67" i="35"/>
  <c r="I67" i="35"/>
  <c r="BU66" i="35"/>
  <c r="BM66" i="35"/>
  <c r="BE66" i="35"/>
  <c r="AW66" i="35"/>
  <c r="AO66" i="35"/>
  <c r="AG66" i="35"/>
  <c r="Y66" i="35"/>
  <c r="Q66" i="35"/>
  <c r="I66" i="35"/>
  <c r="BU65" i="35"/>
  <c r="BM65" i="35"/>
  <c r="BE65" i="35"/>
  <c r="AW65" i="35"/>
  <c r="AO65" i="35"/>
  <c r="AG65" i="35"/>
  <c r="Y65" i="35"/>
  <c r="Q65" i="35"/>
  <c r="I65" i="35"/>
  <c r="BU64" i="35"/>
  <c r="BM64" i="35"/>
  <c r="BE64" i="35"/>
  <c r="AW64" i="35"/>
  <c r="AO64" i="35"/>
  <c r="AG64" i="35"/>
  <c r="Y64" i="35"/>
  <c r="Q64" i="35"/>
  <c r="I64" i="35"/>
  <c r="BU63" i="35"/>
  <c r="BM63" i="35"/>
  <c r="BE63" i="35"/>
  <c r="AW63" i="35"/>
  <c r="AO63" i="35"/>
  <c r="AG63" i="35"/>
  <c r="Y63" i="35"/>
  <c r="Q63" i="35"/>
  <c r="I63" i="35"/>
  <c r="BU62" i="35"/>
  <c r="BM62" i="35"/>
  <c r="BE62" i="35"/>
  <c r="AW62" i="35"/>
  <c r="AO62" i="35"/>
  <c r="AG62" i="35"/>
  <c r="Y62" i="35"/>
  <c r="Q62" i="35"/>
  <c r="I62" i="35"/>
  <c r="BU61" i="35"/>
  <c r="BM61" i="35"/>
  <c r="BE61" i="35"/>
  <c r="AW61" i="35"/>
  <c r="AO61" i="35"/>
  <c r="AG61" i="35"/>
  <c r="Y61" i="35"/>
  <c r="Q61" i="35"/>
  <c r="I61" i="35"/>
  <c r="BU60" i="35"/>
  <c r="BM60" i="35"/>
  <c r="BE60" i="35"/>
  <c r="AW60" i="35"/>
  <c r="AO60" i="35"/>
  <c r="AG60" i="35"/>
  <c r="Y60" i="35"/>
  <c r="Q60" i="35"/>
  <c r="I60" i="35"/>
  <c r="BU59" i="35"/>
  <c r="BM59" i="35"/>
  <c r="BE59" i="35"/>
  <c r="AW59" i="35"/>
  <c r="AO59" i="35"/>
  <c r="AG59" i="35"/>
  <c r="Y59" i="35"/>
  <c r="Q59" i="35"/>
  <c r="I59" i="35"/>
  <c r="BU58" i="35"/>
  <c r="BM58" i="35"/>
  <c r="BE58" i="35"/>
  <c r="AW58" i="35"/>
  <c r="AO58" i="35"/>
  <c r="AG58" i="35"/>
  <c r="Y58" i="35"/>
  <c r="Q58" i="35"/>
  <c r="I58" i="35"/>
  <c r="BU57" i="35"/>
  <c r="BM57" i="35"/>
  <c r="BE57" i="35"/>
  <c r="BE75" i="35" s="1"/>
  <c r="AW57" i="35"/>
  <c r="AO57" i="35"/>
  <c r="AG57" i="35"/>
  <c r="Y57" i="35"/>
  <c r="Q57" i="35"/>
  <c r="I57" i="35"/>
  <c r="BU56" i="35"/>
  <c r="BM56" i="35"/>
  <c r="BE56" i="35"/>
  <c r="AW56" i="35"/>
  <c r="AO56" i="35"/>
  <c r="AG56" i="35"/>
  <c r="Y56" i="35"/>
  <c r="Q56" i="35"/>
  <c r="I56" i="35"/>
  <c r="BU55" i="35"/>
  <c r="BM55" i="35"/>
  <c r="BE55" i="35"/>
  <c r="AW55" i="35"/>
  <c r="AO55" i="35"/>
  <c r="AG55" i="35"/>
  <c r="Y55" i="35"/>
  <c r="Q55" i="35"/>
  <c r="I55" i="35"/>
  <c r="I75" i="35" s="1"/>
  <c r="I53" i="35"/>
  <c r="I52" i="35"/>
  <c r="I51" i="35"/>
  <c r="CC47" i="35"/>
  <c r="CB47" i="35"/>
  <c r="CA47" i="35"/>
  <c r="BZ47" i="35"/>
  <c r="BY47" i="35"/>
  <c r="BX47" i="35"/>
  <c r="BW47" i="35"/>
  <c r="BV47" i="35"/>
  <c r="BU47" i="35"/>
  <c r="BS47" i="35"/>
  <c r="BR47" i="35"/>
  <c r="BQ47" i="35"/>
  <c r="BP47" i="35"/>
  <c r="BO47" i="35"/>
  <c r="BN47" i="35"/>
  <c r="BM47" i="35"/>
  <c r="BK47" i="35"/>
  <c r="BJ47" i="35"/>
  <c r="BI47" i="35"/>
  <c r="BH47" i="35"/>
  <c r="BG47" i="35"/>
  <c r="BF47" i="35"/>
  <c r="BE47" i="35"/>
  <c r="BC47" i="35"/>
  <c r="BB47" i="35"/>
  <c r="BA47" i="35"/>
  <c r="AZ47" i="35"/>
  <c r="AY47" i="35"/>
  <c r="AX47" i="35"/>
  <c r="AW47" i="35"/>
  <c r="AU47" i="35"/>
  <c r="AT47" i="35"/>
  <c r="AS47" i="35"/>
  <c r="AR47" i="35"/>
  <c r="AQ47" i="35"/>
  <c r="AP47" i="35"/>
  <c r="AO47" i="35"/>
  <c r="AM47" i="35"/>
  <c r="AL47" i="35"/>
  <c r="AK47" i="35"/>
  <c r="AJ47" i="35"/>
  <c r="AI47" i="35"/>
  <c r="AH47" i="35"/>
  <c r="AG47" i="35"/>
  <c r="AE47" i="35"/>
  <c r="AD47" i="35"/>
  <c r="AC47" i="35"/>
  <c r="AB47" i="35"/>
  <c r="AA47" i="35"/>
  <c r="Z47" i="35"/>
  <c r="Y47" i="35"/>
  <c r="W47" i="35"/>
  <c r="V47" i="35"/>
  <c r="U47" i="35"/>
  <c r="T47" i="35"/>
  <c r="S47" i="35"/>
  <c r="R47" i="35"/>
  <c r="Q47" i="35"/>
  <c r="O47" i="35"/>
  <c r="N47" i="35"/>
  <c r="M47" i="35"/>
  <c r="L47" i="35"/>
  <c r="K47" i="35"/>
  <c r="J47" i="35"/>
  <c r="I47" i="35"/>
  <c r="F47" i="35"/>
  <c r="E47" i="35"/>
  <c r="D47" i="35"/>
  <c r="CC46" i="35"/>
  <c r="CB46" i="35"/>
  <c r="CA46" i="35"/>
  <c r="BZ46" i="35"/>
  <c r="BY46" i="35"/>
  <c r="BX46" i="35"/>
  <c r="BW46" i="35"/>
  <c r="BV46" i="35"/>
  <c r="BU46" i="35"/>
  <c r="BS46" i="35"/>
  <c r="BR46" i="35"/>
  <c r="BQ46" i="35"/>
  <c r="BP46" i="35"/>
  <c r="BO46" i="35"/>
  <c r="BN46" i="35"/>
  <c r="BM46" i="35"/>
  <c r="BK46" i="35"/>
  <c r="BJ46" i="35"/>
  <c r="BI46" i="35"/>
  <c r="BH46" i="35"/>
  <c r="BG46" i="35"/>
  <c r="BF46" i="35"/>
  <c r="BE46" i="35"/>
  <c r="BC46" i="35"/>
  <c r="BB46" i="35"/>
  <c r="BA46" i="35"/>
  <c r="AZ46" i="35"/>
  <c r="AY46" i="35"/>
  <c r="AX46" i="35"/>
  <c r="AW46" i="35"/>
  <c r="AU46" i="35"/>
  <c r="AT46" i="35"/>
  <c r="AS46" i="35"/>
  <c r="AR46" i="35"/>
  <c r="AQ46" i="35"/>
  <c r="AP46" i="35"/>
  <c r="AO46" i="35"/>
  <c r="AM46" i="35"/>
  <c r="AL46" i="35"/>
  <c r="AK46" i="35"/>
  <c r="AJ46" i="35"/>
  <c r="AI46" i="35"/>
  <c r="AH46" i="35"/>
  <c r="AG46" i="35"/>
  <c r="AE46" i="35"/>
  <c r="AD46" i="35"/>
  <c r="AC46" i="35"/>
  <c r="AB46" i="35"/>
  <c r="AA46" i="35"/>
  <c r="Z46" i="35"/>
  <c r="Y46" i="35"/>
  <c r="W46" i="35"/>
  <c r="V46" i="35"/>
  <c r="U46" i="35"/>
  <c r="T46" i="35"/>
  <c r="S46" i="35"/>
  <c r="R46" i="35"/>
  <c r="Q46" i="35"/>
  <c r="O46" i="35"/>
  <c r="N46" i="35"/>
  <c r="M46" i="35"/>
  <c r="L46" i="35"/>
  <c r="K46" i="35"/>
  <c r="J46" i="35"/>
  <c r="I46" i="35"/>
  <c r="F46" i="35"/>
  <c r="E46" i="35"/>
  <c r="D46" i="35"/>
  <c r="CC45" i="35"/>
  <c r="CB45" i="35"/>
  <c r="CA45" i="35"/>
  <c r="BZ45" i="35"/>
  <c r="BY45" i="35"/>
  <c r="BX45" i="35"/>
  <c r="BW45" i="35"/>
  <c r="BV45" i="35"/>
  <c r="BU45" i="35"/>
  <c r="BS45" i="35"/>
  <c r="BR45" i="35"/>
  <c r="BQ45" i="35"/>
  <c r="BP45" i="35"/>
  <c r="BO45" i="35"/>
  <c r="BN45" i="35"/>
  <c r="BM45" i="35"/>
  <c r="BK45" i="35"/>
  <c r="BJ45" i="35"/>
  <c r="BI45" i="35"/>
  <c r="BH45" i="35"/>
  <c r="BG45" i="35"/>
  <c r="BF45" i="35"/>
  <c r="BE45" i="35"/>
  <c r="BC45" i="35"/>
  <c r="BB45" i="35"/>
  <c r="BA45" i="35"/>
  <c r="AZ45" i="35"/>
  <c r="AY45" i="35"/>
  <c r="AX45" i="35"/>
  <c r="AW45" i="35"/>
  <c r="AU45" i="35"/>
  <c r="AT45" i="35"/>
  <c r="AS45" i="35"/>
  <c r="AR45" i="35"/>
  <c r="AQ45" i="35"/>
  <c r="AP45" i="35"/>
  <c r="AO45" i="35"/>
  <c r="AM45" i="35"/>
  <c r="AL45" i="35"/>
  <c r="AK45" i="35"/>
  <c r="AJ45" i="35"/>
  <c r="AI45" i="35"/>
  <c r="AH45" i="35"/>
  <c r="AG45" i="35"/>
  <c r="AE45" i="35"/>
  <c r="AD45" i="35"/>
  <c r="AC45" i="35"/>
  <c r="AB45" i="35"/>
  <c r="AA45" i="35"/>
  <c r="Z45" i="35"/>
  <c r="Y45" i="35"/>
  <c r="W45" i="35"/>
  <c r="V45" i="35"/>
  <c r="U45" i="35"/>
  <c r="T45" i="35"/>
  <c r="S45" i="35"/>
  <c r="R45" i="35"/>
  <c r="Q45" i="35"/>
  <c r="O45" i="35"/>
  <c r="N45" i="35"/>
  <c r="M45" i="35"/>
  <c r="L45" i="35"/>
  <c r="K45" i="35"/>
  <c r="J45" i="35"/>
  <c r="I45" i="35"/>
  <c r="F45" i="35"/>
  <c r="E45" i="35"/>
  <c r="D45" i="35"/>
  <c r="CC44" i="35"/>
  <c r="CB44" i="35"/>
  <c r="CA44" i="35"/>
  <c r="BZ44" i="35"/>
  <c r="BY44" i="35"/>
  <c r="BX44" i="35"/>
  <c r="BW44" i="35"/>
  <c r="BV44" i="35"/>
  <c r="BU44" i="35"/>
  <c r="BS44" i="35"/>
  <c r="BR44" i="35"/>
  <c r="BQ44" i="35"/>
  <c r="BP44" i="35"/>
  <c r="BO44" i="35"/>
  <c r="BN44" i="35"/>
  <c r="BM44" i="35"/>
  <c r="BK44" i="35"/>
  <c r="BJ44" i="35"/>
  <c r="BI44" i="35"/>
  <c r="BH44" i="35"/>
  <c r="BG44" i="35"/>
  <c r="BF44" i="35"/>
  <c r="BE44" i="35"/>
  <c r="BC44" i="35"/>
  <c r="BB44" i="35"/>
  <c r="BA44" i="35"/>
  <c r="AZ44" i="35"/>
  <c r="AY44" i="35"/>
  <c r="AX44" i="35"/>
  <c r="AW44" i="35"/>
  <c r="AU44" i="35"/>
  <c r="AT44" i="35"/>
  <c r="AS44" i="35"/>
  <c r="AR44" i="35"/>
  <c r="AQ44" i="35"/>
  <c r="AP44" i="35"/>
  <c r="AO44" i="35"/>
  <c r="AM44" i="35"/>
  <c r="AL44" i="35"/>
  <c r="AK44" i="35"/>
  <c r="AJ44" i="35"/>
  <c r="AI44" i="35"/>
  <c r="AH44" i="35"/>
  <c r="AG44" i="35"/>
  <c r="AE44" i="35"/>
  <c r="AD44" i="35"/>
  <c r="AC44" i="35"/>
  <c r="AB44" i="35"/>
  <c r="AA44" i="35"/>
  <c r="Z44" i="35"/>
  <c r="Y44" i="35"/>
  <c r="W44" i="35"/>
  <c r="V44" i="35"/>
  <c r="U44" i="35"/>
  <c r="T44" i="35"/>
  <c r="S44" i="35"/>
  <c r="R44" i="35"/>
  <c r="Q44" i="35"/>
  <c r="O44" i="35"/>
  <c r="N44" i="35"/>
  <c r="M44" i="35"/>
  <c r="L44" i="35"/>
  <c r="K44" i="35"/>
  <c r="J44" i="35"/>
  <c r="I44" i="35"/>
  <c r="F44" i="35"/>
  <c r="E44" i="35"/>
  <c r="D44" i="35"/>
  <c r="CC43" i="35"/>
  <c r="CB43" i="35"/>
  <c r="CA43" i="35"/>
  <c r="BZ43" i="35"/>
  <c r="BY43" i="35"/>
  <c r="BX43" i="35"/>
  <c r="BW43" i="35"/>
  <c r="BV43" i="35"/>
  <c r="BU43" i="35"/>
  <c r="BS43" i="35"/>
  <c r="BR43" i="35"/>
  <c r="BQ43" i="35"/>
  <c r="BP43" i="35"/>
  <c r="BO43" i="35"/>
  <c r="BN43" i="35"/>
  <c r="BM43" i="35"/>
  <c r="BK43" i="35"/>
  <c r="BJ43" i="35"/>
  <c r="BI43" i="35"/>
  <c r="BH43" i="35"/>
  <c r="BG43" i="35"/>
  <c r="BF43" i="35"/>
  <c r="BE43" i="35"/>
  <c r="BC43" i="35"/>
  <c r="BB43" i="35"/>
  <c r="BA43" i="35"/>
  <c r="AZ43" i="35"/>
  <c r="AY43" i="35"/>
  <c r="AX43" i="35"/>
  <c r="AW43" i="35"/>
  <c r="AU43" i="35"/>
  <c r="AT43" i="35"/>
  <c r="AS43" i="35"/>
  <c r="AR43" i="35"/>
  <c r="AQ43" i="35"/>
  <c r="AP43" i="35"/>
  <c r="AO43" i="35"/>
  <c r="AM43" i="35"/>
  <c r="AL43" i="35"/>
  <c r="AK43" i="35"/>
  <c r="AJ43" i="35"/>
  <c r="AI43" i="35"/>
  <c r="AH43" i="35"/>
  <c r="AG43" i="35"/>
  <c r="AE43" i="35"/>
  <c r="AD43" i="35"/>
  <c r="AC43" i="35"/>
  <c r="AB43" i="35"/>
  <c r="AA43" i="35"/>
  <c r="Z43" i="35"/>
  <c r="Y43" i="35"/>
  <c r="W43" i="35"/>
  <c r="V43" i="35"/>
  <c r="U43" i="35"/>
  <c r="T43" i="35"/>
  <c r="S43" i="35"/>
  <c r="R43" i="35"/>
  <c r="Q43" i="35"/>
  <c r="O43" i="35"/>
  <c r="N43" i="35"/>
  <c r="M43" i="35"/>
  <c r="L43" i="35"/>
  <c r="K43" i="35"/>
  <c r="J43" i="35"/>
  <c r="I43" i="35"/>
  <c r="G43" i="35"/>
  <c r="F43" i="35"/>
  <c r="E43" i="35"/>
  <c r="D43" i="35"/>
  <c r="CC42" i="35"/>
  <c r="CB42" i="35"/>
  <c r="CA42" i="35"/>
  <c r="BZ42" i="35"/>
  <c r="BY42" i="35"/>
  <c r="BX42" i="35"/>
  <c r="BW42" i="35"/>
  <c r="BV42" i="35"/>
  <c r="BU42" i="35"/>
  <c r="BT42" i="35"/>
  <c r="BS42" i="35"/>
  <c r="BR42" i="35"/>
  <c r="BQ42" i="35"/>
  <c r="BP42" i="35"/>
  <c r="BO42" i="35"/>
  <c r="BN42" i="35"/>
  <c r="BM42" i="35"/>
  <c r="BL42" i="35"/>
  <c r="BK42" i="35"/>
  <c r="BJ42" i="35"/>
  <c r="BI42" i="35"/>
  <c r="BH42" i="35"/>
  <c r="BG42" i="35"/>
  <c r="BF42" i="35"/>
  <c r="BE42" i="35"/>
  <c r="BD42" i="35"/>
  <c r="BC42" i="35"/>
  <c r="BB42" i="35"/>
  <c r="BA42" i="35"/>
  <c r="AZ42" i="35"/>
  <c r="AY42" i="35"/>
  <c r="AX42" i="35"/>
  <c r="AW42" i="35"/>
  <c r="AV42" i="35"/>
  <c r="AU42" i="35"/>
  <c r="AT42" i="35"/>
  <c r="AS42" i="35"/>
  <c r="AR42" i="35"/>
  <c r="AQ42" i="35"/>
  <c r="AP42" i="35"/>
  <c r="AO42" i="35"/>
  <c r="AN42" i="35"/>
  <c r="AM42" i="35"/>
  <c r="AL42" i="35"/>
  <c r="AK42" i="35"/>
  <c r="AJ42" i="35"/>
  <c r="AI42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CC41" i="35"/>
  <c r="CC76" i="35" s="1"/>
  <c r="CB41" i="35"/>
  <c r="CB76" i="35" s="1"/>
  <c r="CA41" i="35"/>
  <c r="CA76" i="35" s="1"/>
  <c r="BZ41" i="35"/>
  <c r="BZ76" i="35" s="1"/>
  <c r="BY41" i="35"/>
  <c r="BY76" i="35" s="1"/>
  <c r="BX41" i="35"/>
  <c r="BX76" i="35" s="1"/>
  <c r="BW41" i="35"/>
  <c r="BW76" i="35" s="1"/>
  <c r="BS41" i="35"/>
  <c r="BS76" i="35" s="1"/>
  <c r="BR41" i="35"/>
  <c r="BR76" i="35" s="1"/>
  <c r="BQ41" i="35"/>
  <c r="BQ76" i="35" s="1"/>
  <c r="BP41" i="35"/>
  <c r="BP76" i="35" s="1"/>
  <c r="BO41" i="35"/>
  <c r="BO76" i="35" s="1"/>
  <c r="BK41" i="35"/>
  <c r="BK76" i="35" s="1"/>
  <c r="BJ41" i="35"/>
  <c r="BJ76" i="35" s="1"/>
  <c r="BI41" i="35"/>
  <c r="BI76" i="35" s="1"/>
  <c r="BH41" i="35"/>
  <c r="BH76" i="35" s="1"/>
  <c r="BG41" i="35"/>
  <c r="BG76" i="35" s="1"/>
  <c r="BC41" i="35"/>
  <c r="BC76" i="35" s="1"/>
  <c r="BB41" i="35"/>
  <c r="BB76" i="35" s="1"/>
  <c r="BA41" i="35"/>
  <c r="BA76" i="35" s="1"/>
  <c r="AZ41" i="35"/>
  <c r="AZ76" i="35" s="1"/>
  <c r="AY41" i="35"/>
  <c r="AY76" i="35" s="1"/>
  <c r="AU41" i="35"/>
  <c r="AU76" i="35" s="1"/>
  <c r="AT41" i="35"/>
  <c r="AT76" i="35" s="1"/>
  <c r="AS41" i="35"/>
  <c r="AS76" i="35" s="1"/>
  <c r="AR41" i="35"/>
  <c r="AR76" i="35" s="1"/>
  <c r="AQ41" i="35"/>
  <c r="AQ76" i="35" s="1"/>
  <c r="AM41" i="35"/>
  <c r="AM76" i="35" s="1"/>
  <c r="AL41" i="35"/>
  <c r="AL76" i="35" s="1"/>
  <c r="AK41" i="35"/>
  <c r="AK76" i="35" s="1"/>
  <c r="AJ41" i="35"/>
  <c r="AJ76" i="35" s="1"/>
  <c r="AI41" i="35"/>
  <c r="AI76" i="35" s="1"/>
  <c r="AE41" i="35"/>
  <c r="AE76" i="35" s="1"/>
  <c r="AD41" i="35"/>
  <c r="AD76" i="35" s="1"/>
  <c r="AC41" i="35"/>
  <c r="AC76" i="35" s="1"/>
  <c r="AB41" i="35"/>
  <c r="AB76" i="35" s="1"/>
  <c r="AA41" i="35"/>
  <c r="AA76" i="35" s="1"/>
  <c r="W41" i="35"/>
  <c r="W76" i="35" s="1"/>
  <c r="V41" i="35"/>
  <c r="V76" i="35" s="1"/>
  <c r="U41" i="35"/>
  <c r="U76" i="35" s="1"/>
  <c r="T41" i="35"/>
  <c r="T76" i="35" s="1"/>
  <c r="S41" i="35"/>
  <c r="S76" i="35" s="1"/>
  <c r="O41" i="35"/>
  <c r="O76" i="35" s="1"/>
  <c r="N41" i="35"/>
  <c r="N76" i="35" s="1"/>
  <c r="M41" i="35"/>
  <c r="M76" i="35" s="1"/>
  <c r="L41" i="35"/>
  <c r="L76" i="35" s="1"/>
  <c r="K41" i="35"/>
  <c r="K76" i="35" s="1"/>
  <c r="G41" i="35"/>
  <c r="G76" i="35" s="1"/>
  <c r="F41" i="35"/>
  <c r="F76" i="35" s="1"/>
  <c r="E41" i="35"/>
  <c r="E76" i="35" s="1"/>
  <c r="D41" i="35"/>
  <c r="D76" i="35" s="1"/>
  <c r="CB40" i="35"/>
  <c r="D40" i="35"/>
  <c r="CC39" i="35"/>
  <c r="CB39" i="35"/>
  <c r="CA39" i="35"/>
  <c r="BZ39" i="35"/>
  <c r="BY39" i="35"/>
  <c r="BX39" i="35"/>
  <c r="BW39" i="35"/>
  <c r="BV39" i="35"/>
  <c r="BU39" i="35"/>
  <c r="BT39" i="35"/>
  <c r="BS39" i="35"/>
  <c r="BR39" i="35"/>
  <c r="BQ39" i="35"/>
  <c r="BP39" i="35"/>
  <c r="BO39" i="35"/>
  <c r="BN39" i="35"/>
  <c r="BM39" i="35"/>
  <c r="BL39" i="35"/>
  <c r="BK39" i="35"/>
  <c r="BJ39" i="35"/>
  <c r="BI39" i="35"/>
  <c r="BH39" i="35"/>
  <c r="BG39" i="35"/>
  <c r="BF39" i="35"/>
  <c r="BE39" i="35"/>
  <c r="BD39" i="35"/>
  <c r="BC39" i="35"/>
  <c r="BB39" i="35"/>
  <c r="BA39" i="35"/>
  <c r="AZ39" i="35"/>
  <c r="AY39" i="35"/>
  <c r="AX39" i="35"/>
  <c r="AW39" i="35"/>
  <c r="AV39" i="35"/>
  <c r="AU39" i="35"/>
  <c r="AT39" i="35"/>
  <c r="AS39" i="35"/>
  <c r="AR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E39" i="35"/>
  <c r="D39" i="35"/>
  <c r="CC38" i="35"/>
  <c r="CC73" i="35" s="1"/>
  <c r="CB38" i="35"/>
  <c r="CB73" i="35" s="1"/>
  <c r="BZ38" i="35"/>
  <c r="BZ73" i="35" s="1"/>
  <c r="BX38" i="35"/>
  <c r="BX73" i="35" s="1"/>
  <c r="BW38" i="35"/>
  <c r="BW73" i="35" s="1"/>
  <c r="BV38" i="35"/>
  <c r="BV73" i="35" s="1"/>
  <c r="BU38" i="35"/>
  <c r="BU73" i="35" s="1"/>
  <c r="BT38" i="35"/>
  <c r="BT73" i="35" s="1"/>
  <c r="BR38" i="35"/>
  <c r="BR73" i="35" s="1"/>
  <c r="BP38" i="35"/>
  <c r="BP73" i="35" s="1"/>
  <c r="BO38" i="35"/>
  <c r="BO73" i="35" s="1"/>
  <c r="BN38" i="35"/>
  <c r="BN73" i="35" s="1"/>
  <c r="BM38" i="35"/>
  <c r="BM73" i="35" s="1"/>
  <c r="BL38" i="35"/>
  <c r="BL73" i="35" s="1"/>
  <c r="BJ38" i="35"/>
  <c r="BJ73" i="35" s="1"/>
  <c r="BH38" i="35"/>
  <c r="BH73" i="35" s="1"/>
  <c r="BG38" i="35"/>
  <c r="BG73" i="35" s="1"/>
  <c r="BF38" i="35"/>
  <c r="BF73" i="35" s="1"/>
  <c r="BE38" i="35"/>
  <c r="BE73" i="35" s="1"/>
  <c r="BD38" i="35"/>
  <c r="BD73" i="35" s="1"/>
  <c r="BB38" i="35"/>
  <c r="BB73" i="35" s="1"/>
  <c r="AZ38" i="35"/>
  <c r="AZ73" i="35" s="1"/>
  <c r="AY38" i="35"/>
  <c r="AY73" i="35" s="1"/>
  <c r="AX38" i="35"/>
  <c r="AX73" i="35" s="1"/>
  <c r="AW38" i="35"/>
  <c r="AW73" i="35" s="1"/>
  <c r="AV38" i="35"/>
  <c r="AV73" i="35" s="1"/>
  <c r="AT38" i="35"/>
  <c r="AT73" i="35" s="1"/>
  <c r="AR38" i="35"/>
  <c r="AR73" i="35" s="1"/>
  <c r="AQ38" i="35"/>
  <c r="AQ73" i="35" s="1"/>
  <c r="AP38" i="35"/>
  <c r="AP73" i="35" s="1"/>
  <c r="AO38" i="35"/>
  <c r="AO73" i="35" s="1"/>
  <c r="AN38" i="35"/>
  <c r="AN73" i="35" s="1"/>
  <c r="AL38" i="35"/>
  <c r="AL73" i="35" s="1"/>
  <c r="AJ38" i="35"/>
  <c r="AJ73" i="35" s="1"/>
  <c r="AI38" i="35"/>
  <c r="AI73" i="35" s="1"/>
  <c r="AH38" i="35"/>
  <c r="AH73" i="35" s="1"/>
  <c r="AG38" i="35"/>
  <c r="AG73" i="35" s="1"/>
  <c r="AF38" i="35"/>
  <c r="AF73" i="35" s="1"/>
  <c r="AD38" i="35"/>
  <c r="AD73" i="35" s="1"/>
  <c r="AB38" i="35"/>
  <c r="AB73" i="35" s="1"/>
  <c r="AA38" i="35"/>
  <c r="AA73" i="35" s="1"/>
  <c r="Z38" i="35"/>
  <c r="Z73" i="35" s="1"/>
  <c r="Y38" i="35"/>
  <c r="Y73" i="35" s="1"/>
  <c r="X38" i="35"/>
  <c r="X73" i="35" s="1"/>
  <c r="V38" i="35"/>
  <c r="V73" i="35" s="1"/>
  <c r="T38" i="35"/>
  <c r="T73" i="35" s="1"/>
  <c r="S38" i="35"/>
  <c r="S73" i="35" s="1"/>
  <c r="R38" i="35"/>
  <c r="R73" i="35" s="1"/>
  <c r="Q38" i="35"/>
  <c r="Q73" i="35" s="1"/>
  <c r="P38" i="35"/>
  <c r="P73" i="35" s="1"/>
  <c r="N38" i="35"/>
  <c r="N73" i="35" s="1"/>
  <c r="L38" i="35"/>
  <c r="L73" i="35" s="1"/>
  <c r="K38" i="35"/>
  <c r="K73" i="35" s="1"/>
  <c r="J38" i="35"/>
  <c r="J73" i="35" s="1"/>
  <c r="I38" i="35"/>
  <c r="I73" i="35" s="1"/>
  <c r="H38" i="35"/>
  <c r="H73" i="35" s="1"/>
  <c r="G38" i="35"/>
  <c r="G73" i="35" s="1"/>
  <c r="F38" i="35"/>
  <c r="F73" i="35" s="1"/>
  <c r="E38" i="35"/>
  <c r="E73" i="35" s="1"/>
  <c r="D38" i="35"/>
  <c r="D73" i="35" s="1"/>
  <c r="CC37" i="35"/>
  <c r="CC72" i="35" s="1"/>
  <c r="CB37" i="35"/>
  <c r="CB72" i="35" s="1"/>
  <c r="BZ37" i="35"/>
  <c r="BZ72" i="35" s="1"/>
  <c r="BX37" i="35"/>
  <c r="BX72" i="35" s="1"/>
  <c r="BW37" i="35"/>
  <c r="BW72" i="35" s="1"/>
  <c r="BV37" i="35"/>
  <c r="BV72" i="35" s="1"/>
  <c r="BU37" i="35"/>
  <c r="BU72" i="35" s="1"/>
  <c r="BT37" i="35"/>
  <c r="BT72" i="35" s="1"/>
  <c r="BR37" i="35"/>
  <c r="BR72" i="35" s="1"/>
  <c r="BP37" i="35"/>
  <c r="BP72" i="35" s="1"/>
  <c r="BO37" i="35"/>
  <c r="BO72" i="35" s="1"/>
  <c r="BN37" i="35"/>
  <c r="BN72" i="35" s="1"/>
  <c r="BM37" i="35"/>
  <c r="BM72" i="35" s="1"/>
  <c r="BL37" i="35"/>
  <c r="BL72" i="35" s="1"/>
  <c r="BJ37" i="35"/>
  <c r="BJ72" i="35" s="1"/>
  <c r="BH37" i="35"/>
  <c r="BH72" i="35" s="1"/>
  <c r="BG37" i="35"/>
  <c r="BG72" i="35" s="1"/>
  <c r="BF37" i="35"/>
  <c r="BF72" i="35" s="1"/>
  <c r="BE37" i="35"/>
  <c r="BE72" i="35" s="1"/>
  <c r="BD37" i="35"/>
  <c r="BD72" i="35" s="1"/>
  <c r="BB37" i="35"/>
  <c r="BB72" i="35" s="1"/>
  <c r="AZ37" i="35"/>
  <c r="AZ72" i="35" s="1"/>
  <c r="AY37" i="35"/>
  <c r="AY72" i="35" s="1"/>
  <c r="AX37" i="35"/>
  <c r="AX72" i="35" s="1"/>
  <c r="AW37" i="35"/>
  <c r="AW72" i="35" s="1"/>
  <c r="AV37" i="35"/>
  <c r="AV72" i="35" s="1"/>
  <c r="AT37" i="35"/>
  <c r="AT72" i="35" s="1"/>
  <c r="AR37" i="35"/>
  <c r="AR72" i="35" s="1"/>
  <c r="AQ37" i="35"/>
  <c r="AQ72" i="35" s="1"/>
  <c r="AP37" i="35"/>
  <c r="AP72" i="35" s="1"/>
  <c r="AO37" i="35"/>
  <c r="AO72" i="35" s="1"/>
  <c r="AN37" i="35"/>
  <c r="AN72" i="35" s="1"/>
  <c r="AL37" i="35"/>
  <c r="AL72" i="35" s="1"/>
  <c r="AJ37" i="35"/>
  <c r="AJ72" i="35" s="1"/>
  <c r="AI37" i="35"/>
  <c r="AI72" i="35" s="1"/>
  <c r="AH37" i="35"/>
  <c r="AH72" i="35" s="1"/>
  <c r="AG37" i="35"/>
  <c r="AG72" i="35" s="1"/>
  <c r="AF37" i="35"/>
  <c r="AF72" i="35" s="1"/>
  <c r="AD37" i="35"/>
  <c r="AD72" i="35" s="1"/>
  <c r="AB37" i="35"/>
  <c r="AB72" i="35" s="1"/>
  <c r="AA37" i="35"/>
  <c r="AA72" i="35" s="1"/>
  <c r="Z37" i="35"/>
  <c r="Z72" i="35" s="1"/>
  <c r="Y37" i="35"/>
  <c r="Y72" i="35" s="1"/>
  <c r="X37" i="35"/>
  <c r="X72" i="35" s="1"/>
  <c r="V37" i="35"/>
  <c r="V72" i="35" s="1"/>
  <c r="T37" i="35"/>
  <c r="T72" i="35" s="1"/>
  <c r="S37" i="35"/>
  <c r="S72" i="35" s="1"/>
  <c r="R37" i="35"/>
  <c r="R72" i="35" s="1"/>
  <c r="Q37" i="35"/>
  <c r="Q72" i="35" s="1"/>
  <c r="P37" i="35"/>
  <c r="P72" i="35" s="1"/>
  <c r="N37" i="35"/>
  <c r="N72" i="35" s="1"/>
  <c r="L37" i="35"/>
  <c r="L72" i="35" s="1"/>
  <c r="K37" i="35"/>
  <c r="K72" i="35" s="1"/>
  <c r="J37" i="35"/>
  <c r="J72" i="35" s="1"/>
  <c r="I37" i="35"/>
  <c r="I72" i="35" s="1"/>
  <c r="H37" i="35"/>
  <c r="H72" i="35" s="1"/>
  <c r="G37" i="35"/>
  <c r="G72" i="35" s="1"/>
  <c r="F37" i="35"/>
  <c r="F72" i="35" s="1"/>
  <c r="E37" i="35"/>
  <c r="E72" i="35" s="1"/>
  <c r="D37" i="35"/>
  <c r="D72" i="35" s="1"/>
  <c r="CC36" i="35"/>
  <c r="CC71" i="35" s="1"/>
  <c r="CB36" i="35"/>
  <c r="CB71" i="35" s="1"/>
  <c r="BZ36" i="35"/>
  <c r="BZ71" i="35" s="1"/>
  <c r="BX36" i="35"/>
  <c r="BX71" i="35" s="1"/>
  <c r="BW36" i="35"/>
  <c r="BW71" i="35" s="1"/>
  <c r="BV36" i="35"/>
  <c r="BV71" i="35" s="1"/>
  <c r="BU36" i="35"/>
  <c r="BU71" i="35" s="1"/>
  <c r="BT36" i="35"/>
  <c r="BT71" i="35" s="1"/>
  <c r="BR36" i="35"/>
  <c r="BR71" i="35" s="1"/>
  <c r="BP36" i="35"/>
  <c r="BP71" i="35" s="1"/>
  <c r="BO36" i="35"/>
  <c r="BO71" i="35" s="1"/>
  <c r="BN36" i="35"/>
  <c r="BN71" i="35" s="1"/>
  <c r="BM36" i="35"/>
  <c r="BM71" i="35" s="1"/>
  <c r="BL36" i="35"/>
  <c r="BL71" i="35" s="1"/>
  <c r="BJ36" i="35"/>
  <c r="BJ71" i="35" s="1"/>
  <c r="BH36" i="35"/>
  <c r="BH71" i="35" s="1"/>
  <c r="BG36" i="35"/>
  <c r="BG71" i="35" s="1"/>
  <c r="BF36" i="35"/>
  <c r="BF71" i="35" s="1"/>
  <c r="BE36" i="35"/>
  <c r="BE71" i="35" s="1"/>
  <c r="BD36" i="35"/>
  <c r="BD71" i="35" s="1"/>
  <c r="BB36" i="35"/>
  <c r="BB71" i="35" s="1"/>
  <c r="AZ36" i="35"/>
  <c r="AZ71" i="35" s="1"/>
  <c r="AY36" i="35"/>
  <c r="AY71" i="35" s="1"/>
  <c r="AX36" i="35"/>
  <c r="AX71" i="35" s="1"/>
  <c r="AW36" i="35"/>
  <c r="AW71" i="35" s="1"/>
  <c r="AV36" i="35"/>
  <c r="AV71" i="35" s="1"/>
  <c r="AT36" i="35"/>
  <c r="AT71" i="35" s="1"/>
  <c r="AR36" i="35"/>
  <c r="AR71" i="35" s="1"/>
  <c r="AQ36" i="35"/>
  <c r="AQ71" i="35" s="1"/>
  <c r="AP36" i="35"/>
  <c r="AP71" i="35" s="1"/>
  <c r="AO36" i="35"/>
  <c r="AO71" i="35" s="1"/>
  <c r="AN36" i="35"/>
  <c r="AN71" i="35" s="1"/>
  <c r="AL36" i="35"/>
  <c r="AL71" i="35" s="1"/>
  <c r="AJ36" i="35"/>
  <c r="AJ71" i="35" s="1"/>
  <c r="AI36" i="35"/>
  <c r="AI71" i="35" s="1"/>
  <c r="AH36" i="35"/>
  <c r="AH71" i="35" s="1"/>
  <c r="AG36" i="35"/>
  <c r="AG71" i="35" s="1"/>
  <c r="AF36" i="35"/>
  <c r="AF71" i="35" s="1"/>
  <c r="AD36" i="35"/>
  <c r="AD71" i="35" s="1"/>
  <c r="AB36" i="35"/>
  <c r="AB71" i="35" s="1"/>
  <c r="AA36" i="35"/>
  <c r="AA71" i="35" s="1"/>
  <c r="Z36" i="35"/>
  <c r="Z71" i="35" s="1"/>
  <c r="Y36" i="35"/>
  <c r="Y71" i="35" s="1"/>
  <c r="X36" i="35"/>
  <c r="X71" i="35" s="1"/>
  <c r="V36" i="35"/>
  <c r="V71" i="35" s="1"/>
  <c r="T36" i="35"/>
  <c r="T71" i="35" s="1"/>
  <c r="S36" i="35"/>
  <c r="S71" i="35" s="1"/>
  <c r="R36" i="35"/>
  <c r="R71" i="35" s="1"/>
  <c r="Q36" i="35"/>
  <c r="Q71" i="35" s="1"/>
  <c r="P36" i="35"/>
  <c r="P71" i="35" s="1"/>
  <c r="N36" i="35"/>
  <c r="N71" i="35" s="1"/>
  <c r="L36" i="35"/>
  <c r="L71" i="35" s="1"/>
  <c r="K36" i="35"/>
  <c r="K71" i="35" s="1"/>
  <c r="J36" i="35"/>
  <c r="J71" i="35" s="1"/>
  <c r="I36" i="35"/>
  <c r="I71" i="35" s="1"/>
  <c r="H36" i="35"/>
  <c r="H71" i="35" s="1"/>
  <c r="G36" i="35"/>
  <c r="G71" i="35" s="1"/>
  <c r="F36" i="35"/>
  <c r="F71" i="35" s="1"/>
  <c r="E36" i="35"/>
  <c r="E71" i="35" s="1"/>
  <c r="D36" i="35"/>
  <c r="D71" i="35" s="1"/>
  <c r="CC35" i="35"/>
  <c r="CB35" i="35"/>
  <c r="CA35" i="35"/>
  <c r="BZ35" i="35"/>
  <c r="BY35" i="35"/>
  <c r="BX35" i="35"/>
  <c r="BW35" i="35"/>
  <c r="BV35" i="35"/>
  <c r="BU35" i="35"/>
  <c r="BT35" i="35"/>
  <c r="BS35" i="35"/>
  <c r="BR35" i="35"/>
  <c r="BQ35" i="35"/>
  <c r="BP35" i="35"/>
  <c r="BO35" i="35"/>
  <c r="BN35" i="35"/>
  <c r="BM35" i="35"/>
  <c r="BL35" i="35"/>
  <c r="BK35" i="35"/>
  <c r="BJ35" i="35"/>
  <c r="BI35" i="35"/>
  <c r="BH35" i="35"/>
  <c r="BG35" i="35"/>
  <c r="BF35" i="35"/>
  <c r="BE35" i="35"/>
  <c r="BD35" i="35"/>
  <c r="BC35" i="35"/>
  <c r="BB35" i="35"/>
  <c r="BA35" i="35"/>
  <c r="AZ35" i="35"/>
  <c r="AY35" i="35"/>
  <c r="AX35" i="35"/>
  <c r="AW35" i="35"/>
  <c r="AV35" i="35"/>
  <c r="AU35" i="35"/>
  <c r="AT35" i="35"/>
  <c r="AS35" i="35"/>
  <c r="AR35" i="35"/>
  <c r="AQ35" i="35"/>
  <c r="AP35" i="35"/>
  <c r="AO35" i="35"/>
  <c r="AN35" i="35"/>
  <c r="AM35" i="35"/>
  <c r="AL35" i="35"/>
  <c r="AK35" i="35"/>
  <c r="AJ35" i="35"/>
  <c r="AI35" i="35"/>
  <c r="AH35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CB34" i="35"/>
  <c r="CB69" i="35" s="1"/>
  <c r="BT34" i="35"/>
  <c r="BT69" i="35" s="1"/>
  <c r="BL34" i="35"/>
  <c r="BD34" i="35"/>
  <c r="BD69" i="35" s="1"/>
  <c r="AV34" i="35"/>
  <c r="AV69" i="35" s="1"/>
  <c r="AN34" i="35"/>
  <c r="AN69" i="35" s="1"/>
  <c r="AF34" i="35"/>
  <c r="AF69" i="35" s="1"/>
  <c r="X34" i="35"/>
  <c r="P34" i="35"/>
  <c r="P69" i="35" s="1"/>
  <c r="H34" i="35"/>
  <c r="H69" i="35" s="1"/>
  <c r="G34" i="35"/>
  <c r="G69" i="35" s="1"/>
  <c r="F34" i="35"/>
  <c r="F69" i="35" s="1"/>
  <c r="E34" i="35"/>
  <c r="E69" i="35" s="1"/>
  <c r="D34" i="35"/>
  <c r="D69" i="35" s="1"/>
  <c r="CB33" i="35"/>
  <c r="CB68" i="35" s="1"/>
  <c r="BT33" i="35"/>
  <c r="BL33" i="35"/>
  <c r="BL68" i="35" s="1"/>
  <c r="BD33" i="35"/>
  <c r="BD68" i="35" s="1"/>
  <c r="AV33" i="35"/>
  <c r="AV68" i="35" s="1"/>
  <c r="AN33" i="35"/>
  <c r="AN68" i="35" s="1"/>
  <c r="AF33" i="35"/>
  <c r="AF68" i="35" s="1"/>
  <c r="X33" i="35"/>
  <c r="X68" i="35" s="1"/>
  <c r="P33" i="35"/>
  <c r="P68" i="35" s="1"/>
  <c r="H33" i="35"/>
  <c r="H68" i="35" s="1"/>
  <c r="G33" i="35"/>
  <c r="G68" i="35" s="1"/>
  <c r="F33" i="35"/>
  <c r="F68" i="35" s="1"/>
  <c r="E33" i="35"/>
  <c r="E68" i="35" s="1"/>
  <c r="D33" i="35"/>
  <c r="D68" i="35" s="1"/>
  <c r="CB32" i="35"/>
  <c r="CB67" i="35" s="1"/>
  <c r="BT32" i="35"/>
  <c r="BT67" i="35" s="1"/>
  <c r="BL32" i="35"/>
  <c r="BL67" i="35" s="1"/>
  <c r="BD32" i="35"/>
  <c r="BD67" i="35" s="1"/>
  <c r="AV32" i="35"/>
  <c r="AV67" i="35" s="1"/>
  <c r="AN32" i="35"/>
  <c r="AF32" i="35"/>
  <c r="AF67" i="35" s="1"/>
  <c r="X32" i="35"/>
  <c r="X67" i="35" s="1"/>
  <c r="P32" i="35"/>
  <c r="P67" i="35" s="1"/>
  <c r="H32" i="35"/>
  <c r="H67" i="35" s="1"/>
  <c r="G32" i="35"/>
  <c r="G67" i="35" s="1"/>
  <c r="F32" i="35"/>
  <c r="F67" i="35" s="1"/>
  <c r="E32" i="35"/>
  <c r="E67" i="35" s="1"/>
  <c r="D32" i="35"/>
  <c r="D67" i="35" s="1"/>
  <c r="CB31" i="35"/>
  <c r="CB66" i="35" s="1"/>
  <c r="BT31" i="35"/>
  <c r="BT66" i="35" s="1"/>
  <c r="BL31" i="35"/>
  <c r="BL66" i="35" s="1"/>
  <c r="BD31" i="35"/>
  <c r="BD66" i="35" s="1"/>
  <c r="AV31" i="35"/>
  <c r="AV66" i="35" s="1"/>
  <c r="AN31" i="35"/>
  <c r="AN66" i="35" s="1"/>
  <c r="AF31" i="35"/>
  <c r="X31" i="35"/>
  <c r="X66" i="35" s="1"/>
  <c r="P31" i="35"/>
  <c r="P66" i="35" s="1"/>
  <c r="H31" i="35"/>
  <c r="H66" i="35" s="1"/>
  <c r="G31" i="35"/>
  <c r="G66" i="35" s="1"/>
  <c r="F31" i="35"/>
  <c r="F66" i="35" s="1"/>
  <c r="E31" i="35"/>
  <c r="E66" i="35" s="1"/>
  <c r="D31" i="35"/>
  <c r="D66" i="35" s="1"/>
  <c r="CB30" i="35"/>
  <c r="CB65" i="35" s="1"/>
  <c r="BT30" i="35"/>
  <c r="BL30" i="35"/>
  <c r="BL65" i="35" s="1"/>
  <c r="BD30" i="35"/>
  <c r="BD65" i="35" s="1"/>
  <c r="AV30" i="35"/>
  <c r="AV65" i="35" s="1"/>
  <c r="AN30" i="35"/>
  <c r="AN65" i="35" s="1"/>
  <c r="AF30" i="35"/>
  <c r="AF65" i="35" s="1"/>
  <c r="X30" i="35"/>
  <c r="X65" i="35" s="1"/>
  <c r="P30" i="35"/>
  <c r="P65" i="35" s="1"/>
  <c r="H30" i="35"/>
  <c r="H65" i="35" s="1"/>
  <c r="G30" i="35"/>
  <c r="G65" i="35" s="1"/>
  <c r="F30" i="35"/>
  <c r="F65" i="35" s="1"/>
  <c r="E30" i="35"/>
  <c r="E65" i="35" s="1"/>
  <c r="D30" i="35"/>
  <c r="D65" i="35" s="1"/>
  <c r="CB29" i="35"/>
  <c r="CB64" i="35" s="1"/>
  <c r="BT29" i="35"/>
  <c r="BL29" i="35"/>
  <c r="BL64" i="35" s="1"/>
  <c r="BD29" i="35"/>
  <c r="BD64" i="35" s="1"/>
  <c r="AV29" i="35"/>
  <c r="AV64" i="35" s="1"/>
  <c r="AN29" i="35"/>
  <c r="AF29" i="35"/>
  <c r="AF64" i="35" s="1"/>
  <c r="X29" i="35"/>
  <c r="X64" i="35" s="1"/>
  <c r="P29" i="35"/>
  <c r="P64" i="35" s="1"/>
  <c r="H29" i="35"/>
  <c r="H64" i="35" s="1"/>
  <c r="G29" i="35"/>
  <c r="G64" i="35" s="1"/>
  <c r="F29" i="35"/>
  <c r="F64" i="35" s="1"/>
  <c r="E29" i="35"/>
  <c r="E64" i="35" s="1"/>
  <c r="D29" i="35"/>
  <c r="D64" i="35" s="1"/>
  <c r="CB28" i="35"/>
  <c r="CB63" i="35" s="1"/>
  <c r="BT28" i="35"/>
  <c r="BT63" i="35" s="1"/>
  <c r="BL28" i="35"/>
  <c r="BL63" i="35" s="1"/>
  <c r="BD28" i="35"/>
  <c r="BD63" i="35" s="1"/>
  <c r="AV28" i="35"/>
  <c r="AV63" i="35" s="1"/>
  <c r="AN28" i="35"/>
  <c r="AN63" i="35" s="1"/>
  <c r="AF28" i="35"/>
  <c r="X28" i="35"/>
  <c r="X63" i="35" s="1"/>
  <c r="P28" i="35"/>
  <c r="H28" i="35"/>
  <c r="G28" i="35"/>
  <c r="G63" i="35" s="1"/>
  <c r="F28" i="35"/>
  <c r="F63" i="35" s="1"/>
  <c r="E28" i="35"/>
  <c r="E63" i="35" s="1"/>
  <c r="D28" i="35"/>
  <c r="D63" i="35" s="1"/>
  <c r="CB27" i="35"/>
  <c r="CB62" i="35" s="1"/>
  <c r="BT27" i="35"/>
  <c r="BT62" i="35" s="1"/>
  <c r="BL27" i="35"/>
  <c r="BL62" i="35" s="1"/>
  <c r="BD27" i="35"/>
  <c r="BD62" i="35" s="1"/>
  <c r="AV27" i="35"/>
  <c r="AV62" i="35" s="1"/>
  <c r="AN27" i="35"/>
  <c r="AN62" i="35" s="1"/>
  <c r="AF27" i="35"/>
  <c r="AF62" i="35" s="1"/>
  <c r="X27" i="35"/>
  <c r="X62" i="35" s="1"/>
  <c r="P27" i="35"/>
  <c r="P62" i="35" s="1"/>
  <c r="H27" i="35"/>
  <c r="H62" i="35" s="1"/>
  <c r="G27" i="35"/>
  <c r="G62" i="35" s="1"/>
  <c r="F27" i="35"/>
  <c r="F62" i="35" s="1"/>
  <c r="E27" i="35"/>
  <c r="E62" i="35" s="1"/>
  <c r="D27" i="35"/>
  <c r="D62" i="35" s="1"/>
  <c r="CB26" i="35"/>
  <c r="CB61" i="35" s="1"/>
  <c r="BT26" i="35"/>
  <c r="BT61" i="35" s="1"/>
  <c r="BL26" i="35"/>
  <c r="BL61" i="35" s="1"/>
  <c r="BD26" i="35"/>
  <c r="AV26" i="35"/>
  <c r="AV61" i="35" s="1"/>
  <c r="AN26" i="35"/>
  <c r="AN61" i="35" s="1"/>
  <c r="AF26" i="35"/>
  <c r="X26" i="35"/>
  <c r="X61" i="35" s="1"/>
  <c r="P26" i="35"/>
  <c r="H26" i="35"/>
  <c r="H61" i="35" s="1"/>
  <c r="G26" i="35"/>
  <c r="G61" i="35" s="1"/>
  <c r="F26" i="35"/>
  <c r="F61" i="35" s="1"/>
  <c r="E26" i="35"/>
  <c r="E61" i="35" s="1"/>
  <c r="D26" i="35"/>
  <c r="D61" i="35" s="1"/>
  <c r="CB25" i="35"/>
  <c r="CB60" i="35" s="1"/>
  <c r="BT25" i="35"/>
  <c r="BL25" i="35"/>
  <c r="BL60" i="35" s="1"/>
  <c r="BD25" i="35"/>
  <c r="BD60" i="35" s="1"/>
  <c r="AV25" i="35"/>
  <c r="AN25" i="35"/>
  <c r="AN60" i="35" s="1"/>
  <c r="AF25" i="35"/>
  <c r="AF60" i="35" s="1"/>
  <c r="X25" i="35"/>
  <c r="X60" i="35" s="1"/>
  <c r="P25" i="35"/>
  <c r="P60" i="35" s="1"/>
  <c r="H25" i="35"/>
  <c r="H60" i="35" s="1"/>
  <c r="G25" i="35"/>
  <c r="G60" i="35" s="1"/>
  <c r="F25" i="35"/>
  <c r="F60" i="35" s="1"/>
  <c r="E25" i="35"/>
  <c r="E60" i="35" s="1"/>
  <c r="D25" i="35"/>
  <c r="D60" i="35" s="1"/>
  <c r="CB24" i="35"/>
  <c r="CB59" i="35" s="1"/>
  <c r="BT24" i="35"/>
  <c r="BT59" i="35" s="1"/>
  <c r="BL24" i="35"/>
  <c r="BD24" i="35"/>
  <c r="BD59" i="35" s="1"/>
  <c r="AV24" i="35"/>
  <c r="AV59" i="35" s="1"/>
  <c r="AN24" i="35"/>
  <c r="AN59" i="35" s="1"/>
  <c r="AF24" i="35"/>
  <c r="AF59" i="35" s="1"/>
  <c r="X24" i="35"/>
  <c r="X59" i="35" s="1"/>
  <c r="P24" i="35"/>
  <c r="P59" i="35" s="1"/>
  <c r="H24" i="35"/>
  <c r="G24" i="35"/>
  <c r="G59" i="35" s="1"/>
  <c r="F24" i="35"/>
  <c r="F59" i="35" s="1"/>
  <c r="E24" i="35"/>
  <c r="E59" i="35" s="1"/>
  <c r="D24" i="35"/>
  <c r="D59" i="35" s="1"/>
  <c r="CB23" i="35"/>
  <c r="CB58" i="35" s="1"/>
  <c r="BT23" i="35"/>
  <c r="BL23" i="35"/>
  <c r="BL58" i="35" s="1"/>
  <c r="BD23" i="35"/>
  <c r="BD58" i="35" s="1"/>
  <c r="AV23" i="35"/>
  <c r="AV58" i="35" s="1"/>
  <c r="AN23" i="35"/>
  <c r="AN58" i="35" s="1"/>
  <c r="AF23" i="35"/>
  <c r="AF58" i="35" s="1"/>
  <c r="X23" i="35"/>
  <c r="X58" i="35" s="1"/>
  <c r="P23" i="35"/>
  <c r="P58" i="35" s="1"/>
  <c r="H23" i="35"/>
  <c r="H58" i="35" s="1"/>
  <c r="G23" i="35"/>
  <c r="G58" i="35" s="1"/>
  <c r="F23" i="35"/>
  <c r="F58" i="35" s="1"/>
  <c r="E23" i="35"/>
  <c r="E58" i="35" s="1"/>
  <c r="D23" i="35"/>
  <c r="D58" i="35" s="1"/>
  <c r="CB22" i="35"/>
  <c r="CB57" i="35" s="1"/>
  <c r="BT22" i="35"/>
  <c r="BL22" i="35"/>
  <c r="BD22" i="35"/>
  <c r="BD57" i="35" s="1"/>
  <c r="AV22" i="35"/>
  <c r="AV57" i="35" s="1"/>
  <c r="AN22" i="35"/>
  <c r="AN57" i="35" s="1"/>
  <c r="AF22" i="35"/>
  <c r="AF57" i="35" s="1"/>
  <c r="X22" i="35"/>
  <c r="X57" i="35" s="1"/>
  <c r="P22" i="35"/>
  <c r="P57" i="35" s="1"/>
  <c r="H22" i="35"/>
  <c r="H57" i="35" s="1"/>
  <c r="G22" i="35"/>
  <c r="G57" i="35" s="1"/>
  <c r="F22" i="35"/>
  <c r="F57" i="35" s="1"/>
  <c r="E22" i="35"/>
  <c r="E57" i="35" s="1"/>
  <c r="D22" i="35"/>
  <c r="D57" i="35" s="1"/>
  <c r="CB21" i="35"/>
  <c r="CB56" i="35" s="1"/>
  <c r="BT21" i="35"/>
  <c r="BT56" i="35" s="1"/>
  <c r="BL21" i="35"/>
  <c r="BL56" i="35" s="1"/>
  <c r="BD21" i="35"/>
  <c r="BD56" i="35" s="1"/>
  <c r="AV21" i="35"/>
  <c r="AV56" i="35" s="1"/>
  <c r="AN21" i="35"/>
  <c r="AN56" i="35" s="1"/>
  <c r="AF21" i="35"/>
  <c r="AF56" i="35" s="1"/>
  <c r="X21" i="35"/>
  <c r="X56" i="35" s="1"/>
  <c r="P21" i="35"/>
  <c r="P56" i="35" s="1"/>
  <c r="H21" i="35"/>
  <c r="H56" i="35" s="1"/>
  <c r="G21" i="35"/>
  <c r="G56" i="35" s="1"/>
  <c r="F21" i="35"/>
  <c r="F56" i="35" s="1"/>
  <c r="E21" i="35"/>
  <c r="E56" i="35" s="1"/>
  <c r="D21" i="35"/>
  <c r="D56" i="35" s="1"/>
  <c r="CB20" i="35"/>
  <c r="CB55" i="35" s="1"/>
  <c r="BT20" i="35"/>
  <c r="BT55" i="35" s="1"/>
  <c r="BL20" i="35"/>
  <c r="BL55" i="35" s="1"/>
  <c r="BD20" i="35"/>
  <c r="BD55" i="35" s="1"/>
  <c r="AV20" i="35"/>
  <c r="AV55" i="35" s="1"/>
  <c r="AN20" i="35"/>
  <c r="AN55" i="35" s="1"/>
  <c r="AF20" i="35"/>
  <c r="AF55" i="35" s="1"/>
  <c r="X20" i="35"/>
  <c r="X55" i="35" s="1"/>
  <c r="P20" i="35"/>
  <c r="P55" i="35" s="1"/>
  <c r="H20" i="35"/>
  <c r="H55" i="35" s="1"/>
  <c r="G20" i="35"/>
  <c r="G55" i="35" s="1"/>
  <c r="F20" i="35"/>
  <c r="F55" i="35" s="1"/>
  <c r="E20" i="35"/>
  <c r="E55" i="35" s="1"/>
  <c r="D20" i="35"/>
  <c r="D55" i="35" s="1"/>
  <c r="CC19" i="35"/>
  <c r="CB19" i="35"/>
  <c r="CA19" i="35"/>
  <c r="BZ19" i="35"/>
  <c r="BY19" i="35"/>
  <c r="BX19" i="35"/>
  <c r="BW19" i="35"/>
  <c r="BV19" i="35"/>
  <c r="BU19" i="35"/>
  <c r="BT19" i="35"/>
  <c r="BS19" i="35"/>
  <c r="BR19" i="35"/>
  <c r="BQ19" i="35"/>
  <c r="BP19" i="35"/>
  <c r="BO19" i="35"/>
  <c r="BN19" i="35"/>
  <c r="BM19" i="35"/>
  <c r="BL19" i="35"/>
  <c r="BK19" i="35"/>
  <c r="BJ19" i="35"/>
  <c r="BI19" i="35"/>
  <c r="BH19" i="35"/>
  <c r="BG19" i="35"/>
  <c r="BF19" i="35"/>
  <c r="BE19" i="35"/>
  <c r="BD19" i="35"/>
  <c r="BC19" i="35"/>
  <c r="BB19" i="35"/>
  <c r="BA19" i="35"/>
  <c r="AZ19" i="35"/>
  <c r="AY19" i="35"/>
  <c r="AX19" i="35"/>
  <c r="AW19" i="35"/>
  <c r="AV19" i="35"/>
  <c r="AU19" i="35"/>
  <c r="AT19" i="35"/>
  <c r="AS19" i="35"/>
  <c r="AR19" i="35"/>
  <c r="AQ19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H19" i="35"/>
  <c r="G19" i="35"/>
  <c r="F19" i="35"/>
  <c r="E19" i="35"/>
  <c r="D19" i="35"/>
  <c r="CC18" i="35"/>
  <c r="CC53" i="35" s="1"/>
  <c r="CB18" i="35"/>
  <c r="CB53" i="35" s="1"/>
  <c r="CA18" i="35"/>
  <c r="CA53" i="35" s="1"/>
  <c r="BZ18" i="35"/>
  <c r="BZ53" i="35" s="1"/>
  <c r="BY18" i="35"/>
  <c r="BY53" i="35" s="1"/>
  <c r="BX18" i="35"/>
  <c r="BX53" i="35" s="1"/>
  <c r="BW18" i="35"/>
  <c r="BW53" i="35" s="1"/>
  <c r="BV18" i="35"/>
  <c r="BV53" i="35" s="1"/>
  <c r="BU18" i="35"/>
  <c r="BU53" i="35" s="1"/>
  <c r="BT18" i="35"/>
  <c r="BT53" i="35" s="1"/>
  <c r="BS18" i="35"/>
  <c r="BS53" i="35" s="1"/>
  <c r="BR18" i="35"/>
  <c r="BR53" i="35" s="1"/>
  <c r="BQ18" i="35"/>
  <c r="BQ53" i="35" s="1"/>
  <c r="BP18" i="35"/>
  <c r="BP53" i="35" s="1"/>
  <c r="BO18" i="35"/>
  <c r="BO53" i="35" s="1"/>
  <c r="BN18" i="35"/>
  <c r="BN53" i="35" s="1"/>
  <c r="BM18" i="35"/>
  <c r="BM53" i="35" s="1"/>
  <c r="BL18" i="35"/>
  <c r="BL53" i="35" s="1"/>
  <c r="BN81" i="35" s="1"/>
  <c r="BK18" i="35"/>
  <c r="BK53" i="35" s="1"/>
  <c r="BJ18" i="35"/>
  <c r="BJ53" i="35" s="1"/>
  <c r="BI18" i="35"/>
  <c r="BI53" i="35" s="1"/>
  <c r="BH18" i="35"/>
  <c r="BH53" i="35" s="1"/>
  <c r="BG18" i="35"/>
  <c r="BG53" i="35" s="1"/>
  <c r="BF18" i="35"/>
  <c r="BF53" i="35" s="1"/>
  <c r="BE18" i="35"/>
  <c r="BE53" i="35" s="1"/>
  <c r="BD18" i="35"/>
  <c r="BD53" i="35" s="1"/>
  <c r="BF81" i="35" s="1"/>
  <c r="BC18" i="35"/>
  <c r="BC53" i="35" s="1"/>
  <c r="BB18" i="35"/>
  <c r="BB53" i="35" s="1"/>
  <c r="BA18" i="35"/>
  <c r="BA53" i="35" s="1"/>
  <c r="AZ18" i="35"/>
  <c r="AZ53" i="35" s="1"/>
  <c r="AY18" i="35"/>
  <c r="AY53" i="35" s="1"/>
  <c r="AX18" i="35"/>
  <c r="AX53" i="35" s="1"/>
  <c r="AW18" i="35"/>
  <c r="AW53" i="35" s="1"/>
  <c r="AV18" i="35"/>
  <c r="AV53" i="35" s="1"/>
  <c r="AX81" i="35" s="1"/>
  <c r="AU18" i="35"/>
  <c r="AU53" i="35" s="1"/>
  <c r="AT18" i="35"/>
  <c r="AT53" i="35" s="1"/>
  <c r="AS18" i="35"/>
  <c r="AS53" i="35" s="1"/>
  <c r="AR18" i="35"/>
  <c r="AR53" i="35" s="1"/>
  <c r="AQ18" i="35"/>
  <c r="AQ53" i="35" s="1"/>
  <c r="AP18" i="35"/>
  <c r="AP53" i="35" s="1"/>
  <c r="AO18" i="35"/>
  <c r="AO53" i="35" s="1"/>
  <c r="AN18" i="35"/>
  <c r="AN53" i="35" s="1"/>
  <c r="AP81" i="35" s="1"/>
  <c r="AM18" i="35"/>
  <c r="AM53" i="35" s="1"/>
  <c r="AL18" i="35"/>
  <c r="AL53" i="35" s="1"/>
  <c r="AK18" i="35"/>
  <c r="AK53" i="35" s="1"/>
  <c r="AJ18" i="35"/>
  <c r="AJ53" i="35" s="1"/>
  <c r="AI18" i="35"/>
  <c r="AI53" i="35" s="1"/>
  <c r="AH18" i="35"/>
  <c r="AH53" i="35" s="1"/>
  <c r="AG18" i="35"/>
  <c r="AG53" i="35" s="1"/>
  <c r="AF18" i="35"/>
  <c r="AF53" i="35" s="1"/>
  <c r="AE18" i="35"/>
  <c r="AE53" i="35" s="1"/>
  <c r="AD18" i="35"/>
  <c r="AD53" i="35" s="1"/>
  <c r="AC18" i="35"/>
  <c r="AC53" i="35" s="1"/>
  <c r="AB18" i="35"/>
  <c r="AB53" i="35" s="1"/>
  <c r="AA18" i="35"/>
  <c r="AA53" i="35" s="1"/>
  <c r="Z18" i="35"/>
  <c r="Z53" i="35" s="1"/>
  <c r="Y18" i="35"/>
  <c r="Y53" i="35" s="1"/>
  <c r="X18" i="35"/>
  <c r="X53" i="35" s="1"/>
  <c r="Z85" i="35" s="1"/>
  <c r="W18" i="35"/>
  <c r="W53" i="35" s="1"/>
  <c r="V18" i="35"/>
  <c r="V53" i="35" s="1"/>
  <c r="U18" i="35"/>
  <c r="U53" i="35" s="1"/>
  <c r="T18" i="35"/>
  <c r="T53" i="35" s="1"/>
  <c r="S18" i="35"/>
  <c r="S53" i="35" s="1"/>
  <c r="R18" i="35"/>
  <c r="R53" i="35" s="1"/>
  <c r="Q18" i="35"/>
  <c r="Q53" i="35" s="1"/>
  <c r="P18" i="35"/>
  <c r="P53" i="35" s="1"/>
  <c r="R86" i="35" s="1"/>
  <c r="O18" i="35"/>
  <c r="O53" i="35" s="1"/>
  <c r="N18" i="35"/>
  <c r="N53" i="35" s="1"/>
  <c r="M18" i="35"/>
  <c r="M53" i="35" s="1"/>
  <c r="L18" i="35"/>
  <c r="L53" i="35" s="1"/>
  <c r="K18" i="35"/>
  <c r="K53" i="35" s="1"/>
  <c r="J18" i="35"/>
  <c r="J53" i="35" s="1"/>
  <c r="H18" i="35"/>
  <c r="H53" i="35" s="1"/>
  <c r="G18" i="35"/>
  <c r="G53" i="35" s="1"/>
  <c r="F18" i="35"/>
  <c r="F53" i="35" s="1"/>
  <c r="E18" i="35"/>
  <c r="E53" i="35" s="1"/>
  <c r="D18" i="35"/>
  <c r="D53" i="35" s="1"/>
  <c r="CC17" i="35"/>
  <c r="CC52" i="35" s="1"/>
  <c r="CB17" i="35"/>
  <c r="CB52" i="35" s="1"/>
  <c r="CA17" i="35"/>
  <c r="CA52" i="35" s="1"/>
  <c r="BZ17" i="35"/>
  <c r="BZ52" i="35" s="1"/>
  <c r="BY17" i="35"/>
  <c r="BY52" i="35" s="1"/>
  <c r="BX17" i="35"/>
  <c r="BX52" i="35" s="1"/>
  <c r="BW17" i="35"/>
  <c r="BW52" i="35" s="1"/>
  <c r="BV17" i="35"/>
  <c r="BV52" i="35" s="1"/>
  <c r="BU17" i="35"/>
  <c r="BU52" i="35" s="1"/>
  <c r="BT17" i="35"/>
  <c r="BT52" i="35" s="1"/>
  <c r="BS17" i="35"/>
  <c r="BS52" i="35" s="1"/>
  <c r="BR17" i="35"/>
  <c r="BR52" i="35" s="1"/>
  <c r="BQ17" i="35"/>
  <c r="BQ52" i="35" s="1"/>
  <c r="BP17" i="35"/>
  <c r="BP52" i="35" s="1"/>
  <c r="BO17" i="35"/>
  <c r="BO52" i="35" s="1"/>
  <c r="BN17" i="35"/>
  <c r="BN52" i="35" s="1"/>
  <c r="BM17" i="35"/>
  <c r="BM52" i="35" s="1"/>
  <c r="BL17" i="35"/>
  <c r="BL52" i="35" s="1"/>
  <c r="BK17" i="35"/>
  <c r="BK52" i="35" s="1"/>
  <c r="BJ17" i="35"/>
  <c r="BJ52" i="35" s="1"/>
  <c r="BI17" i="35"/>
  <c r="BI52" i="35" s="1"/>
  <c r="BH17" i="35"/>
  <c r="BH52" i="35" s="1"/>
  <c r="BG17" i="35"/>
  <c r="BG52" i="35" s="1"/>
  <c r="BF17" i="35"/>
  <c r="BF52" i="35" s="1"/>
  <c r="BE17" i="35"/>
  <c r="BE52" i="35" s="1"/>
  <c r="BD17" i="35"/>
  <c r="BD52" i="35" s="1"/>
  <c r="BC17" i="35"/>
  <c r="BC52" i="35" s="1"/>
  <c r="BB17" i="35"/>
  <c r="BB52" i="35" s="1"/>
  <c r="BA17" i="35"/>
  <c r="BA52" i="35" s="1"/>
  <c r="AZ17" i="35"/>
  <c r="AZ52" i="35" s="1"/>
  <c r="AY17" i="35"/>
  <c r="AY52" i="35" s="1"/>
  <c r="AX17" i="35"/>
  <c r="AX52" i="35" s="1"/>
  <c r="AW17" i="35"/>
  <c r="AW52" i="35" s="1"/>
  <c r="AV17" i="35"/>
  <c r="AV52" i="35" s="1"/>
  <c r="AU17" i="35"/>
  <c r="AU52" i="35" s="1"/>
  <c r="AT17" i="35"/>
  <c r="AT52" i="35" s="1"/>
  <c r="AS17" i="35"/>
  <c r="AS52" i="35" s="1"/>
  <c r="AR17" i="35"/>
  <c r="AR52" i="35" s="1"/>
  <c r="AQ17" i="35"/>
  <c r="AQ52" i="35" s="1"/>
  <c r="AP17" i="35"/>
  <c r="AP52" i="35" s="1"/>
  <c r="AO17" i="35"/>
  <c r="AO52" i="35" s="1"/>
  <c r="AN17" i="35"/>
  <c r="AN52" i="35" s="1"/>
  <c r="AM17" i="35"/>
  <c r="AM52" i="35" s="1"/>
  <c r="AL17" i="35"/>
  <c r="AL52" i="35" s="1"/>
  <c r="AK17" i="35"/>
  <c r="AK52" i="35" s="1"/>
  <c r="AJ17" i="35"/>
  <c r="AJ52" i="35" s="1"/>
  <c r="AI17" i="35"/>
  <c r="AI52" i="35" s="1"/>
  <c r="AH17" i="35"/>
  <c r="AH52" i="35" s="1"/>
  <c r="AG17" i="35"/>
  <c r="AG52" i="35" s="1"/>
  <c r="AF17" i="35"/>
  <c r="AF52" i="35" s="1"/>
  <c r="AE17" i="35"/>
  <c r="AE52" i="35" s="1"/>
  <c r="AD17" i="35"/>
  <c r="AD52" i="35" s="1"/>
  <c r="AC17" i="35"/>
  <c r="AC52" i="35" s="1"/>
  <c r="AB17" i="35"/>
  <c r="AB52" i="35" s="1"/>
  <c r="AA17" i="35"/>
  <c r="AA52" i="35" s="1"/>
  <c r="Z17" i="35"/>
  <c r="Z52" i="35" s="1"/>
  <c r="Y17" i="35"/>
  <c r="Y52" i="35" s="1"/>
  <c r="X17" i="35"/>
  <c r="X52" i="35" s="1"/>
  <c r="W17" i="35"/>
  <c r="W52" i="35" s="1"/>
  <c r="V17" i="35"/>
  <c r="V52" i="35" s="1"/>
  <c r="U17" i="35"/>
  <c r="U52" i="35" s="1"/>
  <c r="T17" i="35"/>
  <c r="T52" i="35" s="1"/>
  <c r="S17" i="35"/>
  <c r="S52" i="35" s="1"/>
  <c r="R17" i="35"/>
  <c r="R52" i="35" s="1"/>
  <c r="Q17" i="35"/>
  <c r="Q52" i="35" s="1"/>
  <c r="P17" i="35"/>
  <c r="P52" i="35" s="1"/>
  <c r="O17" i="35"/>
  <c r="O52" i="35" s="1"/>
  <c r="N17" i="35"/>
  <c r="N52" i="35" s="1"/>
  <c r="M17" i="35"/>
  <c r="M52" i="35" s="1"/>
  <c r="L17" i="35"/>
  <c r="L52" i="35" s="1"/>
  <c r="K17" i="35"/>
  <c r="K52" i="35" s="1"/>
  <c r="J17" i="35"/>
  <c r="J52" i="35" s="1"/>
  <c r="H17" i="35"/>
  <c r="H52" i="35" s="1"/>
  <c r="G17" i="35"/>
  <c r="G52" i="35" s="1"/>
  <c r="F17" i="35"/>
  <c r="F52" i="35" s="1"/>
  <c r="E17" i="35"/>
  <c r="E52" i="35" s="1"/>
  <c r="D17" i="35"/>
  <c r="D52" i="35" s="1"/>
  <c r="CC16" i="35"/>
  <c r="CC51" i="35" s="1"/>
  <c r="CB16" i="35"/>
  <c r="CB51" i="35" s="1"/>
  <c r="CA16" i="35"/>
  <c r="CA51" i="35" s="1"/>
  <c r="BZ16" i="35"/>
  <c r="BZ51" i="35" s="1"/>
  <c r="BY16" i="35"/>
  <c r="BY51" i="35" s="1"/>
  <c r="BX16" i="35"/>
  <c r="BX51" i="35" s="1"/>
  <c r="BW16" i="35"/>
  <c r="BW51" i="35" s="1"/>
  <c r="BV16" i="35"/>
  <c r="BV51" i="35" s="1"/>
  <c r="BS16" i="35"/>
  <c r="BS51" i="35" s="1"/>
  <c r="BR16" i="35"/>
  <c r="BR51" i="35" s="1"/>
  <c r="BQ16" i="35"/>
  <c r="BQ51" i="35" s="1"/>
  <c r="BP16" i="35"/>
  <c r="BP51" i="35" s="1"/>
  <c r="BO16" i="35"/>
  <c r="BO51" i="35" s="1"/>
  <c r="BN16" i="35"/>
  <c r="BN51" i="35" s="1"/>
  <c r="BK16" i="35"/>
  <c r="BK51" i="35" s="1"/>
  <c r="BJ16" i="35"/>
  <c r="BJ51" i="35" s="1"/>
  <c r="BI16" i="35"/>
  <c r="BI51" i="35" s="1"/>
  <c r="BH16" i="35"/>
  <c r="BH51" i="35" s="1"/>
  <c r="BG16" i="35"/>
  <c r="BG51" i="35" s="1"/>
  <c r="BF16" i="35"/>
  <c r="BF51" i="35" s="1"/>
  <c r="BC16" i="35"/>
  <c r="BC51" i="35" s="1"/>
  <c r="BB16" i="35"/>
  <c r="BB51" i="35" s="1"/>
  <c r="BA16" i="35"/>
  <c r="BA51" i="35" s="1"/>
  <c r="AZ16" i="35"/>
  <c r="AZ51" i="35" s="1"/>
  <c r="AY16" i="35"/>
  <c r="AY51" i="35" s="1"/>
  <c r="AX16" i="35"/>
  <c r="AX51" i="35" s="1"/>
  <c r="AU16" i="35"/>
  <c r="AU51" i="35" s="1"/>
  <c r="AT16" i="35"/>
  <c r="AT51" i="35" s="1"/>
  <c r="AS16" i="35"/>
  <c r="AS51" i="35" s="1"/>
  <c r="AR16" i="35"/>
  <c r="AR51" i="35" s="1"/>
  <c r="AQ16" i="35"/>
  <c r="AQ51" i="35" s="1"/>
  <c r="AP16" i="35"/>
  <c r="AP51" i="35" s="1"/>
  <c r="AM16" i="35"/>
  <c r="AM51" i="35" s="1"/>
  <c r="AL16" i="35"/>
  <c r="AL51" i="35" s="1"/>
  <c r="AK16" i="35"/>
  <c r="AK51" i="35" s="1"/>
  <c r="AJ16" i="35"/>
  <c r="AJ51" i="35" s="1"/>
  <c r="AI16" i="35"/>
  <c r="AI51" i="35" s="1"/>
  <c r="AH16" i="35"/>
  <c r="AH51" i="35" s="1"/>
  <c r="AE16" i="35"/>
  <c r="AE51" i="35" s="1"/>
  <c r="AD16" i="35"/>
  <c r="AD51" i="35" s="1"/>
  <c r="AC16" i="35"/>
  <c r="AC51" i="35" s="1"/>
  <c r="AB16" i="35"/>
  <c r="AB51" i="35" s="1"/>
  <c r="AA16" i="35"/>
  <c r="AA51" i="35" s="1"/>
  <c r="Z16" i="35"/>
  <c r="Z51" i="35" s="1"/>
  <c r="W16" i="35"/>
  <c r="W51" i="35" s="1"/>
  <c r="V16" i="35"/>
  <c r="V51" i="35" s="1"/>
  <c r="U16" i="35"/>
  <c r="U51" i="35" s="1"/>
  <c r="T16" i="35"/>
  <c r="T51" i="35" s="1"/>
  <c r="S16" i="35"/>
  <c r="S51" i="35" s="1"/>
  <c r="R16" i="35"/>
  <c r="R51" i="35" s="1"/>
  <c r="O16" i="35"/>
  <c r="O51" i="35" s="1"/>
  <c r="N16" i="35"/>
  <c r="N51" i="35" s="1"/>
  <c r="M16" i="35"/>
  <c r="M51" i="35" s="1"/>
  <c r="L16" i="35"/>
  <c r="L51" i="35" s="1"/>
  <c r="K16" i="35"/>
  <c r="K51" i="35" s="1"/>
  <c r="J16" i="35"/>
  <c r="J51" i="35" s="1"/>
  <c r="G16" i="35"/>
  <c r="G51" i="35" s="1"/>
  <c r="F16" i="35"/>
  <c r="F51" i="35" s="1"/>
  <c r="E16" i="35"/>
  <c r="E51" i="35" s="1"/>
  <c r="D16" i="35"/>
  <c r="D51" i="35" s="1"/>
  <c r="CC15" i="35"/>
  <c r="CC50" i="35" s="1"/>
  <c r="CB15" i="35"/>
  <c r="CB50" i="35" s="1"/>
  <c r="CA15" i="35"/>
  <c r="CA50" i="35" s="1"/>
  <c r="BZ15" i="35"/>
  <c r="BZ50" i="35" s="1"/>
  <c r="BY15" i="35"/>
  <c r="BY50" i="35" s="1"/>
  <c r="BX15" i="35"/>
  <c r="BX50" i="35" s="1"/>
  <c r="BS15" i="35"/>
  <c r="BS50" i="35" s="1"/>
  <c r="BR15" i="35"/>
  <c r="BR50" i="35" s="1"/>
  <c r="BQ15" i="35"/>
  <c r="BQ50" i="35" s="1"/>
  <c r="BP15" i="35"/>
  <c r="BP50" i="35" s="1"/>
  <c r="BK15" i="35"/>
  <c r="BK50" i="35" s="1"/>
  <c r="BJ15" i="35"/>
  <c r="BJ50" i="35" s="1"/>
  <c r="BI15" i="35"/>
  <c r="BI50" i="35" s="1"/>
  <c r="BH15" i="35"/>
  <c r="BH50" i="35" s="1"/>
  <c r="BC15" i="35"/>
  <c r="BC50" i="35" s="1"/>
  <c r="BB15" i="35"/>
  <c r="BB50" i="35" s="1"/>
  <c r="BA15" i="35"/>
  <c r="BA50" i="35" s="1"/>
  <c r="AZ15" i="35"/>
  <c r="AZ50" i="35" s="1"/>
  <c r="AU15" i="35"/>
  <c r="AU50" i="35" s="1"/>
  <c r="AT15" i="35"/>
  <c r="AT50" i="35" s="1"/>
  <c r="AS15" i="35"/>
  <c r="AS50" i="35" s="1"/>
  <c r="AR15" i="35"/>
  <c r="AR50" i="35" s="1"/>
  <c r="AM15" i="35"/>
  <c r="AM50" i="35" s="1"/>
  <c r="AL15" i="35"/>
  <c r="AL50" i="35" s="1"/>
  <c r="AK15" i="35"/>
  <c r="AK50" i="35" s="1"/>
  <c r="AJ15" i="35"/>
  <c r="AJ50" i="35" s="1"/>
  <c r="AE15" i="35"/>
  <c r="AE50" i="35" s="1"/>
  <c r="AD15" i="35"/>
  <c r="AD50" i="35" s="1"/>
  <c r="AC15" i="35"/>
  <c r="AC50" i="35" s="1"/>
  <c r="AB15" i="35"/>
  <c r="AB50" i="35" s="1"/>
  <c r="W15" i="35"/>
  <c r="W50" i="35" s="1"/>
  <c r="V15" i="35"/>
  <c r="V50" i="35" s="1"/>
  <c r="U15" i="35"/>
  <c r="U50" i="35" s="1"/>
  <c r="T15" i="35"/>
  <c r="T50" i="35" s="1"/>
  <c r="O15" i="35"/>
  <c r="O50" i="35" s="1"/>
  <c r="N15" i="35"/>
  <c r="N50" i="35" s="1"/>
  <c r="M15" i="35"/>
  <c r="M50" i="35" s="1"/>
  <c r="L15" i="35"/>
  <c r="L50" i="35" s="1"/>
  <c r="G15" i="35"/>
  <c r="G50" i="35" s="1"/>
  <c r="F15" i="35"/>
  <c r="F50" i="35" s="1"/>
  <c r="E15" i="35"/>
  <c r="E50" i="35" s="1"/>
  <c r="D15" i="35"/>
  <c r="D50" i="35" s="1"/>
  <c r="CC14" i="35"/>
  <c r="CB14" i="35"/>
  <c r="BT14" i="35"/>
  <c r="BL14" i="35"/>
  <c r="BD14" i="35"/>
  <c r="AV14" i="35"/>
  <c r="AN14" i="35"/>
  <c r="AF14" i="35"/>
  <c r="X14" i="35"/>
  <c r="P14" i="35"/>
  <c r="H14" i="35"/>
  <c r="G14" i="35"/>
  <c r="F14" i="35"/>
  <c r="E14" i="35"/>
  <c r="D14" i="35"/>
  <c r="CC13" i="35"/>
  <c r="CB13" i="35"/>
  <c r="BT13" i="35"/>
  <c r="BL13" i="35"/>
  <c r="BD13" i="35"/>
  <c r="AV13" i="35"/>
  <c r="AN13" i="35"/>
  <c r="AF13" i="35"/>
  <c r="X13" i="35"/>
  <c r="P13" i="35"/>
  <c r="H13" i="35"/>
  <c r="G13" i="35"/>
  <c r="F13" i="35"/>
  <c r="E13" i="35"/>
  <c r="D13" i="35"/>
  <c r="CC12" i="35"/>
  <c r="CB12" i="35"/>
  <c r="CA12" i="35"/>
  <c r="BZ12" i="35"/>
  <c r="BY12" i="35"/>
  <c r="BX12" i="35"/>
  <c r="BW12" i="35"/>
  <c r="BV12" i="35"/>
  <c r="BU12" i="35"/>
  <c r="BT12" i="35"/>
  <c r="BS12" i="35"/>
  <c r="BR12" i="35"/>
  <c r="BQ12" i="35"/>
  <c r="BP12" i="35"/>
  <c r="BO12" i="35"/>
  <c r="BN12" i="35"/>
  <c r="BM12" i="35"/>
  <c r="BL12" i="35"/>
  <c r="BK12" i="35"/>
  <c r="BJ12" i="35"/>
  <c r="BI12" i="35"/>
  <c r="BH12" i="35"/>
  <c r="BG12" i="35"/>
  <c r="BF12" i="35"/>
  <c r="BE12" i="35"/>
  <c r="BD12" i="35"/>
  <c r="BC12" i="35"/>
  <c r="BB12" i="35"/>
  <c r="BA12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C11" i="35"/>
  <c r="CB11" i="35"/>
  <c r="CA11" i="35"/>
  <c r="BZ11" i="35"/>
  <c r="BY11" i="35"/>
  <c r="BX11" i="35"/>
  <c r="BW11" i="35"/>
  <c r="BV11" i="35"/>
  <c r="BU11" i="35"/>
  <c r="BT11" i="35"/>
  <c r="BS11" i="35"/>
  <c r="BR11" i="35"/>
  <c r="BQ11" i="35"/>
  <c r="BP11" i="35"/>
  <c r="BO11" i="35"/>
  <c r="BN11" i="35"/>
  <c r="BM11" i="35"/>
  <c r="BL11" i="35"/>
  <c r="BK11" i="35"/>
  <c r="BJ11" i="35"/>
  <c r="BI11" i="35"/>
  <c r="BH11" i="35"/>
  <c r="BG11" i="35"/>
  <c r="BF11" i="35"/>
  <c r="BE11" i="35"/>
  <c r="BD11" i="35"/>
  <c r="BC11" i="35"/>
  <c r="BB11" i="35"/>
  <c r="BA11" i="35"/>
  <c r="AZ11" i="35"/>
  <c r="AY11" i="35"/>
  <c r="AX11" i="35"/>
  <c r="AW11" i="35"/>
  <c r="AV11" i="35"/>
  <c r="AU11" i="35"/>
  <c r="AT11" i="35"/>
  <c r="AS11" i="35"/>
  <c r="AR11" i="35"/>
  <c r="AQ11" i="35"/>
  <c r="AP11" i="35"/>
  <c r="AO11" i="35"/>
  <c r="AN11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P11" i="35"/>
  <c r="O11" i="35"/>
  <c r="M11" i="35"/>
  <c r="J11" i="35"/>
  <c r="I11" i="35"/>
  <c r="H11" i="35"/>
  <c r="G11" i="35"/>
  <c r="D11" i="35"/>
  <c r="CC10" i="35"/>
  <c r="CB10" i="35"/>
  <c r="CA10" i="35"/>
  <c r="BZ10" i="35"/>
  <c r="BY10" i="35"/>
  <c r="BX10" i="35"/>
  <c r="BW10" i="35"/>
  <c r="BV10" i="35"/>
  <c r="BU10" i="35"/>
  <c r="BT10" i="35"/>
  <c r="BS10" i="35"/>
  <c r="BR10" i="35"/>
  <c r="BQ10" i="35"/>
  <c r="BP10" i="35"/>
  <c r="BO10" i="35"/>
  <c r="BN10" i="35"/>
  <c r="BM10" i="35"/>
  <c r="BL10" i="35"/>
  <c r="BK10" i="35"/>
  <c r="BJ10" i="35"/>
  <c r="BI10" i="35"/>
  <c r="BH10" i="35"/>
  <c r="BG10" i="35"/>
  <c r="BF10" i="35"/>
  <c r="BE10" i="35"/>
  <c r="BD10" i="35"/>
  <c r="BC10" i="35"/>
  <c r="BB10" i="35"/>
  <c r="BA10" i="35"/>
  <c r="AZ10" i="35"/>
  <c r="AY10" i="35"/>
  <c r="AX10" i="35"/>
  <c r="AW10" i="35"/>
  <c r="AV10" i="35"/>
  <c r="AU10" i="35"/>
  <c r="AT10" i="35"/>
  <c r="AS10" i="35"/>
  <c r="AR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M10" i="35"/>
  <c r="J10" i="35"/>
  <c r="I10" i="35"/>
  <c r="H10" i="35"/>
  <c r="G10" i="35"/>
  <c r="D10" i="35"/>
  <c r="CC9" i="35"/>
  <c r="CB9" i="35"/>
  <c r="CA9" i="35"/>
  <c r="BZ9" i="35"/>
  <c r="BY9" i="35"/>
  <c r="BX9" i="35"/>
  <c r="BW9" i="35"/>
  <c r="BV9" i="35"/>
  <c r="BU9" i="35"/>
  <c r="BT9" i="35"/>
  <c r="BS9" i="35"/>
  <c r="BR9" i="35"/>
  <c r="BQ9" i="35"/>
  <c r="BP9" i="35"/>
  <c r="BO9" i="35"/>
  <c r="BN9" i="35"/>
  <c r="BM9" i="35"/>
  <c r="BL9" i="35"/>
  <c r="BK9" i="35"/>
  <c r="BJ9" i="35"/>
  <c r="BI9" i="35"/>
  <c r="BH9" i="35"/>
  <c r="BG9" i="35"/>
  <c r="BF9" i="35"/>
  <c r="BE9" i="35"/>
  <c r="BD9" i="35"/>
  <c r="BC9" i="35"/>
  <c r="BB9" i="35"/>
  <c r="BA9" i="35"/>
  <c r="AZ9" i="35"/>
  <c r="AY9" i="35"/>
  <c r="AX9" i="35"/>
  <c r="AW9" i="35"/>
  <c r="AV9" i="35"/>
  <c r="AU9" i="35"/>
  <c r="AT9" i="35"/>
  <c r="AS9" i="35"/>
  <c r="AR9" i="35"/>
  <c r="AQ9" i="35"/>
  <c r="AP9" i="35"/>
  <c r="AO9" i="35"/>
  <c r="AN9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M9" i="35"/>
  <c r="J9" i="35"/>
  <c r="I9" i="35"/>
  <c r="H9" i="35"/>
  <c r="G9" i="35"/>
  <c r="E9" i="35"/>
  <c r="CC8" i="35"/>
  <c r="CB8" i="35"/>
  <c r="CA8" i="35"/>
  <c r="BZ8" i="35"/>
  <c r="BY8" i="35"/>
  <c r="BX8" i="35"/>
  <c r="BW8" i="35"/>
  <c r="BV8" i="35"/>
  <c r="BU8" i="35"/>
  <c r="BT8" i="35"/>
  <c r="BS8" i="35"/>
  <c r="BR8" i="35"/>
  <c r="BQ8" i="35"/>
  <c r="BP8" i="35"/>
  <c r="BO8" i="35"/>
  <c r="BN8" i="35"/>
  <c r="BM8" i="35"/>
  <c r="BL8" i="35"/>
  <c r="BK8" i="35"/>
  <c r="BJ8" i="35"/>
  <c r="BI8" i="35"/>
  <c r="BH8" i="35"/>
  <c r="BG8" i="35"/>
  <c r="BF8" i="35"/>
  <c r="BE8" i="35"/>
  <c r="BD8" i="35"/>
  <c r="BC8" i="35"/>
  <c r="BB8" i="35"/>
  <c r="BA8" i="35"/>
  <c r="AZ8" i="35"/>
  <c r="AY8" i="35"/>
  <c r="AX8" i="35"/>
  <c r="AW8" i="35"/>
  <c r="AV8" i="35"/>
  <c r="AU8" i="35"/>
  <c r="AT8" i="35"/>
  <c r="AS8" i="35"/>
  <c r="AR8" i="35"/>
  <c r="AQ8" i="35"/>
  <c r="AP8" i="35"/>
  <c r="AO8" i="35"/>
  <c r="AN8" i="35"/>
  <c r="AM8" i="35"/>
  <c r="AL8" i="35"/>
  <c r="AK8" i="35"/>
  <c r="AJ8" i="35"/>
  <c r="AI8" i="35"/>
  <c r="AH8" i="35"/>
  <c r="AG8" i="35"/>
  <c r="AF8" i="35"/>
  <c r="AE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J8" i="35"/>
  <c r="I8" i="35"/>
  <c r="H8" i="35"/>
  <c r="G8" i="35"/>
  <c r="E8" i="35"/>
  <c r="D8" i="35"/>
  <c r="CC7" i="35"/>
  <c r="CB7" i="35"/>
  <c r="CA7" i="35"/>
  <c r="BZ7" i="35"/>
  <c r="BY7" i="35"/>
  <c r="BX7" i="35"/>
  <c r="BW7" i="35"/>
  <c r="BV7" i="35"/>
  <c r="BU7" i="35"/>
  <c r="BT7" i="35"/>
  <c r="BS7" i="35"/>
  <c r="BR7" i="35"/>
  <c r="BQ7" i="35"/>
  <c r="BP7" i="35"/>
  <c r="BO7" i="35"/>
  <c r="BN7" i="35"/>
  <c r="BM7" i="35"/>
  <c r="BL7" i="35"/>
  <c r="BK7" i="35"/>
  <c r="BJ7" i="35"/>
  <c r="BI7" i="35"/>
  <c r="BH7" i="35"/>
  <c r="BG7" i="35"/>
  <c r="BF7" i="35"/>
  <c r="BE7" i="35"/>
  <c r="BD7" i="35"/>
  <c r="BC7" i="35"/>
  <c r="BB7" i="35"/>
  <c r="BA7" i="35"/>
  <c r="AZ7" i="35"/>
  <c r="AY7" i="35"/>
  <c r="AX7" i="35"/>
  <c r="AW7" i="35"/>
  <c r="AV7" i="35"/>
  <c r="AU7" i="35"/>
  <c r="AT7" i="35"/>
  <c r="AS7" i="35"/>
  <c r="AR7" i="35"/>
  <c r="AQ7" i="35"/>
  <c r="AP7" i="35"/>
  <c r="AO7" i="35"/>
  <c r="AN7" i="35"/>
  <c r="AM7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J7" i="35"/>
  <c r="I7" i="35"/>
  <c r="H7" i="35"/>
  <c r="G7" i="35"/>
  <c r="E7" i="35"/>
  <c r="CC6" i="35"/>
  <c r="CB6" i="35"/>
  <c r="CA6" i="35"/>
  <c r="BZ6" i="35"/>
  <c r="BY6" i="35"/>
  <c r="BX6" i="35"/>
  <c r="BW6" i="35"/>
  <c r="BV6" i="35"/>
  <c r="BU6" i="35"/>
  <c r="BT6" i="35"/>
  <c r="BS6" i="35"/>
  <c r="BR6" i="35"/>
  <c r="BQ6" i="35"/>
  <c r="BP6" i="35"/>
  <c r="BO6" i="35"/>
  <c r="BN6" i="35"/>
  <c r="BM6" i="35"/>
  <c r="BL6" i="35"/>
  <c r="BK6" i="35"/>
  <c r="BJ6" i="35"/>
  <c r="BI6" i="35"/>
  <c r="BH6" i="35"/>
  <c r="BG6" i="35"/>
  <c r="BF6" i="35"/>
  <c r="BE6" i="35"/>
  <c r="BD6" i="35"/>
  <c r="BC6" i="35"/>
  <c r="BB6" i="35"/>
  <c r="BA6" i="35"/>
  <c r="AZ6" i="35"/>
  <c r="AY6" i="35"/>
  <c r="AX6" i="35"/>
  <c r="AW6" i="35"/>
  <c r="AV6" i="35"/>
  <c r="AU6" i="35"/>
  <c r="AT6" i="35"/>
  <c r="AS6" i="35"/>
  <c r="AR6" i="35"/>
  <c r="AQ6" i="35"/>
  <c r="AP6" i="35"/>
  <c r="AO6" i="35"/>
  <c r="AN6" i="35"/>
  <c r="AM6" i="35"/>
  <c r="AL6" i="35"/>
  <c r="AK6" i="35"/>
  <c r="AJ6" i="35"/>
  <c r="AI6" i="35"/>
  <c r="AH6" i="35"/>
  <c r="AG6" i="35"/>
  <c r="AF6" i="35"/>
  <c r="AE6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J6" i="35"/>
  <c r="I6" i="35"/>
  <c r="H6" i="35"/>
  <c r="G6" i="35"/>
  <c r="E6" i="35"/>
  <c r="D6" i="35"/>
  <c r="C2" i="35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F6" i="8"/>
  <c r="D6" i="8"/>
  <c r="BY45" i="33"/>
  <c r="BY45" i="38" s="1"/>
  <c r="BQ45" i="33"/>
  <c r="BQ46" i="33" s="1"/>
  <c r="BQ46" i="38" s="1"/>
  <c r="BI45" i="33"/>
  <c r="BA45" i="33"/>
  <c r="BA45" i="38" s="1"/>
  <c r="AS45" i="33"/>
  <c r="AS45" i="38" s="1"/>
  <c r="AK45" i="33"/>
  <c r="AK45" i="38" s="1"/>
  <c r="AC45" i="33"/>
  <c r="AC45" i="38" s="1"/>
  <c r="U45" i="33"/>
  <c r="U45" i="38" s="1"/>
  <c r="M45" i="33"/>
  <c r="M45" i="38" s="1"/>
  <c r="G38" i="33"/>
  <c r="G38" i="38" s="1"/>
  <c r="G73" i="38" s="1"/>
  <c r="E38" i="33"/>
  <c r="G37" i="33"/>
  <c r="G37" i="38" s="1"/>
  <c r="G72" i="38" s="1"/>
  <c r="G36" i="33"/>
  <c r="G36" i="38" s="1"/>
  <c r="G71" i="38" s="1"/>
  <c r="BU34" i="33"/>
  <c r="BT34" i="33"/>
  <c r="BM34" i="33"/>
  <c r="BL34" i="33"/>
  <c r="BL34" i="38" s="1"/>
  <c r="BE34" i="33"/>
  <c r="BD34" i="33"/>
  <c r="AW34" i="33"/>
  <c r="AV34" i="33"/>
  <c r="AO34" i="33"/>
  <c r="AN34" i="33"/>
  <c r="AG34" i="33"/>
  <c r="AF34" i="33"/>
  <c r="AF34" i="38" s="1"/>
  <c r="AF69" i="38" s="1"/>
  <c r="Y34" i="33"/>
  <c r="X34" i="33"/>
  <c r="Q34" i="33"/>
  <c r="P34" i="33"/>
  <c r="I34" i="33"/>
  <c r="H34" i="33"/>
  <c r="H34" i="38" s="1"/>
  <c r="H69" i="38" s="1"/>
  <c r="G34" i="33"/>
  <c r="G34" i="38" s="1"/>
  <c r="G69" i="38" s="1"/>
  <c r="F34" i="33"/>
  <c r="F34" i="38" s="1"/>
  <c r="F69" i="38" s="1"/>
  <c r="E34" i="33"/>
  <c r="E34" i="38" s="1"/>
  <c r="E69" i="38" s="1"/>
  <c r="D34" i="33"/>
  <c r="D34" i="38" s="1"/>
  <c r="D69" i="38" s="1"/>
  <c r="BU33" i="33"/>
  <c r="BT33" i="33"/>
  <c r="BT33" i="38" s="1"/>
  <c r="BM33" i="33"/>
  <c r="BL33" i="33"/>
  <c r="BL33" i="38" s="1"/>
  <c r="BE33" i="33"/>
  <c r="BD33" i="33"/>
  <c r="BD33" i="38" s="1"/>
  <c r="AW33" i="33"/>
  <c r="AV33" i="33"/>
  <c r="AY33" i="33" s="1"/>
  <c r="AY33" i="38" s="1"/>
  <c r="AY68" i="38" s="1"/>
  <c r="AO33" i="33"/>
  <c r="AN33" i="33"/>
  <c r="AN33" i="38" s="1"/>
  <c r="AG33" i="33"/>
  <c r="AF33" i="33"/>
  <c r="Y33" i="33"/>
  <c r="X33" i="33"/>
  <c r="AA33" i="33" s="1"/>
  <c r="AA33" i="38" s="1"/>
  <c r="AA68" i="38" s="1"/>
  <c r="Q33" i="33"/>
  <c r="P33" i="33"/>
  <c r="I33" i="33"/>
  <c r="H33" i="33"/>
  <c r="H33" i="38" s="1"/>
  <c r="G33" i="33"/>
  <c r="G33" i="38" s="1"/>
  <c r="G68" i="38" s="1"/>
  <c r="F33" i="33"/>
  <c r="F33" i="38" s="1"/>
  <c r="F68" i="38" s="1"/>
  <c r="E33" i="33"/>
  <c r="E33" i="38" s="1"/>
  <c r="E68" i="38" s="1"/>
  <c r="D33" i="33"/>
  <c r="D33" i="38" s="1"/>
  <c r="D68" i="38" s="1"/>
  <c r="BU32" i="33"/>
  <c r="BT32" i="33"/>
  <c r="BM32" i="33"/>
  <c r="BL32" i="33"/>
  <c r="BE32" i="33"/>
  <c r="BD32" i="33"/>
  <c r="BG32" i="33" s="1"/>
  <c r="BG32" i="38" s="1"/>
  <c r="BG67" i="38" s="1"/>
  <c r="AW32" i="33"/>
  <c r="AV32" i="33"/>
  <c r="AO32" i="33"/>
  <c r="AN32" i="33"/>
  <c r="AQ32" i="33" s="1"/>
  <c r="AQ32" i="38" s="1"/>
  <c r="AQ67" i="38" s="1"/>
  <c r="AG32" i="33"/>
  <c r="AF32" i="33"/>
  <c r="Y32" i="33"/>
  <c r="X32" i="33"/>
  <c r="X32" i="38" s="1"/>
  <c r="Q32" i="33"/>
  <c r="P32" i="33"/>
  <c r="I32" i="33"/>
  <c r="H32" i="33"/>
  <c r="H32" i="38" s="1"/>
  <c r="G32" i="33"/>
  <c r="G32" i="38" s="1"/>
  <c r="G67" i="38" s="1"/>
  <c r="F32" i="33"/>
  <c r="F32" i="38" s="1"/>
  <c r="F67" i="38" s="1"/>
  <c r="E32" i="33"/>
  <c r="E32" i="38" s="1"/>
  <c r="E67" i="38" s="1"/>
  <c r="D32" i="33"/>
  <c r="D32" i="38" s="1"/>
  <c r="D67" i="38" s="1"/>
  <c r="BU31" i="33"/>
  <c r="BT31" i="33"/>
  <c r="BT31" i="38" s="1"/>
  <c r="BM31" i="33"/>
  <c r="BL31" i="33"/>
  <c r="BL31" i="38" s="1"/>
  <c r="BL66" i="38" s="1"/>
  <c r="BE31" i="33"/>
  <c r="BD31" i="33"/>
  <c r="AW31" i="33"/>
  <c r="AV31" i="33"/>
  <c r="AY31" i="33" s="1"/>
  <c r="AY31" i="38" s="1"/>
  <c r="AY66" i="38" s="1"/>
  <c r="AO31" i="33"/>
  <c r="AN31" i="33"/>
  <c r="AG31" i="33"/>
  <c r="AF31" i="33"/>
  <c r="AF31" i="38" s="1"/>
  <c r="AF66" i="38" s="1"/>
  <c r="Y31" i="33"/>
  <c r="X31" i="33"/>
  <c r="X31" i="38" s="1"/>
  <c r="Q31" i="33"/>
  <c r="P31" i="33"/>
  <c r="P31" i="38" s="1"/>
  <c r="P66" i="38" s="1"/>
  <c r="I31" i="33"/>
  <c r="H31" i="33"/>
  <c r="H31" i="38" s="1"/>
  <c r="H66" i="38" s="1"/>
  <c r="G31" i="33"/>
  <c r="G31" i="38" s="1"/>
  <c r="G66" i="38" s="1"/>
  <c r="F31" i="33"/>
  <c r="F31" i="38" s="1"/>
  <c r="F66" i="38" s="1"/>
  <c r="E31" i="33"/>
  <c r="E31" i="38" s="1"/>
  <c r="E66" i="38" s="1"/>
  <c r="D31" i="33"/>
  <c r="D31" i="38" s="1"/>
  <c r="D66" i="38" s="1"/>
  <c r="BU30" i="33"/>
  <c r="BT30" i="33"/>
  <c r="BT30" i="38" s="1"/>
  <c r="BT65" i="38" s="1"/>
  <c r="BM30" i="33"/>
  <c r="BL30" i="33"/>
  <c r="BO30" i="33" s="1"/>
  <c r="BO30" i="38" s="1"/>
  <c r="BO65" i="38" s="1"/>
  <c r="BE30" i="33"/>
  <c r="BD30" i="33"/>
  <c r="BG30" i="33" s="1"/>
  <c r="BG30" i="38" s="1"/>
  <c r="BG65" i="38" s="1"/>
  <c r="AW30" i="33"/>
  <c r="AV30" i="33"/>
  <c r="AY30" i="33" s="1"/>
  <c r="AY30" i="38" s="1"/>
  <c r="AY65" i="38" s="1"/>
  <c r="AO30" i="33"/>
  <c r="AN30" i="33"/>
  <c r="AG30" i="33"/>
  <c r="AF30" i="33"/>
  <c r="AF30" i="38" s="1"/>
  <c r="AF65" i="38" s="1"/>
  <c r="Y30" i="33"/>
  <c r="X30" i="33"/>
  <c r="X30" i="38" s="1"/>
  <c r="X65" i="38" s="1"/>
  <c r="Q30" i="33"/>
  <c r="P30" i="33"/>
  <c r="P30" i="38" s="1"/>
  <c r="I30" i="33"/>
  <c r="H30" i="33"/>
  <c r="L30" i="33" s="1"/>
  <c r="G30" i="33"/>
  <c r="G30" i="38" s="1"/>
  <c r="G65" i="38" s="1"/>
  <c r="F30" i="33"/>
  <c r="F30" i="38" s="1"/>
  <c r="F65" i="38" s="1"/>
  <c r="E30" i="33"/>
  <c r="E30" i="38" s="1"/>
  <c r="E65" i="38" s="1"/>
  <c r="D30" i="33"/>
  <c r="D30" i="38" s="1"/>
  <c r="D65" i="38" s="1"/>
  <c r="BU29" i="33"/>
  <c r="BT29" i="33"/>
  <c r="BM29" i="33"/>
  <c r="BL29" i="33"/>
  <c r="BE29" i="33"/>
  <c r="BD29" i="33"/>
  <c r="AW29" i="33"/>
  <c r="AV29" i="33"/>
  <c r="AY29" i="33" s="1"/>
  <c r="AY29" i="38" s="1"/>
  <c r="AY64" i="38" s="1"/>
  <c r="AO29" i="33"/>
  <c r="AN29" i="33"/>
  <c r="AG29" i="33"/>
  <c r="AF29" i="33"/>
  <c r="Y29" i="33"/>
  <c r="X29" i="33"/>
  <c r="Q29" i="33"/>
  <c r="P29" i="33"/>
  <c r="P29" i="38" s="1"/>
  <c r="I29" i="33"/>
  <c r="H29" i="33"/>
  <c r="H29" i="38" s="1"/>
  <c r="G29" i="33"/>
  <c r="G29" i="38" s="1"/>
  <c r="G64" i="38" s="1"/>
  <c r="F29" i="33"/>
  <c r="F29" i="38" s="1"/>
  <c r="F64" i="38" s="1"/>
  <c r="E29" i="33"/>
  <c r="E29" i="38" s="1"/>
  <c r="E64" i="38" s="1"/>
  <c r="D29" i="33"/>
  <c r="D29" i="38" s="1"/>
  <c r="D64" i="38" s="1"/>
  <c r="BU28" i="33"/>
  <c r="BT28" i="33"/>
  <c r="BW28" i="33" s="1"/>
  <c r="BM28" i="33"/>
  <c r="BL28" i="33"/>
  <c r="BE28" i="33"/>
  <c r="BD28" i="33"/>
  <c r="BG28" i="33" s="1"/>
  <c r="BG28" i="38" s="1"/>
  <c r="BG63" i="38" s="1"/>
  <c r="AW28" i="33"/>
  <c r="AV28" i="33"/>
  <c r="AV28" i="38" s="1"/>
  <c r="AV63" i="38" s="1"/>
  <c r="AO28" i="33"/>
  <c r="AN28" i="33"/>
  <c r="AQ28" i="33" s="1"/>
  <c r="AQ28" i="38" s="1"/>
  <c r="AQ63" i="38" s="1"/>
  <c r="AG28" i="33"/>
  <c r="AF28" i="33"/>
  <c r="AF28" i="38" s="1"/>
  <c r="Y28" i="33"/>
  <c r="X28" i="33"/>
  <c r="Q28" i="33"/>
  <c r="P28" i="33"/>
  <c r="P28" i="38" s="1"/>
  <c r="I28" i="33"/>
  <c r="H28" i="33"/>
  <c r="G28" i="33"/>
  <c r="G28" i="38" s="1"/>
  <c r="G63" i="38" s="1"/>
  <c r="F28" i="33"/>
  <c r="F28" i="38" s="1"/>
  <c r="F63" i="38" s="1"/>
  <c r="E28" i="33"/>
  <c r="E28" i="38" s="1"/>
  <c r="E63" i="38" s="1"/>
  <c r="D28" i="33"/>
  <c r="D28" i="38" s="1"/>
  <c r="D63" i="38" s="1"/>
  <c r="BU27" i="33"/>
  <c r="BT27" i="33"/>
  <c r="BT27" i="38" s="1"/>
  <c r="BT62" i="38" s="1"/>
  <c r="BM27" i="33"/>
  <c r="BL27" i="33"/>
  <c r="BL27" i="38" s="1"/>
  <c r="BE27" i="33"/>
  <c r="BD27" i="33"/>
  <c r="BD27" i="38" s="1"/>
  <c r="AW27" i="33"/>
  <c r="AV27" i="33"/>
  <c r="AO27" i="33"/>
  <c r="AN27" i="33"/>
  <c r="AN27" i="38" s="1"/>
  <c r="AG27" i="33"/>
  <c r="AF27" i="33"/>
  <c r="AF27" i="38" s="1"/>
  <c r="AF62" i="38" s="1"/>
  <c r="Y27" i="33"/>
  <c r="X27" i="33"/>
  <c r="Q27" i="33"/>
  <c r="P27" i="33"/>
  <c r="P27" i="38" s="1"/>
  <c r="I27" i="33"/>
  <c r="H27" i="33"/>
  <c r="G27" i="33"/>
  <c r="G27" i="38" s="1"/>
  <c r="G62" i="38" s="1"/>
  <c r="F27" i="33"/>
  <c r="F27" i="38" s="1"/>
  <c r="F62" i="38" s="1"/>
  <c r="E27" i="33"/>
  <c r="E27" i="38" s="1"/>
  <c r="E62" i="38" s="1"/>
  <c r="D27" i="33"/>
  <c r="D27" i="38" s="1"/>
  <c r="D62" i="38" s="1"/>
  <c r="BU26" i="33"/>
  <c r="BT26" i="33"/>
  <c r="BT26" i="38" s="1"/>
  <c r="BM26" i="33"/>
  <c r="BL26" i="33"/>
  <c r="BE26" i="33"/>
  <c r="BD26" i="33"/>
  <c r="BD26" i="38" s="1"/>
  <c r="AW26" i="33"/>
  <c r="AV26" i="33"/>
  <c r="AO26" i="33"/>
  <c r="AN26" i="33"/>
  <c r="AN26" i="38" s="1"/>
  <c r="AN61" i="38" s="1"/>
  <c r="AG26" i="33"/>
  <c r="AF26" i="33"/>
  <c r="AF26" i="38" s="1"/>
  <c r="AF61" i="38" s="1"/>
  <c r="Y26" i="33"/>
  <c r="X26" i="33"/>
  <c r="Q26" i="33"/>
  <c r="P26" i="33"/>
  <c r="S26" i="33" s="1"/>
  <c r="S26" i="38" s="1"/>
  <c r="S61" i="38" s="1"/>
  <c r="I26" i="33"/>
  <c r="H26" i="33"/>
  <c r="H26" i="38" s="1"/>
  <c r="G26" i="33"/>
  <c r="G26" i="38" s="1"/>
  <c r="G61" i="38" s="1"/>
  <c r="F26" i="33"/>
  <c r="F26" i="38" s="1"/>
  <c r="F61" i="38" s="1"/>
  <c r="E26" i="33"/>
  <c r="E26" i="38" s="1"/>
  <c r="E61" i="38" s="1"/>
  <c r="D26" i="33"/>
  <c r="D26" i="38" s="1"/>
  <c r="D61" i="38" s="1"/>
  <c r="BU25" i="33"/>
  <c r="BT25" i="33"/>
  <c r="BM25" i="33"/>
  <c r="BL25" i="33"/>
  <c r="BL25" i="38" s="1"/>
  <c r="BE25" i="33"/>
  <c r="BD25" i="33"/>
  <c r="AW25" i="33"/>
  <c r="AV25" i="33"/>
  <c r="AV25" i="38" s="1"/>
  <c r="AV60" i="38" s="1"/>
  <c r="AO25" i="33"/>
  <c r="AN25" i="33"/>
  <c r="AN25" i="38" s="1"/>
  <c r="AG25" i="33"/>
  <c r="AF25" i="33"/>
  <c r="AF25" i="38" s="1"/>
  <c r="AF60" i="38" s="1"/>
  <c r="Y25" i="33"/>
  <c r="X25" i="33"/>
  <c r="X25" i="38" s="1"/>
  <c r="Q25" i="33"/>
  <c r="P25" i="33"/>
  <c r="P25" i="38" s="1"/>
  <c r="P60" i="38" s="1"/>
  <c r="I25" i="33"/>
  <c r="H25" i="33"/>
  <c r="H25" i="38" s="1"/>
  <c r="G25" i="33"/>
  <c r="G25" i="38" s="1"/>
  <c r="G60" i="38" s="1"/>
  <c r="F25" i="33"/>
  <c r="F25" i="38" s="1"/>
  <c r="F60" i="38" s="1"/>
  <c r="E25" i="33"/>
  <c r="E25" i="38" s="1"/>
  <c r="E60" i="38" s="1"/>
  <c r="D25" i="33"/>
  <c r="D25" i="38" s="1"/>
  <c r="D60" i="38" s="1"/>
  <c r="BU24" i="33"/>
  <c r="BT24" i="33"/>
  <c r="BM24" i="33"/>
  <c r="BL24" i="33"/>
  <c r="BE24" i="33"/>
  <c r="BD24" i="33"/>
  <c r="AW24" i="33"/>
  <c r="AV24" i="33"/>
  <c r="AV24" i="38" s="1"/>
  <c r="AO24" i="33"/>
  <c r="AN24" i="33"/>
  <c r="AG24" i="33"/>
  <c r="AF24" i="33"/>
  <c r="AF24" i="38" s="1"/>
  <c r="AF59" i="38" s="1"/>
  <c r="Y24" i="33"/>
  <c r="X24" i="33"/>
  <c r="AA24" i="33" s="1"/>
  <c r="AA24" i="38" s="1"/>
  <c r="AA59" i="38" s="1"/>
  <c r="Q24" i="33"/>
  <c r="P24" i="33"/>
  <c r="P24" i="38" s="1"/>
  <c r="P59" i="38" s="1"/>
  <c r="I24" i="33"/>
  <c r="H24" i="33"/>
  <c r="L24" i="33" s="1"/>
  <c r="G24" i="33"/>
  <c r="G24" i="38" s="1"/>
  <c r="G59" i="38" s="1"/>
  <c r="F24" i="33"/>
  <c r="F24" i="38" s="1"/>
  <c r="F59" i="38" s="1"/>
  <c r="E24" i="33"/>
  <c r="E24" i="38" s="1"/>
  <c r="E59" i="38" s="1"/>
  <c r="D24" i="33"/>
  <c r="D24" i="38" s="1"/>
  <c r="D59" i="38" s="1"/>
  <c r="BU23" i="33"/>
  <c r="BT23" i="33"/>
  <c r="BT23" i="38" s="1"/>
  <c r="BM23" i="33"/>
  <c r="BL23" i="33"/>
  <c r="BO23" i="33" s="1"/>
  <c r="BO23" i="38" s="1"/>
  <c r="BO58" i="38" s="1"/>
  <c r="BE23" i="33"/>
  <c r="BD23" i="33"/>
  <c r="BG23" i="33" s="1"/>
  <c r="BG23" i="38" s="1"/>
  <c r="BG58" i="38" s="1"/>
  <c r="AW23" i="33"/>
  <c r="AV23" i="33"/>
  <c r="AV23" i="38" s="1"/>
  <c r="AO23" i="33"/>
  <c r="AN23" i="33"/>
  <c r="AQ23" i="33" s="1"/>
  <c r="AQ23" i="38" s="1"/>
  <c r="AQ58" i="38" s="1"/>
  <c r="AG23" i="33"/>
  <c r="AF23" i="33"/>
  <c r="AI23" i="33" s="1"/>
  <c r="AI23" i="38" s="1"/>
  <c r="AI58" i="38" s="1"/>
  <c r="Y23" i="33"/>
  <c r="X23" i="33"/>
  <c r="AA23" i="33" s="1"/>
  <c r="AA23" i="38" s="1"/>
  <c r="AA58" i="38" s="1"/>
  <c r="Q23" i="33"/>
  <c r="P23" i="33"/>
  <c r="I23" i="33"/>
  <c r="H23" i="33"/>
  <c r="H23" i="38" s="1"/>
  <c r="G23" i="33"/>
  <c r="G23" i="38" s="1"/>
  <c r="G58" i="38" s="1"/>
  <c r="F23" i="33"/>
  <c r="F23" i="38" s="1"/>
  <c r="F58" i="38" s="1"/>
  <c r="E23" i="33"/>
  <c r="D23" i="33"/>
  <c r="D23" i="38" s="1"/>
  <c r="D58" i="38" s="1"/>
  <c r="BU22" i="33"/>
  <c r="BT22" i="33"/>
  <c r="BT22" i="38" s="1"/>
  <c r="BT57" i="38" s="1"/>
  <c r="BM22" i="33"/>
  <c r="BL22" i="33"/>
  <c r="BO22" i="33" s="1"/>
  <c r="BO22" i="38" s="1"/>
  <c r="BO57" i="38" s="1"/>
  <c r="BE22" i="33"/>
  <c r="BD22" i="33"/>
  <c r="BD22" i="38" s="1"/>
  <c r="BD57" i="38" s="1"/>
  <c r="AW22" i="33"/>
  <c r="AV22" i="33"/>
  <c r="AO22" i="33"/>
  <c r="AN22" i="33"/>
  <c r="AN22" i="38" s="1"/>
  <c r="AG22" i="33"/>
  <c r="AF22" i="33"/>
  <c r="AF22" i="38" s="1"/>
  <c r="Y22" i="33"/>
  <c r="X22" i="33"/>
  <c r="AA22" i="33" s="1"/>
  <c r="AA22" i="38" s="1"/>
  <c r="AA57" i="38" s="1"/>
  <c r="Q22" i="33"/>
  <c r="P22" i="33"/>
  <c r="P22" i="38" s="1"/>
  <c r="P57" i="38" s="1"/>
  <c r="I22" i="33"/>
  <c r="H22" i="33"/>
  <c r="H22" i="38" s="1"/>
  <c r="H57" i="38" s="1"/>
  <c r="G22" i="33"/>
  <c r="G22" i="38" s="1"/>
  <c r="G57" i="38" s="1"/>
  <c r="F22" i="33"/>
  <c r="F22" i="38" s="1"/>
  <c r="F57" i="38" s="1"/>
  <c r="E22" i="33"/>
  <c r="E22" i="38" s="1"/>
  <c r="E57" i="38" s="1"/>
  <c r="D22" i="33"/>
  <c r="D22" i="38" s="1"/>
  <c r="D57" i="38" s="1"/>
  <c r="BU21" i="33"/>
  <c r="BT21" i="33"/>
  <c r="BM21" i="33"/>
  <c r="BL21" i="33"/>
  <c r="BL21" i="38" s="1"/>
  <c r="BE21" i="33"/>
  <c r="BD21" i="33"/>
  <c r="BD21" i="38" s="1"/>
  <c r="BD56" i="38" s="1"/>
  <c r="AW21" i="33"/>
  <c r="AV21" i="33"/>
  <c r="AO21" i="33"/>
  <c r="AN21" i="33"/>
  <c r="AG21" i="33"/>
  <c r="AF21" i="33"/>
  <c r="Y21" i="33"/>
  <c r="X21" i="33"/>
  <c r="X21" i="38" s="1"/>
  <c r="X56" i="38" s="1"/>
  <c r="Q21" i="33"/>
  <c r="P21" i="33"/>
  <c r="S21" i="33" s="1"/>
  <c r="S21" i="38" s="1"/>
  <c r="S56" i="38" s="1"/>
  <c r="I21" i="33"/>
  <c r="H21" i="33"/>
  <c r="H21" i="38" s="1"/>
  <c r="G21" i="33"/>
  <c r="G21" i="38" s="1"/>
  <c r="G56" i="38" s="1"/>
  <c r="F21" i="33"/>
  <c r="F21" i="38" s="1"/>
  <c r="F56" i="38" s="1"/>
  <c r="E21" i="33"/>
  <c r="E21" i="38" s="1"/>
  <c r="E56" i="38" s="1"/>
  <c r="D21" i="33"/>
  <c r="D21" i="38" s="1"/>
  <c r="D56" i="38" s="1"/>
  <c r="BU20" i="33"/>
  <c r="BT20" i="33"/>
  <c r="BM20" i="33"/>
  <c r="BL20" i="33"/>
  <c r="BE20" i="33"/>
  <c r="BD20" i="33"/>
  <c r="BG20" i="33" s="1"/>
  <c r="BG20" i="38" s="1"/>
  <c r="BG55" i="38" s="1"/>
  <c r="AW20" i="33"/>
  <c r="AV20" i="33"/>
  <c r="AV20" i="38" s="1"/>
  <c r="AO20" i="33"/>
  <c r="AN20" i="33"/>
  <c r="AN20" i="38" s="1"/>
  <c r="AG20" i="33"/>
  <c r="AF20" i="33"/>
  <c r="Y20" i="33"/>
  <c r="X20" i="33"/>
  <c r="X20" i="38" s="1"/>
  <c r="Q20" i="33"/>
  <c r="P20" i="33"/>
  <c r="I20" i="33"/>
  <c r="H20" i="33"/>
  <c r="L20" i="33" s="1"/>
  <c r="G20" i="33"/>
  <c r="F20" i="33"/>
  <c r="E20" i="33"/>
  <c r="E20" i="38" s="1"/>
  <c r="E55" i="38" s="1"/>
  <c r="BT18" i="33"/>
  <c r="BT18" i="38" s="1"/>
  <c r="BT53" i="38" s="1"/>
  <c r="BV86" i="38" s="1"/>
  <c r="BL18" i="33"/>
  <c r="BL18" i="38" s="1"/>
  <c r="BL53" i="38" s="1"/>
  <c r="BN86" i="38" s="1"/>
  <c r="BD18" i="33"/>
  <c r="BD18" i="38" s="1"/>
  <c r="BD53" i="38" s="1"/>
  <c r="BF86" i="38" s="1"/>
  <c r="AV18" i="33"/>
  <c r="AV18" i="38" s="1"/>
  <c r="AV53" i="38" s="1"/>
  <c r="AN18" i="33"/>
  <c r="AN18" i="38" s="1"/>
  <c r="AN53" i="38" s="1"/>
  <c r="AF18" i="33"/>
  <c r="AF18" i="38" s="1"/>
  <c r="AF53" i="38" s="1"/>
  <c r="X18" i="33"/>
  <c r="X18" i="38" s="1"/>
  <c r="X53" i="38" s="1"/>
  <c r="P18" i="33"/>
  <c r="P18" i="38" s="1"/>
  <c r="P53" i="38" s="1"/>
  <c r="H18" i="33"/>
  <c r="H18" i="38" s="1"/>
  <c r="H53" i="38" s="1"/>
  <c r="J81" i="38" s="1"/>
  <c r="BT17" i="33"/>
  <c r="BT17" i="38" s="1"/>
  <c r="BT52" i="38" s="1"/>
  <c r="BL17" i="33"/>
  <c r="BL17" i="38" s="1"/>
  <c r="BL52" i="38" s="1"/>
  <c r="BD17" i="33"/>
  <c r="BD17" i="38" s="1"/>
  <c r="BD52" i="38" s="1"/>
  <c r="AV17" i="33"/>
  <c r="AV17" i="38" s="1"/>
  <c r="AV52" i="38" s="1"/>
  <c r="AN17" i="33"/>
  <c r="AN17" i="38" s="1"/>
  <c r="AN52" i="38" s="1"/>
  <c r="AF17" i="33"/>
  <c r="AF17" i="38" s="1"/>
  <c r="AF52" i="38" s="1"/>
  <c r="X17" i="33"/>
  <c r="X17" i="38" s="1"/>
  <c r="X52" i="38" s="1"/>
  <c r="P17" i="33"/>
  <c r="P17" i="38" s="1"/>
  <c r="P52" i="38" s="1"/>
  <c r="H17" i="33"/>
  <c r="H17" i="38" s="1"/>
  <c r="H52" i="38" s="1"/>
  <c r="BT14" i="33"/>
  <c r="BL14" i="33"/>
  <c r="BD14" i="33"/>
  <c r="AV14" i="33"/>
  <c r="AV14" i="38" s="1"/>
  <c r="AN14" i="33"/>
  <c r="AF14" i="33"/>
  <c r="X14" i="33"/>
  <c r="P14" i="33"/>
  <c r="H14" i="33"/>
  <c r="BT13" i="33"/>
  <c r="BT43" i="33" s="1"/>
  <c r="BT43" i="38" s="1"/>
  <c r="BL13" i="33"/>
  <c r="BL41" i="33" s="1"/>
  <c r="BL41" i="38" s="1"/>
  <c r="BL76" i="38" s="1"/>
  <c r="BD13" i="33"/>
  <c r="BD41" i="33" s="1"/>
  <c r="BD41" i="38" s="1"/>
  <c r="BD76" i="38" s="1"/>
  <c r="AV13" i="33"/>
  <c r="AY15" i="33" s="1"/>
  <c r="AY15" i="38" s="1"/>
  <c r="AY50" i="38" s="1"/>
  <c r="AN13" i="33"/>
  <c r="K10" i="33" s="1"/>
  <c r="AF13" i="33"/>
  <c r="X13" i="33"/>
  <c r="P13" i="33"/>
  <c r="H13" i="33"/>
  <c r="E9" i="33"/>
  <c r="E9" i="38" s="1"/>
  <c r="D9" i="33"/>
  <c r="D9" i="38" s="1"/>
  <c r="E8" i="33"/>
  <c r="E8" i="38" s="1"/>
  <c r="E7" i="33"/>
  <c r="E7" i="38" s="1"/>
  <c r="D7" i="33"/>
  <c r="D7" i="38" s="1"/>
  <c r="C3" i="33"/>
  <c r="C2" i="33"/>
  <c r="D64" i="4"/>
  <c r="BT58" i="4"/>
  <c r="BT43" i="35" s="1"/>
  <c r="BL58" i="4"/>
  <c r="BL43" i="35" s="1"/>
  <c r="BD58" i="4"/>
  <c r="BD43" i="35" s="1"/>
  <c r="AV58" i="4"/>
  <c r="AV43" i="35" s="1"/>
  <c r="AN58" i="4"/>
  <c r="AN43" i="35" s="1"/>
  <c r="AF58" i="4"/>
  <c r="AF43" i="35" s="1"/>
  <c r="X58" i="4"/>
  <c r="X43" i="35" s="1"/>
  <c r="P58" i="4"/>
  <c r="P43" i="35" s="1"/>
  <c r="H58" i="4"/>
  <c r="H43" i="35" s="1"/>
  <c r="BT56" i="4"/>
  <c r="BT41" i="35" s="1"/>
  <c r="BT76" i="35" s="1"/>
  <c r="BL56" i="4"/>
  <c r="BL41" i="35" s="1"/>
  <c r="BL76" i="35" s="1"/>
  <c r="BD56" i="4"/>
  <c r="BD41" i="35" s="1"/>
  <c r="BD76" i="35" s="1"/>
  <c r="AV56" i="4"/>
  <c r="AV41" i="35" s="1"/>
  <c r="AV76" i="35" s="1"/>
  <c r="AN56" i="4"/>
  <c r="AN41" i="35" s="1"/>
  <c r="AN76" i="35" s="1"/>
  <c r="AF56" i="4"/>
  <c r="AF41" i="35" s="1"/>
  <c r="AF76" i="35" s="1"/>
  <c r="X56" i="4"/>
  <c r="X41" i="35" s="1"/>
  <c r="X76" i="35" s="1"/>
  <c r="P56" i="4"/>
  <c r="P41" i="35" s="1"/>
  <c r="P76" i="35" s="1"/>
  <c r="BU55" i="4"/>
  <c r="BT55" i="4"/>
  <c r="BT40" i="35" s="1"/>
  <c r="BM55" i="4"/>
  <c r="BM40" i="35" s="1"/>
  <c r="BL55" i="4"/>
  <c r="BL40" i="35" s="1"/>
  <c r="BE55" i="4"/>
  <c r="BD55" i="4"/>
  <c r="BD40" i="35" s="1"/>
  <c r="AW55" i="4"/>
  <c r="AW40" i="35" s="1"/>
  <c r="AV55" i="4"/>
  <c r="AV40" i="35" s="1"/>
  <c r="AO55" i="4"/>
  <c r="AO40" i="35" s="1"/>
  <c r="AN55" i="4"/>
  <c r="AN40" i="35" s="1"/>
  <c r="AG55" i="4"/>
  <c r="AG40" i="35" s="1"/>
  <c r="AF55" i="4"/>
  <c r="AF40" i="35" s="1"/>
  <c r="Y55" i="4"/>
  <c r="Y40" i="35" s="1"/>
  <c r="X55" i="4"/>
  <c r="X40" i="35" s="1"/>
  <c r="Q55" i="4"/>
  <c r="Q40" i="35" s="1"/>
  <c r="P55" i="4"/>
  <c r="P40" i="35" s="1"/>
  <c r="I55" i="4"/>
  <c r="H55" i="4"/>
  <c r="H40" i="35" s="1"/>
  <c r="G55" i="4"/>
  <c r="G40" i="35" s="1"/>
  <c r="F55" i="4"/>
  <c r="F40" i="35" s="1"/>
  <c r="E55" i="4"/>
  <c r="BY53" i="4"/>
  <c r="BY38" i="35" s="1"/>
  <c r="BY73" i="35" s="1"/>
  <c r="BQ53" i="4"/>
  <c r="BQ38" i="35" s="1"/>
  <c r="BQ73" i="35" s="1"/>
  <c r="BI53" i="4"/>
  <c r="BA53" i="4"/>
  <c r="BA38" i="35" s="1"/>
  <c r="BA73" i="35" s="1"/>
  <c r="AS53" i="4"/>
  <c r="AS38" i="35" s="1"/>
  <c r="AS73" i="35" s="1"/>
  <c r="AK53" i="4"/>
  <c r="AK38" i="35" s="1"/>
  <c r="AK73" i="35" s="1"/>
  <c r="AC53" i="4"/>
  <c r="AC38" i="35" s="1"/>
  <c r="AC73" i="35" s="1"/>
  <c r="U53" i="4"/>
  <c r="U38" i="35" s="1"/>
  <c r="U73" i="35" s="1"/>
  <c r="M53" i="4"/>
  <c r="M38" i="35" s="1"/>
  <c r="M73" i="35" s="1"/>
  <c r="M52" i="4"/>
  <c r="M37" i="35" s="1"/>
  <c r="M72" i="35" s="1"/>
  <c r="M51" i="4"/>
  <c r="BW49" i="4"/>
  <c r="BO49" i="4"/>
  <c r="BO34" i="35" s="1"/>
  <c r="BO69" i="35" s="1"/>
  <c r="BG49" i="4"/>
  <c r="BG34" i="35" s="1"/>
  <c r="BG69" i="35" s="1"/>
  <c r="AY49" i="4"/>
  <c r="AY34" i="35" s="1"/>
  <c r="AY69" i="35" s="1"/>
  <c r="AQ49" i="4"/>
  <c r="AQ34" i="35" s="1"/>
  <c r="AQ69" i="35" s="1"/>
  <c r="AI49" i="4"/>
  <c r="AI34" i="35" s="1"/>
  <c r="AI69" i="35" s="1"/>
  <c r="AA49" i="4"/>
  <c r="AA34" i="35" s="1"/>
  <c r="AA69" i="35" s="1"/>
  <c r="S49" i="4"/>
  <c r="S34" i="35" s="1"/>
  <c r="S69" i="35" s="1"/>
  <c r="M49" i="4"/>
  <c r="M34" i="35" s="1"/>
  <c r="M69" i="35" s="1"/>
  <c r="L49" i="4"/>
  <c r="L34" i="35" s="1"/>
  <c r="L69" i="35" s="1"/>
  <c r="K49" i="4"/>
  <c r="K34" i="35" s="1"/>
  <c r="K69" i="35" s="1"/>
  <c r="BW48" i="4"/>
  <c r="BO48" i="4"/>
  <c r="BO33" i="35" s="1"/>
  <c r="BO68" i="35" s="1"/>
  <c r="BG48" i="4"/>
  <c r="BG33" i="35" s="1"/>
  <c r="BG68" i="35" s="1"/>
  <c r="AY48" i="4"/>
  <c r="AY33" i="35" s="1"/>
  <c r="AY68" i="35" s="1"/>
  <c r="AQ48" i="4"/>
  <c r="AQ33" i="35" s="1"/>
  <c r="AQ68" i="35" s="1"/>
  <c r="AI48" i="4"/>
  <c r="AI33" i="35" s="1"/>
  <c r="AI68" i="35" s="1"/>
  <c r="AA48" i="4"/>
  <c r="AA33" i="35" s="1"/>
  <c r="AA68" i="35" s="1"/>
  <c r="S48" i="4"/>
  <c r="S33" i="35" s="1"/>
  <c r="S68" i="35" s="1"/>
  <c r="M48" i="4"/>
  <c r="U48" i="4" s="1"/>
  <c r="L48" i="4"/>
  <c r="L33" i="35" s="1"/>
  <c r="L68" i="35" s="1"/>
  <c r="K48" i="4"/>
  <c r="K33" i="35" s="1"/>
  <c r="K68" i="35" s="1"/>
  <c r="BW47" i="4"/>
  <c r="BO47" i="4"/>
  <c r="BO32" i="35" s="1"/>
  <c r="BO67" i="35" s="1"/>
  <c r="BG47" i="4"/>
  <c r="BG32" i="35" s="1"/>
  <c r="BG67" i="35" s="1"/>
  <c r="AY47" i="4"/>
  <c r="AY32" i="35" s="1"/>
  <c r="AY67" i="35" s="1"/>
  <c r="AQ47" i="4"/>
  <c r="AQ32" i="35" s="1"/>
  <c r="AQ67" i="35" s="1"/>
  <c r="AI47" i="4"/>
  <c r="AI32" i="35" s="1"/>
  <c r="AI67" i="35" s="1"/>
  <c r="AA47" i="4"/>
  <c r="AA32" i="35" s="1"/>
  <c r="AA67" i="35" s="1"/>
  <c r="S47" i="4"/>
  <c r="S32" i="35" s="1"/>
  <c r="S67" i="35" s="1"/>
  <c r="M47" i="4"/>
  <c r="L47" i="4"/>
  <c r="L32" i="35" s="1"/>
  <c r="L67" i="35" s="1"/>
  <c r="K47" i="4"/>
  <c r="K32" i="35" s="1"/>
  <c r="K67" i="35" s="1"/>
  <c r="BW46" i="4"/>
  <c r="BO46" i="4"/>
  <c r="BO31" i="35" s="1"/>
  <c r="BO66" i="35" s="1"/>
  <c r="BG46" i="4"/>
  <c r="BG31" i="35" s="1"/>
  <c r="BG66" i="35" s="1"/>
  <c r="AY46" i="4"/>
  <c r="AY31" i="35" s="1"/>
  <c r="AY66" i="35" s="1"/>
  <c r="AQ46" i="4"/>
  <c r="AQ31" i="35" s="1"/>
  <c r="AQ66" i="35" s="1"/>
  <c r="AI46" i="4"/>
  <c r="AI31" i="35" s="1"/>
  <c r="AI66" i="35" s="1"/>
  <c r="AA46" i="4"/>
  <c r="AA31" i="35" s="1"/>
  <c r="AA66" i="35" s="1"/>
  <c r="S46" i="4"/>
  <c r="S31" i="35" s="1"/>
  <c r="S66" i="35" s="1"/>
  <c r="M46" i="4"/>
  <c r="M31" i="35" s="1"/>
  <c r="M66" i="35" s="1"/>
  <c r="L46" i="4"/>
  <c r="L31" i="35" s="1"/>
  <c r="L66" i="35" s="1"/>
  <c r="K46" i="4"/>
  <c r="K31" i="35" s="1"/>
  <c r="K66" i="35" s="1"/>
  <c r="BW45" i="4"/>
  <c r="BO45" i="4"/>
  <c r="BO30" i="35" s="1"/>
  <c r="BO65" i="35" s="1"/>
  <c r="BG45" i="4"/>
  <c r="BG30" i="35" s="1"/>
  <c r="BG65" i="35" s="1"/>
  <c r="AY45" i="4"/>
  <c r="AY30" i="35" s="1"/>
  <c r="AY65" i="35" s="1"/>
  <c r="AQ45" i="4"/>
  <c r="AQ30" i="35" s="1"/>
  <c r="AQ65" i="35" s="1"/>
  <c r="AI45" i="4"/>
  <c r="AI30" i="35" s="1"/>
  <c r="AI65" i="35" s="1"/>
  <c r="AA45" i="4"/>
  <c r="AA30" i="35" s="1"/>
  <c r="AA65" i="35" s="1"/>
  <c r="S45" i="4"/>
  <c r="S30" i="35" s="1"/>
  <c r="S65" i="35" s="1"/>
  <c r="M45" i="4"/>
  <c r="M30" i="35" s="1"/>
  <c r="M65" i="35" s="1"/>
  <c r="L45" i="4"/>
  <c r="L30" i="35" s="1"/>
  <c r="L65" i="35" s="1"/>
  <c r="K45" i="4"/>
  <c r="K30" i="35" s="1"/>
  <c r="K65" i="35" s="1"/>
  <c r="BW44" i="4"/>
  <c r="BO44" i="4"/>
  <c r="BO29" i="35" s="1"/>
  <c r="BO64" i="35" s="1"/>
  <c r="BG44" i="4"/>
  <c r="BG29" i="35" s="1"/>
  <c r="BG64" i="35" s="1"/>
  <c r="AY44" i="4"/>
  <c r="AY29" i="35" s="1"/>
  <c r="AY64" i="35" s="1"/>
  <c r="AQ44" i="4"/>
  <c r="AQ29" i="35" s="1"/>
  <c r="AQ64" i="35" s="1"/>
  <c r="AI44" i="4"/>
  <c r="AI29" i="35" s="1"/>
  <c r="AI64" i="35" s="1"/>
  <c r="AA44" i="4"/>
  <c r="AA29" i="35" s="1"/>
  <c r="AA64" i="35" s="1"/>
  <c r="S44" i="4"/>
  <c r="S29" i="35" s="1"/>
  <c r="S64" i="35" s="1"/>
  <c r="M44" i="4"/>
  <c r="M29" i="35" s="1"/>
  <c r="M64" i="35" s="1"/>
  <c r="L44" i="4"/>
  <c r="L29" i="35" s="1"/>
  <c r="L64" i="35" s="1"/>
  <c r="K44" i="4"/>
  <c r="K29" i="35" s="1"/>
  <c r="K64" i="35" s="1"/>
  <c r="BW43" i="4"/>
  <c r="BO43" i="4"/>
  <c r="BO28" i="35" s="1"/>
  <c r="BO63" i="35" s="1"/>
  <c r="BG43" i="4"/>
  <c r="BG28" i="35" s="1"/>
  <c r="BG63" i="35" s="1"/>
  <c r="AY43" i="4"/>
  <c r="AY28" i="35" s="1"/>
  <c r="AY63" i="35" s="1"/>
  <c r="AQ43" i="4"/>
  <c r="AQ28" i="35" s="1"/>
  <c r="AQ63" i="35" s="1"/>
  <c r="AI43" i="4"/>
  <c r="AI28" i="35" s="1"/>
  <c r="AI63" i="35" s="1"/>
  <c r="AA43" i="4"/>
  <c r="AA28" i="35" s="1"/>
  <c r="AA63" i="35" s="1"/>
  <c r="S43" i="4"/>
  <c r="S28" i="35" s="1"/>
  <c r="S63" i="35" s="1"/>
  <c r="M43" i="4"/>
  <c r="L43" i="4"/>
  <c r="K43" i="4"/>
  <c r="K28" i="35" s="1"/>
  <c r="K63" i="35" s="1"/>
  <c r="BW42" i="4"/>
  <c r="BW27" i="38" s="1"/>
  <c r="BW62" i="38" s="1"/>
  <c r="BO42" i="4"/>
  <c r="BO27" i="35" s="1"/>
  <c r="BO62" i="35" s="1"/>
  <c r="BG42" i="4"/>
  <c r="BG27" i="35" s="1"/>
  <c r="BG62" i="35" s="1"/>
  <c r="AY42" i="4"/>
  <c r="AY27" i="35" s="1"/>
  <c r="AY62" i="35" s="1"/>
  <c r="AQ42" i="4"/>
  <c r="AQ27" i="35" s="1"/>
  <c r="AQ62" i="35" s="1"/>
  <c r="AI42" i="4"/>
  <c r="AI27" i="35" s="1"/>
  <c r="AI62" i="35" s="1"/>
  <c r="AA42" i="4"/>
  <c r="AA27" i="35" s="1"/>
  <c r="AA62" i="35" s="1"/>
  <c r="S42" i="4"/>
  <c r="S27" i="35" s="1"/>
  <c r="S62" i="35" s="1"/>
  <c r="M42" i="4"/>
  <c r="U42" i="4" s="1"/>
  <c r="U27" i="35" s="1"/>
  <c r="U62" i="35" s="1"/>
  <c r="L42" i="4"/>
  <c r="K42" i="4"/>
  <c r="K27" i="35" s="1"/>
  <c r="K62" i="35" s="1"/>
  <c r="BW41" i="4"/>
  <c r="BO41" i="4"/>
  <c r="BO26" i="35" s="1"/>
  <c r="BO61" i="35" s="1"/>
  <c r="BG41" i="4"/>
  <c r="BG26" i="35" s="1"/>
  <c r="BG61" i="35" s="1"/>
  <c r="AY41" i="4"/>
  <c r="AY26" i="35" s="1"/>
  <c r="AY61" i="35" s="1"/>
  <c r="AQ41" i="4"/>
  <c r="AQ26" i="35" s="1"/>
  <c r="AQ61" i="35" s="1"/>
  <c r="AI41" i="4"/>
  <c r="AI26" i="35" s="1"/>
  <c r="AI61" i="35" s="1"/>
  <c r="AA41" i="4"/>
  <c r="AA26" i="35" s="1"/>
  <c r="AA61" i="35" s="1"/>
  <c r="S41" i="4"/>
  <c r="S26" i="35" s="1"/>
  <c r="S61" i="35" s="1"/>
  <c r="M41" i="4"/>
  <c r="U41" i="4" s="1"/>
  <c r="L41" i="4"/>
  <c r="K41" i="4"/>
  <c r="K26" i="35" s="1"/>
  <c r="K61" i="35" s="1"/>
  <c r="BW25" i="4"/>
  <c r="BW25" i="35" s="1"/>
  <c r="BW60" i="35" s="1"/>
  <c r="BO25" i="4"/>
  <c r="BO25" i="35" s="1"/>
  <c r="BO60" i="35" s="1"/>
  <c r="BG25" i="4"/>
  <c r="BG25" i="35" s="1"/>
  <c r="BG60" i="35" s="1"/>
  <c r="AY25" i="4"/>
  <c r="AY25" i="35" s="1"/>
  <c r="AY60" i="35" s="1"/>
  <c r="AQ25" i="4"/>
  <c r="AQ25" i="35" s="1"/>
  <c r="AQ60" i="35" s="1"/>
  <c r="AI25" i="4"/>
  <c r="AI25" i="35" s="1"/>
  <c r="AI60" i="35" s="1"/>
  <c r="AA25" i="4"/>
  <c r="AA25" i="35" s="1"/>
  <c r="AA60" i="35" s="1"/>
  <c r="S25" i="4"/>
  <c r="S25" i="35" s="1"/>
  <c r="S60" i="35" s="1"/>
  <c r="M25" i="4"/>
  <c r="M25" i="35" s="1"/>
  <c r="M60" i="35" s="1"/>
  <c r="L25" i="4"/>
  <c r="L25" i="35" s="1"/>
  <c r="L60" i="35" s="1"/>
  <c r="K25" i="4"/>
  <c r="K25" i="35" s="1"/>
  <c r="K60" i="35" s="1"/>
  <c r="BW24" i="4"/>
  <c r="BW24" i="38" s="1"/>
  <c r="BW59" i="38" s="1"/>
  <c r="BO24" i="4"/>
  <c r="BO24" i="35" s="1"/>
  <c r="BO59" i="35" s="1"/>
  <c r="BG24" i="4"/>
  <c r="BG24" i="35" s="1"/>
  <c r="BG59" i="35" s="1"/>
  <c r="AY24" i="4"/>
  <c r="AY24" i="35" s="1"/>
  <c r="AY59" i="35" s="1"/>
  <c r="AQ24" i="4"/>
  <c r="AQ24" i="35" s="1"/>
  <c r="AQ59" i="35" s="1"/>
  <c r="AI24" i="4"/>
  <c r="AI24" i="35" s="1"/>
  <c r="AI59" i="35" s="1"/>
  <c r="AA24" i="4"/>
  <c r="AA24" i="35" s="1"/>
  <c r="AA59" i="35" s="1"/>
  <c r="S24" i="4"/>
  <c r="S24" i="35" s="1"/>
  <c r="S59" i="35" s="1"/>
  <c r="M24" i="4"/>
  <c r="L24" i="4"/>
  <c r="K24" i="4"/>
  <c r="BW23" i="4"/>
  <c r="BW23" i="38" s="1"/>
  <c r="BW58" i="38" s="1"/>
  <c r="BO23" i="4"/>
  <c r="BO23" i="35" s="1"/>
  <c r="BO58" i="35" s="1"/>
  <c r="BG23" i="4"/>
  <c r="BG23" i="35" s="1"/>
  <c r="BG58" i="35" s="1"/>
  <c r="AY23" i="4"/>
  <c r="AY23" i="35" s="1"/>
  <c r="AY58" i="35" s="1"/>
  <c r="AQ23" i="4"/>
  <c r="AQ23" i="35" s="1"/>
  <c r="AQ58" i="35" s="1"/>
  <c r="AI23" i="4"/>
  <c r="AI23" i="35" s="1"/>
  <c r="AA23" i="4"/>
  <c r="AA23" i="35" s="1"/>
  <c r="AA58" i="35" s="1"/>
  <c r="S23" i="4"/>
  <c r="S23" i="35" s="1"/>
  <c r="S58" i="35" s="1"/>
  <c r="M23" i="4"/>
  <c r="M23" i="35" s="1"/>
  <c r="M58" i="35" s="1"/>
  <c r="L23" i="4"/>
  <c r="L23" i="35" s="1"/>
  <c r="L58" i="35" s="1"/>
  <c r="K23" i="4"/>
  <c r="K23" i="35" s="1"/>
  <c r="K58" i="35" s="1"/>
  <c r="BW22" i="4"/>
  <c r="BW22" i="35" s="1"/>
  <c r="BW57" i="35" s="1"/>
  <c r="BO22" i="4"/>
  <c r="BO22" i="35" s="1"/>
  <c r="BO57" i="35" s="1"/>
  <c r="BG22" i="4"/>
  <c r="BG22" i="35" s="1"/>
  <c r="BG57" i="35" s="1"/>
  <c r="AY22" i="4"/>
  <c r="AY22" i="35" s="1"/>
  <c r="AY57" i="35" s="1"/>
  <c r="AQ22" i="4"/>
  <c r="AQ22" i="35" s="1"/>
  <c r="AQ57" i="35" s="1"/>
  <c r="AI22" i="4"/>
  <c r="AI22" i="35" s="1"/>
  <c r="AI57" i="35" s="1"/>
  <c r="AA22" i="4"/>
  <c r="AA22" i="35" s="1"/>
  <c r="AA57" i="35" s="1"/>
  <c r="S22" i="4"/>
  <c r="S22" i="35" s="1"/>
  <c r="S57" i="35" s="1"/>
  <c r="M22" i="4"/>
  <c r="U22" i="4" s="1"/>
  <c r="L22" i="4"/>
  <c r="K22" i="4"/>
  <c r="K22" i="35" s="1"/>
  <c r="BW21" i="4"/>
  <c r="BO21" i="4"/>
  <c r="BO21" i="35" s="1"/>
  <c r="BO56" i="35" s="1"/>
  <c r="BG21" i="4"/>
  <c r="BG21" i="35" s="1"/>
  <c r="BG56" i="35" s="1"/>
  <c r="AY21" i="4"/>
  <c r="AY21" i="35" s="1"/>
  <c r="AY56" i="35" s="1"/>
  <c r="AQ21" i="4"/>
  <c r="AQ21" i="35" s="1"/>
  <c r="AQ56" i="35" s="1"/>
  <c r="AI21" i="4"/>
  <c r="AI21" i="35" s="1"/>
  <c r="AI56" i="35" s="1"/>
  <c r="AA21" i="4"/>
  <c r="AA21" i="35" s="1"/>
  <c r="AA56" i="35" s="1"/>
  <c r="S21" i="4"/>
  <c r="S21" i="35" s="1"/>
  <c r="S56" i="35" s="1"/>
  <c r="M21" i="4"/>
  <c r="M21" i="35" s="1"/>
  <c r="M56" i="35" s="1"/>
  <c r="L21" i="4"/>
  <c r="L21" i="35" s="1"/>
  <c r="L56" i="35" s="1"/>
  <c r="K21" i="4"/>
  <c r="K21" i="35" s="1"/>
  <c r="K56" i="35" s="1"/>
  <c r="BW20" i="4"/>
  <c r="BW20" i="38" s="1"/>
  <c r="BW55" i="38" s="1"/>
  <c r="BO20" i="4"/>
  <c r="BG20" i="4"/>
  <c r="BG20" i="35" s="1"/>
  <c r="AY20" i="4"/>
  <c r="AQ20" i="4"/>
  <c r="AI20" i="4"/>
  <c r="AA20" i="4"/>
  <c r="AA20" i="35" s="1"/>
  <c r="S20" i="4"/>
  <c r="S20" i="35" s="1"/>
  <c r="M20" i="4"/>
  <c r="M20" i="35" s="1"/>
  <c r="L20" i="4"/>
  <c r="L20" i="35" s="1"/>
  <c r="L55" i="35" s="1"/>
  <c r="K20" i="4"/>
  <c r="K20" i="35" s="1"/>
  <c r="K55" i="35" s="1"/>
  <c r="BT16" i="4"/>
  <c r="BL16" i="4"/>
  <c r="BD16" i="4"/>
  <c r="AV16" i="4"/>
  <c r="AN16" i="4"/>
  <c r="AF16" i="4"/>
  <c r="X16" i="4"/>
  <c r="P16" i="4"/>
  <c r="BW15" i="4"/>
  <c r="BW15" i="35" s="1"/>
  <c r="BW50" i="35" s="1"/>
  <c r="BV15" i="4"/>
  <c r="AH16" i="43" s="1"/>
  <c r="BU15" i="4"/>
  <c r="AG16" i="43" s="1"/>
  <c r="BT15" i="4"/>
  <c r="AF16" i="43" s="1"/>
  <c r="BO15" i="4"/>
  <c r="BO15" i="35" s="1"/>
  <c r="BO50" i="35" s="1"/>
  <c r="BN15" i="4"/>
  <c r="BM15" i="4"/>
  <c r="AD16" i="43" s="1"/>
  <c r="BL15" i="4"/>
  <c r="BG15" i="4"/>
  <c r="BG15" i="35" s="1"/>
  <c r="BG50" i="35" s="1"/>
  <c r="BF15" i="4"/>
  <c r="AB16" i="43" s="1"/>
  <c r="BE15" i="4"/>
  <c r="AA16" i="43" s="1"/>
  <c r="BD15" i="4"/>
  <c r="Z16" i="43" s="1"/>
  <c r="AY15" i="4"/>
  <c r="AY15" i="35" s="1"/>
  <c r="AY50" i="35" s="1"/>
  <c r="AX15" i="4"/>
  <c r="AW15" i="4"/>
  <c r="X16" i="43" s="1"/>
  <c r="AV15" i="4"/>
  <c r="R126" i="67" s="1"/>
  <c r="AQ15" i="4"/>
  <c r="AQ15" i="35" s="1"/>
  <c r="AQ50" i="35" s="1"/>
  <c r="AP15" i="4"/>
  <c r="AO15" i="4"/>
  <c r="AN15" i="4"/>
  <c r="AN15" i="35" s="1"/>
  <c r="AN50" i="35" s="1"/>
  <c r="AI15" i="4"/>
  <c r="AI15" i="35" s="1"/>
  <c r="AI50" i="35" s="1"/>
  <c r="AH15" i="4"/>
  <c r="AG15" i="4"/>
  <c r="R16" i="43" s="1"/>
  <c r="AF15" i="4"/>
  <c r="AA15" i="4"/>
  <c r="AA15" i="35" s="1"/>
  <c r="AA50" i="35" s="1"/>
  <c r="Z15" i="4"/>
  <c r="P16" i="43" s="1"/>
  <c r="Y15" i="4"/>
  <c r="O16" i="43" s="1"/>
  <c r="X15" i="4"/>
  <c r="X15" i="35" s="1"/>
  <c r="X50" i="35" s="1"/>
  <c r="S15" i="4"/>
  <c r="S15" i="35" s="1"/>
  <c r="S50" i="35" s="1"/>
  <c r="R15" i="4"/>
  <c r="Q15" i="4"/>
  <c r="L16" i="43" s="1"/>
  <c r="P15" i="4"/>
  <c r="K15" i="4"/>
  <c r="K15" i="35" s="1"/>
  <c r="K50" i="35" s="1"/>
  <c r="J15" i="4"/>
  <c r="J16" i="43" s="1"/>
  <c r="I15" i="4"/>
  <c r="I16" i="43" s="1"/>
  <c r="H15" i="4"/>
  <c r="H15" i="35" s="1"/>
  <c r="H50" i="35" s="1"/>
  <c r="K10" i="4"/>
  <c r="K11" i="35" s="1"/>
  <c r="K9" i="4"/>
  <c r="K10" i="35" s="1"/>
  <c r="D9" i="4"/>
  <c r="K8" i="4"/>
  <c r="M7" i="4"/>
  <c r="M8" i="35" s="1"/>
  <c r="K7" i="4"/>
  <c r="D7" i="4"/>
  <c r="D9" i="43" s="1"/>
  <c r="M6" i="4"/>
  <c r="M7" i="35" s="1"/>
  <c r="K6" i="4"/>
  <c r="K7" i="35" s="1"/>
  <c r="Q4" i="35" s="1"/>
  <c r="M5" i="4"/>
  <c r="K5" i="4"/>
  <c r="K6" i="35" s="1"/>
  <c r="Q3" i="35" s="1"/>
  <c r="N94" i="3"/>
  <c r="N92" i="3"/>
  <c r="N91" i="3"/>
  <c r="N90" i="3"/>
  <c r="N89" i="3"/>
  <c r="N86" i="3"/>
  <c r="N82" i="3"/>
  <c r="N81" i="3"/>
  <c r="N80" i="3"/>
  <c r="F74" i="3"/>
  <c r="F76" i="3" s="1"/>
  <c r="T64" i="3"/>
  <c r="BW121" i="43" s="1"/>
  <c r="P64" i="3"/>
  <c r="BP121" i="43" s="1"/>
  <c r="J64" i="3"/>
  <c r="F64" i="3"/>
  <c r="R60" i="3"/>
  <c r="Q60" i="3"/>
  <c r="P60" i="3"/>
  <c r="BP117" i="43" s="1"/>
  <c r="N60" i="3"/>
  <c r="BN117" i="43" s="1"/>
  <c r="M60" i="3"/>
  <c r="L60" i="3"/>
  <c r="K60" i="3"/>
  <c r="J60" i="3"/>
  <c r="H60" i="3"/>
  <c r="G60" i="3"/>
  <c r="F60" i="3"/>
  <c r="N59" i="3"/>
  <c r="N58" i="3"/>
  <c r="N57" i="3"/>
  <c r="N55" i="3"/>
  <c r="N46" i="3"/>
  <c r="L44" i="3"/>
  <c r="L41" i="3"/>
  <c r="V40" i="3"/>
  <c r="BY107" i="43" s="1"/>
  <c r="M40" i="3"/>
  <c r="L40" i="3"/>
  <c r="K40" i="3"/>
  <c r="J40" i="3"/>
  <c r="H40" i="3"/>
  <c r="G40" i="3"/>
  <c r="W39" i="3"/>
  <c r="BZ106" i="43" s="1"/>
  <c r="V39" i="3"/>
  <c r="U39" i="3"/>
  <c r="R39" i="3"/>
  <c r="Q39" i="3"/>
  <c r="P39" i="3"/>
  <c r="BP106" i="43" s="1"/>
  <c r="M39" i="3"/>
  <c r="L39" i="3"/>
  <c r="K39" i="3"/>
  <c r="J39" i="3"/>
  <c r="H39" i="3"/>
  <c r="G39" i="3"/>
  <c r="F39" i="3"/>
  <c r="N38" i="3"/>
  <c r="N37" i="3"/>
  <c r="N36" i="3"/>
  <c r="N35" i="3"/>
  <c r="N34" i="3"/>
  <c r="L31" i="3"/>
  <c r="L43" i="3" s="1"/>
  <c r="L29" i="3"/>
  <c r="N28" i="3"/>
  <c r="M25" i="3"/>
  <c r="L25" i="3"/>
  <c r="W24" i="3"/>
  <c r="V24" i="3"/>
  <c r="U24" i="3"/>
  <c r="T24" i="3"/>
  <c r="R24" i="3"/>
  <c r="Q24" i="3"/>
  <c r="N24" i="3"/>
  <c r="M24" i="3"/>
  <c r="L24" i="3"/>
  <c r="K24" i="3"/>
  <c r="J24" i="3"/>
  <c r="H24" i="3"/>
  <c r="G24" i="3"/>
  <c r="N23" i="3"/>
  <c r="P24" i="3" s="1"/>
  <c r="M21" i="3"/>
  <c r="M22" i="3" s="1"/>
  <c r="L21" i="3"/>
  <c r="K21" i="3"/>
  <c r="J21" i="3"/>
  <c r="G21" i="3"/>
  <c r="G25" i="3" s="1"/>
  <c r="F21" i="3"/>
  <c r="G22" i="3" s="1"/>
  <c r="G14" i="3"/>
  <c r="H14" i="3" s="1"/>
  <c r="N14" i="3" s="1"/>
  <c r="N11" i="3"/>
  <c r="P11" i="3" s="1"/>
  <c r="J10" i="3"/>
  <c r="N78" i="2"/>
  <c r="N77" i="2"/>
  <c r="N76" i="2"/>
  <c r="N75" i="2"/>
  <c r="N72" i="2"/>
  <c r="N68" i="2"/>
  <c r="N67" i="2"/>
  <c r="N66" i="2"/>
  <c r="T57" i="2"/>
  <c r="BC77" i="43" s="1"/>
  <c r="P57" i="2"/>
  <c r="AW77" i="43" s="1"/>
  <c r="J57" i="2"/>
  <c r="F57" i="2"/>
  <c r="W53" i="2"/>
  <c r="BF73" i="43" s="1"/>
  <c r="V53" i="2"/>
  <c r="BE73" i="43" s="1"/>
  <c r="U53" i="2"/>
  <c r="BD73" i="43" s="1"/>
  <c r="R53" i="2"/>
  <c r="AY73" i="43" s="1"/>
  <c r="Q53" i="2"/>
  <c r="AX73" i="43" s="1"/>
  <c r="P53" i="2"/>
  <c r="AW73" i="43" s="1"/>
  <c r="M53" i="2"/>
  <c r="L53" i="2"/>
  <c r="K53" i="2"/>
  <c r="J53" i="2"/>
  <c r="H53" i="2"/>
  <c r="G53" i="2"/>
  <c r="F53" i="2"/>
  <c r="N52" i="2"/>
  <c r="N51" i="2"/>
  <c r="N50" i="2"/>
  <c r="N53" i="2" s="1"/>
  <c r="N48" i="2"/>
  <c r="G43" i="2"/>
  <c r="G40" i="2"/>
  <c r="N39" i="2"/>
  <c r="G37" i="2"/>
  <c r="R34" i="2"/>
  <c r="AY64" i="43" s="1"/>
  <c r="J34" i="2"/>
  <c r="H34" i="2"/>
  <c r="G34" i="2"/>
  <c r="G33" i="2"/>
  <c r="W32" i="2"/>
  <c r="BF62" i="43" s="1"/>
  <c r="R32" i="2"/>
  <c r="AY62" i="43" s="1"/>
  <c r="Q32" i="2"/>
  <c r="R33" i="2" s="1"/>
  <c r="AY63" i="43" s="1"/>
  <c r="P32" i="2"/>
  <c r="N32" i="2"/>
  <c r="M32" i="2"/>
  <c r="L32" i="2"/>
  <c r="K32" i="2"/>
  <c r="J32" i="2"/>
  <c r="H32" i="2"/>
  <c r="G32" i="2"/>
  <c r="F32" i="2"/>
  <c r="N31" i="2"/>
  <c r="N30" i="2"/>
  <c r="N29" i="2"/>
  <c r="N28" i="2"/>
  <c r="N27" i="2"/>
  <c r="R24" i="2"/>
  <c r="Q24" i="2"/>
  <c r="P24" i="2"/>
  <c r="M24" i="2"/>
  <c r="G24" i="2"/>
  <c r="G36" i="2" s="1"/>
  <c r="W22" i="2"/>
  <c r="BF58" i="43" s="1"/>
  <c r="V22" i="2"/>
  <c r="BE58" i="43" s="1"/>
  <c r="U22" i="2"/>
  <c r="BD58" i="43" s="1"/>
  <c r="T22" i="2"/>
  <c r="BC58" i="43" s="1"/>
  <c r="R22" i="2"/>
  <c r="AY58" i="43" s="1"/>
  <c r="Q22" i="2"/>
  <c r="AX58" i="43" s="1"/>
  <c r="P22" i="2"/>
  <c r="AW58" i="43" s="1"/>
  <c r="N22" i="2"/>
  <c r="AU58" i="43" s="1"/>
  <c r="M22" i="2"/>
  <c r="L22" i="2"/>
  <c r="K22" i="2"/>
  <c r="J22" i="2"/>
  <c r="H22" i="2"/>
  <c r="G22" i="2"/>
  <c r="N21" i="2"/>
  <c r="AU57" i="43" s="1"/>
  <c r="R19" i="2"/>
  <c r="AY55" i="43" s="1"/>
  <c r="Q19" i="2"/>
  <c r="AX55" i="43" s="1"/>
  <c r="M19" i="2"/>
  <c r="L19" i="2"/>
  <c r="K19" i="2"/>
  <c r="H19" i="2"/>
  <c r="G19" i="2"/>
  <c r="W18" i="2"/>
  <c r="V18" i="2"/>
  <c r="U18" i="2"/>
  <c r="R18" i="2"/>
  <c r="Q18" i="2"/>
  <c r="P18" i="2"/>
  <c r="M18" i="2"/>
  <c r="L18" i="2"/>
  <c r="L24" i="2" s="1"/>
  <c r="K18" i="2"/>
  <c r="K24" i="2" s="1"/>
  <c r="K36" i="2" s="1"/>
  <c r="J18" i="2"/>
  <c r="J24" i="2" s="1"/>
  <c r="J36" i="2" s="1"/>
  <c r="H18" i="2"/>
  <c r="G18" i="2"/>
  <c r="F18" i="2"/>
  <c r="F24" i="2" s="1"/>
  <c r="F36" i="2" s="1"/>
  <c r="R17" i="2"/>
  <c r="Q17" i="2"/>
  <c r="P17" i="2"/>
  <c r="N17" i="2"/>
  <c r="M17" i="2"/>
  <c r="L17" i="2"/>
  <c r="K17" i="2"/>
  <c r="J17" i="2"/>
  <c r="H17" i="2"/>
  <c r="G17" i="2"/>
  <c r="N16" i="2"/>
  <c r="R15" i="2"/>
  <c r="Q15" i="2"/>
  <c r="M15" i="2"/>
  <c r="L15" i="2"/>
  <c r="K15" i="2"/>
  <c r="J15" i="2"/>
  <c r="H15" i="2"/>
  <c r="G15" i="2"/>
  <c r="N14" i="2"/>
  <c r="N11" i="2"/>
  <c r="N58" i="2" s="1"/>
  <c r="AU78" i="43" s="1"/>
  <c r="J10" i="2"/>
  <c r="D9" i="1"/>
  <c r="AH30" i="4" l="1"/>
  <c r="AH26" i="4"/>
  <c r="AH31" i="4"/>
  <c r="P16" i="33"/>
  <c r="P16" i="38" s="1"/>
  <c r="R25" i="38" s="1"/>
  <c r="AW16" i="4"/>
  <c r="AW16" i="33" s="1"/>
  <c r="AW16" i="38" s="1"/>
  <c r="AW51" i="38" s="1"/>
  <c r="H16" i="35"/>
  <c r="H51" i="35" s="1"/>
  <c r="J58" i="35" s="1"/>
  <c r="Y16" i="4"/>
  <c r="Z29" i="4" s="1"/>
  <c r="AN16" i="33"/>
  <c r="F34" i="67"/>
  <c r="F31" i="67"/>
  <c r="BG15" i="33"/>
  <c r="BG15" i="38" s="1"/>
  <c r="BG50" i="38" s="1"/>
  <c r="X23" i="38"/>
  <c r="AF23" i="38"/>
  <c r="AF58" i="38" s="1"/>
  <c r="BM15" i="33"/>
  <c r="BM15" i="38" s="1"/>
  <c r="BM50" i="38" s="1"/>
  <c r="BL15" i="33"/>
  <c r="BL15" i="38" s="1"/>
  <c r="BL50" i="38" s="1"/>
  <c r="AI30" i="33"/>
  <c r="AI30" i="38" s="1"/>
  <c r="AI65" i="38" s="1"/>
  <c r="BF15" i="33"/>
  <c r="BF15" i="38" s="1"/>
  <c r="BF50" i="38" s="1"/>
  <c r="BL30" i="38"/>
  <c r="BL65" i="38" s="1"/>
  <c r="M22" i="35"/>
  <c r="M57" i="35" s="1"/>
  <c r="BD15" i="35"/>
  <c r="BD50" i="35" s="1"/>
  <c r="C38" i="67"/>
  <c r="BW27" i="33"/>
  <c r="B86" i="67"/>
  <c r="BD30" i="38"/>
  <c r="BD65" i="38" s="1"/>
  <c r="I33" i="67"/>
  <c r="T24" i="33"/>
  <c r="T24" i="38" s="1"/>
  <c r="T59" i="38" s="1"/>
  <c r="BW31" i="33"/>
  <c r="U46" i="33"/>
  <c r="U46" i="38" s="1"/>
  <c r="B65" i="67"/>
  <c r="AJ153" i="67"/>
  <c r="T21" i="4"/>
  <c r="AB21" i="4" s="1"/>
  <c r="AB21" i="35" s="1"/>
  <c r="AB56" i="35" s="1"/>
  <c r="AY25" i="33"/>
  <c r="AY25" i="38" s="1"/>
  <c r="AY60" i="38" s="1"/>
  <c r="K31" i="33"/>
  <c r="K31" i="38" s="1"/>
  <c r="K66" i="38" s="1"/>
  <c r="AC46" i="33"/>
  <c r="AC46" i="38" s="1"/>
  <c r="AN13" i="38"/>
  <c r="B90" i="67"/>
  <c r="BG22" i="33"/>
  <c r="BG22" i="38" s="1"/>
  <c r="BG57" i="38" s="1"/>
  <c r="L31" i="33"/>
  <c r="L31" i="38" s="1"/>
  <c r="L66" i="38" s="1"/>
  <c r="AK46" i="33"/>
  <c r="AK46" i="38" s="1"/>
  <c r="T47" i="4"/>
  <c r="T32" i="35" s="1"/>
  <c r="T67" i="35" s="1"/>
  <c r="L23" i="33"/>
  <c r="L23" i="38" s="1"/>
  <c r="L58" i="38" s="1"/>
  <c r="BD15" i="33"/>
  <c r="BD15" i="38" s="1"/>
  <c r="BD50" i="38" s="1"/>
  <c r="M31" i="33"/>
  <c r="U31" i="33" s="1"/>
  <c r="AS46" i="33"/>
  <c r="AS46" i="38" s="1"/>
  <c r="C33" i="67"/>
  <c r="BW22" i="38"/>
  <c r="BW57" i="38" s="1"/>
  <c r="T20" i="4"/>
  <c r="T20" i="35" s="1"/>
  <c r="T55" i="35" s="1"/>
  <c r="BE15" i="33"/>
  <c r="BE15" i="38" s="1"/>
  <c r="BE50" i="38" s="1"/>
  <c r="BA46" i="33"/>
  <c r="BA46" i="38" s="1"/>
  <c r="B78" i="67"/>
  <c r="T30" i="33"/>
  <c r="T30" i="38" s="1"/>
  <c r="T65" i="38" s="1"/>
  <c r="L30" i="38"/>
  <c r="L65" i="38" s="1"/>
  <c r="R9" i="36"/>
  <c r="F191" i="67" s="1"/>
  <c r="C240" i="67" s="1"/>
  <c r="M46" i="33"/>
  <c r="M46" i="38" s="1"/>
  <c r="F38" i="67"/>
  <c r="AD216" i="67"/>
  <c r="BT15" i="35"/>
  <c r="BT50" i="35" s="1"/>
  <c r="T44" i="4"/>
  <c r="BV15" i="35"/>
  <c r="BV50" i="35" s="1"/>
  <c r="Q8" i="4"/>
  <c r="U44" i="4"/>
  <c r="U29" i="35" s="1"/>
  <c r="U64" i="35" s="1"/>
  <c r="H40" i="33"/>
  <c r="H40" i="38" s="1"/>
  <c r="K33" i="33"/>
  <c r="K33" i="38" s="1"/>
  <c r="K68" i="38" s="1"/>
  <c r="N188" i="67"/>
  <c r="N216" i="67" s="1"/>
  <c r="M33" i="35"/>
  <c r="M68" i="35" s="1"/>
  <c r="X22" i="38"/>
  <c r="X57" i="38" s="1"/>
  <c r="BO34" i="33"/>
  <c r="BO34" i="38" s="1"/>
  <c r="BO69" i="38" s="1"/>
  <c r="L22" i="33"/>
  <c r="T22" i="33" s="1"/>
  <c r="T22" i="38" s="1"/>
  <c r="T57" i="38" s="1"/>
  <c r="B80" i="67"/>
  <c r="BN15" i="33"/>
  <c r="BN15" i="38" s="1"/>
  <c r="BN50" i="38" s="1"/>
  <c r="I40" i="33"/>
  <c r="I40" i="38" s="1"/>
  <c r="BE15" i="35"/>
  <c r="BE50" i="35" s="1"/>
  <c r="AV13" i="38"/>
  <c r="I35" i="67"/>
  <c r="B91" i="67"/>
  <c r="Y202" i="67"/>
  <c r="K22" i="33"/>
  <c r="K22" i="38" s="1"/>
  <c r="K57" i="38" s="1"/>
  <c r="AI25" i="33"/>
  <c r="AI25" i="38" s="1"/>
  <c r="AI60" i="38" s="1"/>
  <c r="AI22" i="33"/>
  <c r="AI22" i="38" s="1"/>
  <c r="AI57" i="38" s="1"/>
  <c r="R11" i="36"/>
  <c r="F193" i="67" s="1"/>
  <c r="F246" i="67" s="1"/>
  <c r="BO25" i="33"/>
  <c r="BO25" i="38" s="1"/>
  <c r="BO60" i="38" s="1"/>
  <c r="J202" i="67"/>
  <c r="X16" i="33"/>
  <c r="X16" i="38" s="1"/>
  <c r="Z23" i="38" s="1"/>
  <c r="K25" i="33"/>
  <c r="K25" i="38" s="1"/>
  <c r="K60" i="38" s="1"/>
  <c r="BD13" i="38"/>
  <c r="C37" i="67"/>
  <c r="B94" i="67"/>
  <c r="U21" i="4"/>
  <c r="L25" i="33"/>
  <c r="L25" i="38" s="1"/>
  <c r="L60" i="38" s="1"/>
  <c r="BL13" i="38"/>
  <c r="AQ26" i="33"/>
  <c r="AQ26" i="38" s="1"/>
  <c r="AQ61" i="38" s="1"/>
  <c r="B88" i="67"/>
  <c r="BW25" i="38"/>
  <c r="BW60" i="38" s="1"/>
  <c r="AI153" i="67"/>
  <c r="R202" i="67"/>
  <c r="R216" i="67"/>
  <c r="V216" i="67"/>
  <c r="V202" i="67"/>
  <c r="Z216" i="67"/>
  <c r="Z202" i="67"/>
  <c r="U202" i="67"/>
  <c r="U216" i="67"/>
  <c r="T23" i="4"/>
  <c r="AY24" i="33"/>
  <c r="AY24" i="38" s="1"/>
  <c r="AY59" i="38" s="1"/>
  <c r="BG33" i="33"/>
  <c r="BG33" i="38" s="1"/>
  <c r="BG68" i="38" s="1"/>
  <c r="AN43" i="33"/>
  <c r="AN43" i="38" s="1"/>
  <c r="E40" i="35"/>
  <c r="N134" i="67"/>
  <c r="X185" i="67"/>
  <c r="T25" i="4"/>
  <c r="T25" i="35" s="1"/>
  <c r="T60" i="35" s="1"/>
  <c r="M6" i="33"/>
  <c r="BG21" i="33"/>
  <c r="BG21" i="38" s="1"/>
  <c r="BG56" i="38" s="1"/>
  <c r="BD43" i="33"/>
  <c r="BD43" i="38" s="1"/>
  <c r="Z15" i="35"/>
  <c r="Z50" i="35" s="1"/>
  <c r="BF15" i="35"/>
  <c r="BF50" i="35" s="1"/>
  <c r="B38" i="67"/>
  <c r="N153" i="67"/>
  <c r="AN41" i="33"/>
  <c r="AN41" i="38" s="1"/>
  <c r="AN76" i="38" s="1"/>
  <c r="AI55" i="4"/>
  <c r="T46" i="4"/>
  <c r="T31" i="35" s="1"/>
  <c r="T66" i="35" s="1"/>
  <c r="BG26" i="33"/>
  <c r="BG26" i="38" s="1"/>
  <c r="BG61" i="38" s="1"/>
  <c r="U46" i="4"/>
  <c r="U31" i="35" s="1"/>
  <c r="U66" i="35" s="1"/>
  <c r="M32" i="33"/>
  <c r="M32" i="38" s="1"/>
  <c r="M67" i="38" s="1"/>
  <c r="BY46" i="33"/>
  <c r="BY46" i="38" s="1"/>
  <c r="U25" i="4"/>
  <c r="AC25" i="4" s="1"/>
  <c r="T48" i="4"/>
  <c r="AB48" i="4" s="1"/>
  <c r="M7" i="33"/>
  <c r="M26" i="33"/>
  <c r="M26" i="38" s="1"/>
  <c r="M61" i="38" s="1"/>
  <c r="BO27" i="33"/>
  <c r="BO27" i="38" s="1"/>
  <c r="BO62" i="38" s="1"/>
  <c r="AA32" i="33"/>
  <c r="AA32" i="38" s="1"/>
  <c r="AA67" i="38" s="1"/>
  <c r="L33" i="33"/>
  <c r="T33" i="33" s="1"/>
  <c r="AB33" i="33" s="1"/>
  <c r="AB33" i="38" s="1"/>
  <c r="AB68" i="38" s="1"/>
  <c r="AN23" i="38"/>
  <c r="AN58" i="38" s="1"/>
  <c r="I31" i="67"/>
  <c r="S22" i="33"/>
  <c r="S22" i="38" s="1"/>
  <c r="S57" i="38" s="1"/>
  <c r="BL22" i="38"/>
  <c r="BL57" i="38" s="1"/>
  <c r="Q10" i="4"/>
  <c r="Q11" i="4"/>
  <c r="Q11" i="35" s="1"/>
  <c r="AI20" i="35"/>
  <c r="AI55" i="35" s="1"/>
  <c r="T45" i="4"/>
  <c r="T30" i="35" s="1"/>
  <c r="T65" i="35" s="1"/>
  <c r="AY28" i="33"/>
  <c r="AY28" i="38" s="1"/>
  <c r="AY63" i="38" s="1"/>
  <c r="M33" i="33"/>
  <c r="M33" i="38" s="1"/>
  <c r="M68" i="38" s="1"/>
  <c r="BW33" i="33"/>
  <c r="BD23" i="38"/>
  <c r="BD58" i="38" s="1"/>
  <c r="BD32" i="38"/>
  <c r="BD67" i="38" s="1"/>
  <c r="B92" i="67"/>
  <c r="U20" i="4"/>
  <c r="AY23" i="33"/>
  <c r="AY23" i="38" s="1"/>
  <c r="AY58" i="38" s="1"/>
  <c r="M25" i="33"/>
  <c r="M25" i="38" s="1"/>
  <c r="M60" i="38" s="1"/>
  <c r="AV30" i="38"/>
  <c r="AV65" i="38" s="1"/>
  <c r="BW22" i="33"/>
  <c r="S25" i="33"/>
  <c r="S25" i="38" s="1"/>
  <c r="S60" i="38" s="1"/>
  <c r="AI34" i="33"/>
  <c r="AI34" i="38" s="1"/>
  <c r="AI69" i="38" s="1"/>
  <c r="K29" i="33"/>
  <c r="K29" i="38" s="1"/>
  <c r="K64" i="38" s="1"/>
  <c r="BT41" i="33"/>
  <c r="BT41" i="38" s="1"/>
  <c r="BT76" i="38" s="1"/>
  <c r="M134" i="67"/>
  <c r="BL43" i="33"/>
  <c r="BL43" i="38" s="1"/>
  <c r="AV31" i="38"/>
  <c r="AV66" i="38" s="1"/>
  <c r="AC42" i="4"/>
  <c r="U45" i="4"/>
  <c r="U30" i="35" s="1"/>
  <c r="U65" i="35" s="1"/>
  <c r="M8" i="33"/>
  <c r="Q11" i="33" s="1"/>
  <c r="Q11" i="38" s="1"/>
  <c r="K21" i="33"/>
  <c r="K21" i="38" s="1"/>
  <c r="K56" i="38" s="1"/>
  <c r="AQ22" i="33"/>
  <c r="AQ22" i="38" s="1"/>
  <c r="AQ57" i="38" s="1"/>
  <c r="S30" i="33"/>
  <c r="S30" i="38" s="1"/>
  <c r="S65" i="38" s="1"/>
  <c r="BW23" i="35"/>
  <c r="BW58" i="35" s="1"/>
  <c r="BL23" i="38"/>
  <c r="BL58" i="38" s="1"/>
  <c r="H216" i="67"/>
  <c r="AI27" i="33"/>
  <c r="AI27" i="38" s="1"/>
  <c r="AI62" i="38" s="1"/>
  <c r="Q3" i="4"/>
  <c r="L21" i="33"/>
  <c r="T21" i="33" s="1"/>
  <c r="BM15" i="35"/>
  <c r="BM50" i="35" s="1"/>
  <c r="M26" i="35"/>
  <c r="M61" i="35" s="1"/>
  <c r="H20" i="38"/>
  <c r="H55" i="38" s="1"/>
  <c r="X33" i="38"/>
  <c r="X68" i="38" s="1"/>
  <c r="AJ134" i="67"/>
  <c r="BG55" i="4"/>
  <c r="BM40" i="33"/>
  <c r="BM40" i="38" s="1"/>
  <c r="M21" i="33"/>
  <c r="U21" i="33" s="1"/>
  <c r="H59" i="35"/>
  <c r="B96" i="67"/>
  <c r="AG185" i="67"/>
  <c r="BO15" i="33"/>
  <c r="BO15" i="38" s="1"/>
  <c r="BO50" i="38" s="1"/>
  <c r="AI28" i="33"/>
  <c r="AI28" i="38" s="1"/>
  <c r="AI63" i="38" s="1"/>
  <c r="AN15" i="33"/>
  <c r="AN15" i="38" s="1"/>
  <c r="AN50" i="38" s="1"/>
  <c r="K8" i="35"/>
  <c r="Q5" i="35" s="1"/>
  <c r="X24" i="38"/>
  <c r="X59" i="38" s="1"/>
  <c r="AV29" i="38"/>
  <c r="AV64" i="38" s="1"/>
  <c r="AV33" i="38"/>
  <c r="AV68" i="38" s="1"/>
  <c r="Q11" i="36"/>
  <c r="D193" i="67" s="1"/>
  <c r="B100" i="67"/>
  <c r="AA188" i="67"/>
  <c r="AA216" i="67" s="1"/>
  <c r="T216" i="67"/>
  <c r="AI24" i="33"/>
  <c r="AI24" i="38" s="1"/>
  <c r="AI59" i="38" s="1"/>
  <c r="L32" i="33"/>
  <c r="L32" i="38" s="1"/>
  <c r="L67" i="38" s="1"/>
  <c r="K26" i="33"/>
  <c r="K26" i="38" s="1"/>
  <c r="K61" i="38" s="1"/>
  <c r="BW24" i="35"/>
  <c r="BW59" i="35" s="1"/>
  <c r="L26" i="33"/>
  <c r="T26" i="33" s="1"/>
  <c r="AO15" i="33"/>
  <c r="AO15" i="38" s="1"/>
  <c r="AO50" i="38" s="1"/>
  <c r="D7" i="35"/>
  <c r="BQ45" i="38"/>
  <c r="AB188" i="67"/>
  <c r="AB202" i="67" s="1"/>
  <c r="AQ33" i="33"/>
  <c r="AQ33" i="38" s="1"/>
  <c r="AQ68" i="38" s="1"/>
  <c r="U23" i="4"/>
  <c r="BW27" i="35"/>
  <c r="BW62" i="35" s="1"/>
  <c r="AQ15" i="33"/>
  <c r="AQ15" i="38" s="1"/>
  <c r="AQ50" i="38" s="1"/>
  <c r="J15" i="35"/>
  <c r="J50" i="35" s="1"/>
  <c r="H47" i="36"/>
  <c r="AI134" i="67"/>
  <c r="AC188" i="67"/>
  <c r="AC202" i="67" s="1"/>
  <c r="G11" i="2"/>
  <c r="G58" i="2" s="1"/>
  <c r="H11" i="2"/>
  <c r="H58" i="2" s="1"/>
  <c r="J11" i="2"/>
  <c r="J58" i="2" s="1"/>
  <c r="K11" i="2"/>
  <c r="K58" i="2" s="1"/>
  <c r="L11" i="2"/>
  <c r="L58" i="2" s="1"/>
  <c r="AA21" i="33"/>
  <c r="AA21" i="38" s="1"/>
  <c r="AA56" i="38" s="1"/>
  <c r="P21" i="38"/>
  <c r="P56" i="38" s="1"/>
  <c r="Q40" i="33"/>
  <c r="Q40" i="38" s="1"/>
  <c r="AF16" i="33"/>
  <c r="AF16" i="38" s="1"/>
  <c r="AH24" i="38" s="1"/>
  <c r="AV16" i="33"/>
  <c r="BD20" i="38"/>
  <c r="BD55" i="38" s="1"/>
  <c r="AK38" i="33"/>
  <c r="AK38" i="38" s="1"/>
  <c r="AK73" i="38" s="1"/>
  <c r="BD16" i="33"/>
  <c r="BD16" i="38" s="1"/>
  <c r="BF27" i="38" s="1"/>
  <c r="I48" i="36"/>
  <c r="AQ20" i="33"/>
  <c r="AQ20" i="38" s="1"/>
  <c r="AQ55" i="38" s="1"/>
  <c r="AG16" i="4"/>
  <c r="AH46" i="4" s="1"/>
  <c r="AA20" i="33"/>
  <c r="AA20" i="38" s="1"/>
  <c r="AA55" i="38" s="1"/>
  <c r="BE16" i="4"/>
  <c r="BF46" i="4" s="1"/>
  <c r="AB32" i="43" s="1"/>
  <c r="E6" i="60"/>
  <c r="AV11" i="60" s="1"/>
  <c r="AH11" i="60" s="1"/>
  <c r="F11" i="2"/>
  <c r="F58" i="2" s="1"/>
  <c r="BN88" i="43"/>
  <c r="C69" i="3"/>
  <c r="R11" i="3"/>
  <c r="J11" i="3"/>
  <c r="J65" i="3" s="1"/>
  <c r="H11" i="3"/>
  <c r="H65" i="3" s="1"/>
  <c r="G11" i="3"/>
  <c r="G65" i="3" s="1"/>
  <c r="F11" i="3"/>
  <c r="F65" i="3" s="1"/>
  <c r="T11" i="3"/>
  <c r="W11" i="3"/>
  <c r="U11" i="3"/>
  <c r="N65" i="3"/>
  <c r="BN122" i="43" s="1"/>
  <c r="V11" i="3"/>
  <c r="M11" i="3"/>
  <c r="M65" i="3" s="1"/>
  <c r="L11" i="3"/>
  <c r="L65" i="3" s="1"/>
  <c r="K11" i="3"/>
  <c r="K65" i="3" s="1"/>
  <c r="BW21" i="38"/>
  <c r="BW56" i="38" s="1"/>
  <c r="BW55" i="4"/>
  <c r="BW21" i="35"/>
  <c r="BW56" i="35" s="1"/>
  <c r="BW26" i="38"/>
  <c r="BW61" i="38" s="1"/>
  <c r="BW26" i="35"/>
  <c r="BW61" i="35" s="1"/>
  <c r="AN30" i="38"/>
  <c r="AQ30" i="33"/>
  <c r="AQ30" i="38" s="1"/>
  <c r="AQ65" i="38" s="1"/>
  <c r="K37" i="2"/>
  <c r="K40" i="2"/>
  <c r="K43" i="2"/>
  <c r="M34" i="2"/>
  <c r="M36" i="2"/>
  <c r="BL14" i="38"/>
  <c r="H49" i="36"/>
  <c r="AU62" i="43"/>
  <c r="T32" i="2"/>
  <c r="P33" i="2"/>
  <c r="AW63" i="43" s="1"/>
  <c r="N33" i="2"/>
  <c r="AU63" i="43" s="1"/>
  <c r="G60" i="2"/>
  <c r="G45" i="2"/>
  <c r="G55" i="2"/>
  <c r="G59" i="2"/>
  <c r="G29" i="3"/>
  <c r="G31" i="3"/>
  <c r="G43" i="3" s="1"/>
  <c r="K24" i="35"/>
  <c r="K59" i="35" s="1"/>
  <c r="K55" i="4"/>
  <c r="P13" i="38"/>
  <c r="Q15" i="33"/>
  <c r="Q15" i="38" s="1"/>
  <c r="Q50" i="38" s="1"/>
  <c r="P15" i="33"/>
  <c r="P15" i="38" s="1"/>
  <c r="P50" i="38" s="1"/>
  <c r="P43" i="33"/>
  <c r="P43" i="38" s="1"/>
  <c r="S15" i="33"/>
  <c r="S15" i="38" s="1"/>
  <c r="S50" i="38" s="1"/>
  <c r="U38" i="33"/>
  <c r="R15" i="33"/>
  <c r="R15" i="38" s="1"/>
  <c r="R50" i="38" s="1"/>
  <c r="K7" i="33"/>
  <c r="BT14" i="38"/>
  <c r="H50" i="36"/>
  <c r="AG40" i="33"/>
  <c r="AG40" i="38" s="1"/>
  <c r="X27" i="38"/>
  <c r="AA27" i="33"/>
  <c r="AA27" i="38" s="1"/>
  <c r="AA62" i="38" s="1"/>
  <c r="X40" i="33"/>
  <c r="X28" i="38"/>
  <c r="AA28" i="33"/>
  <c r="AA28" i="38" s="1"/>
  <c r="AA63" i="38" s="1"/>
  <c r="AW60" i="43"/>
  <c r="P36" i="2"/>
  <c r="AJ21" i="4"/>
  <c r="T24" i="4"/>
  <c r="L55" i="4"/>
  <c r="L24" i="35"/>
  <c r="L59" i="35" s="1"/>
  <c r="AN34" i="38"/>
  <c r="AQ34" i="33"/>
  <c r="AQ34" i="38" s="1"/>
  <c r="AQ69" i="38" s="1"/>
  <c r="AX60" i="43"/>
  <c r="Q36" i="2"/>
  <c r="U24" i="4"/>
  <c r="M24" i="35"/>
  <c r="M59" i="35" s="1"/>
  <c r="M55" i="4"/>
  <c r="BL26" i="38"/>
  <c r="BO26" i="33"/>
  <c r="BO26" i="38" s="1"/>
  <c r="BO61" i="38" s="1"/>
  <c r="AH86" i="35"/>
  <c r="AH80" i="35"/>
  <c r="AH85" i="35"/>
  <c r="AH81" i="35"/>
  <c r="AY60" i="43"/>
  <c r="R36" i="2"/>
  <c r="AN21" i="38"/>
  <c r="AQ21" i="33"/>
  <c r="AQ21" i="38" s="1"/>
  <c r="AQ56" i="38" s="1"/>
  <c r="AN40" i="33"/>
  <c r="AF33" i="38"/>
  <c r="AI33" i="33"/>
  <c r="AI33" i="38" s="1"/>
  <c r="AI68" i="38" s="1"/>
  <c r="P63" i="35"/>
  <c r="BW34" i="38"/>
  <c r="BW69" i="38" s="1"/>
  <c r="BW34" i="35"/>
  <c r="BW69" i="35" s="1"/>
  <c r="AO40" i="33"/>
  <c r="AO40" i="38" s="1"/>
  <c r="AV55" i="38"/>
  <c r="BD29" i="38"/>
  <c r="BG29" i="33"/>
  <c r="BG29" i="38" s="1"/>
  <c r="BG64" i="38" s="1"/>
  <c r="R24" i="39"/>
  <c r="BD54" i="43"/>
  <c r="V19" i="2"/>
  <c r="BE55" i="43" s="1"/>
  <c r="U24" i="2"/>
  <c r="AI58" i="35"/>
  <c r="U51" i="4"/>
  <c r="M36" i="35"/>
  <c r="M71" i="35" s="1"/>
  <c r="I40" i="35"/>
  <c r="N15" i="2"/>
  <c r="N18" i="2"/>
  <c r="P15" i="2"/>
  <c r="R25" i="39"/>
  <c r="BE54" i="43"/>
  <c r="W19" i="2"/>
  <c r="BF55" i="43" s="1"/>
  <c r="V24" i="2"/>
  <c r="Q9" i="4"/>
  <c r="M6" i="35"/>
  <c r="AY27" i="33"/>
  <c r="AY27" i="38" s="1"/>
  <c r="AY62" i="38" s="1"/>
  <c r="AV27" i="38"/>
  <c r="P34" i="38"/>
  <c r="S34" i="33"/>
  <c r="S34" i="38" s="1"/>
  <c r="S69" i="38" s="1"/>
  <c r="BT34" i="38"/>
  <c r="BL40" i="33"/>
  <c r="BL40" i="38" s="1"/>
  <c r="F75" i="35"/>
  <c r="BP88" i="43"/>
  <c r="P65" i="3"/>
  <c r="BP122" i="43" s="1"/>
  <c r="BL20" i="38"/>
  <c r="BO20" i="33"/>
  <c r="BW34" i="33"/>
  <c r="Q11" i="3"/>
  <c r="K57" i="35"/>
  <c r="G75" i="35"/>
  <c r="H13" i="38"/>
  <c r="J15" i="33"/>
  <c r="J15" i="38" s="1"/>
  <c r="J50" i="38" s="1"/>
  <c r="K6" i="33"/>
  <c r="H41" i="33"/>
  <c r="H41" i="38" s="1"/>
  <c r="H76" i="38" s="1"/>
  <c r="M38" i="33"/>
  <c r="I15" i="33"/>
  <c r="I15" i="38" s="1"/>
  <c r="I50" i="38" s="1"/>
  <c r="H43" i="33"/>
  <c r="H43" i="38" s="1"/>
  <c r="K15" i="33"/>
  <c r="K15" i="38" s="1"/>
  <c r="K50" i="38" s="1"/>
  <c r="H15" i="33"/>
  <c r="H15" i="38" s="1"/>
  <c r="H50" i="38" s="1"/>
  <c r="J37" i="2"/>
  <c r="J40" i="2"/>
  <c r="J43" i="2" s="1"/>
  <c r="L34" i="2"/>
  <c r="M33" i="2"/>
  <c r="BD14" i="38"/>
  <c r="H48" i="36"/>
  <c r="AF29" i="38"/>
  <c r="AI29" i="33"/>
  <c r="AI29" i="38" s="1"/>
  <c r="AI64" i="38" s="1"/>
  <c r="AW62" i="43"/>
  <c r="U32" i="2"/>
  <c r="P34" i="2"/>
  <c r="AW64" i="43" s="1"/>
  <c r="BN89" i="43"/>
  <c r="P14" i="3"/>
  <c r="X13" i="38"/>
  <c r="AC38" i="33"/>
  <c r="K8" i="33"/>
  <c r="X43" i="33"/>
  <c r="X43" i="38" s="1"/>
  <c r="X41" i="33"/>
  <c r="X41" i="38" s="1"/>
  <c r="X76" i="38" s="1"/>
  <c r="Y15" i="33"/>
  <c r="Y15" i="38" s="1"/>
  <c r="Y50" i="38" s="1"/>
  <c r="Z15" i="33"/>
  <c r="Z15" i="38" s="1"/>
  <c r="Z50" i="38" s="1"/>
  <c r="AA15" i="33"/>
  <c r="AA15" i="38" s="1"/>
  <c r="AA50" i="38" s="1"/>
  <c r="F20" i="38"/>
  <c r="F55" i="38" s="1"/>
  <c r="F75" i="38" s="1"/>
  <c r="F40" i="33"/>
  <c r="AV21" i="38"/>
  <c r="AV22" i="38"/>
  <c r="AY22" i="33"/>
  <c r="AY22" i="38" s="1"/>
  <c r="AY57" i="38" s="1"/>
  <c r="E23" i="38"/>
  <c r="E58" i="38" s="1"/>
  <c r="E75" i="38" s="1"/>
  <c r="E40" i="33"/>
  <c r="U26" i="33"/>
  <c r="E38" i="38"/>
  <c r="E73" i="38" s="1"/>
  <c r="AS38" i="33"/>
  <c r="BI38" i="33"/>
  <c r="BQ38" i="33"/>
  <c r="F212" i="67"/>
  <c r="F26" i="67"/>
  <c r="BU16" i="4"/>
  <c r="BV49" i="4" s="1"/>
  <c r="AH35" i="43" s="1"/>
  <c r="AW40" i="33"/>
  <c r="AW40" i="38" s="1"/>
  <c r="BL24" i="38"/>
  <c r="BO24" i="33"/>
  <c r="BO24" i="38" s="1"/>
  <c r="BO59" i="38" s="1"/>
  <c r="BL32" i="38"/>
  <c r="BO32" i="33"/>
  <c r="BO32" i="38" s="1"/>
  <c r="BO67" i="38" s="1"/>
  <c r="BF54" i="43"/>
  <c r="R26" i="39"/>
  <c r="W24" i="2"/>
  <c r="F25" i="3"/>
  <c r="BQ117" i="43"/>
  <c r="BV117" i="43"/>
  <c r="AQ55" i="4"/>
  <c r="T22" i="4"/>
  <c r="L28" i="35"/>
  <c r="L63" i="35" s="1"/>
  <c r="T43" i="4"/>
  <c r="BT29" i="38"/>
  <c r="T41" i="4"/>
  <c r="L26" i="35"/>
  <c r="L61" i="35" s="1"/>
  <c r="BW28" i="38"/>
  <c r="BW63" i="38" s="1"/>
  <c r="BW28" i="35"/>
  <c r="BW63" i="35" s="1"/>
  <c r="M32" i="35"/>
  <c r="M67" i="35" s="1"/>
  <c r="U47" i="4"/>
  <c r="AA55" i="4"/>
  <c r="AX15" i="33"/>
  <c r="AX15" i="38" s="1"/>
  <c r="AX50" i="38" s="1"/>
  <c r="X55" i="38"/>
  <c r="AV59" i="38"/>
  <c r="BL69" i="38"/>
  <c r="BT57" i="35"/>
  <c r="H63" i="35"/>
  <c r="F41" i="3"/>
  <c r="AU73" i="43"/>
  <c r="T53" i="2"/>
  <c r="BC73" i="43" s="1"/>
  <c r="G41" i="3"/>
  <c r="G46" i="36"/>
  <c r="K10" i="38"/>
  <c r="Q7" i="33"/>
  <c r="Q7" i="38" s="1"/>
  <c r="L20" i="38"/>
  <c r="L55" i="38" s="1"/>
  <c r="T20" i="33"/>
  <c r="AY21" i="33"/>
  <c r="AY21" i="38" s="1"/>
  <c r="AY56" i="38" s="1"/>
  <c r="D56" i="36"/>
  <c r="D69" i="36"/>
  <c r="V60" i="3"/>
  <c r="BY117" i="43" s="1"/>
  <c r="J33" i="2"/>
  <c r="H33" i="2"/>
  <c r="AD127" i="67"/>
  <c r="H127" i="67"/>
  <c r="R145" i="67"/>
  <c r="R127" i="67"/>
  <c r="H145" i="67"/>
  <c r="AD145" i="67"/>
  <c r="B195" i="67"/>
  <c r="AP80" i="38"/>
  <c r="AP86" i="38"/>
  <c r="AP81" i="38"/>
  <c r="AP85" i="38"/>
  <c r="Y40" i="33"/>
  <c r="Y40" i="38" s="1"/>
  <c r="S32" i="33"/>
  <c r="S32" i="38" s="1"/>
  <c r="S67" i="38" s="1"/>
  <c r="P32" i="38"/>
  <c r="E75" i="35"/>
  <c r="AO75" i="35"/>
  <c r="AW75" i="38"/>
  <c r="BL59" i="35"/>
  <c r="X69" i="35"/>
  <c r="X75" i="35" s="1"/>
  <c r="F37" i="2"/>
  <c r="F40" i="2"/>
  <c r="F43" i="2" s="1"/>
  <c r="W34" i="2"/>
  <c r="BF64" i="43" s="1"/>
  <c r="H21" i="3"/>
  <c r="BR117" i="43"/>
  <c r="W60" i="3"/>
  <c r="BZ117" i="43" s="1"/>
  <c r="K16" i="43"/>
  <c r="H140" i="67"/>
  <c r="R122" i="67"/>
  <c r="AD140" i="67"/>
  <c r="R140" i="67"/>
  <c r="AD122" i="67"/>
  <c r="H122" i="67"/>
  <c r="B190" i="67"/>
  <c r="P15" i="35"/>
  <c r="P50" i="35" s="1"/>
  <c r="W16" i="43"/>
  <c r="R144" i="67"/>
  <c r="H144" i="67"/>
  <c r="AD126" i="67"/>
  <c r="B194" i="67"/>
  <c r="H126" i="67"/>
  <c r="AD144" i="67"/>
  <c r="AV15" i="35"/>
  <c r="AV50" i="35" s="1"/>
  <c r="H17" i="43"/>
  <c r="J17" i="43" s="1"/>
  <c r="E189" i="67"/>
  <c r="H16" i="33"/>
  <c r="I42" i="36"/>
  <c r="H59" i="4"/>
  <c r="M28" i="35"/>
  <c r="M63" i="35" s="1"/>
  <c r="U43" i="4"/>
  <c r="AW15" i="33"/>
  <c r="AW15" i="38" s="1"/>
  <c r="AW50" i="38" s="1"/>
  <c r="AV41" i="33"/>
  <c r="AV41" i="38" s="1"/>
  <c r="AV76" i="38" s="1"/>
  <c r="AV15" i="33"/>
  <c r="AV15" i="38" s="1"/>
  <c r="AV50" i="38" s="1"/>
  <c r="BA38" i="33"/>
  <c r="K11" i="33"/>
  <c r="AV34" i="38"/>
  <c r="AY34" i="33"/>
  <c r="AY34" i="38" s="1"/>
  <c r="AY69" i="38" s="1"/>
  <c r="BT40" i="33"/>
  <c r="L22" i="35"/>
  <c r="AF61" i="35"/>
  <c r="Y75" i="35"/>
  <c r="BM75" i="35"/>
  <c r="L24" i="38"/>
  <c r="L59" i="38" s="1"/>
  <c r="M26" i="3"/>
  <c r="M29" i="3"/>
  <c r="M31" i="3"/>
  <c r="M43" i="3" s="1"/>
  <c r="T60" i="3"/>
  <c r="BW117" i="43" s="1"/>
  <c r="K9" i="35"/>
  <c r="I16" i="4"/>
  <c r="J23" i="4" s="1"/>
  <c r="BW31" i="35"/>
  <c r="BW66" i="35" s="1"/>
  <c r="BW31" i="38"/>
  <c r="BW66" i="38" s="1"/>
  <c r="M20" i="33"/>
  <c r="M23" i="33"/>
  <c r="BG27" i="33"/>
  <c r="BG27" i="38" s="1"/>
  <c r="BG62" i="38" s="1"/>
  <c r="BW29" i="33"/>
  <c r="BD31" i="38"/>
  <c r="BG31" i="33"/>
  <c r="BG31" i="38" s="1"/>
  <c r="BG66" i="38" s="1"/>
  <c r="J81" i="35"/>
  <c r="J86" i="35"/>
  <c r="J85" i="35"/>
  <c r="BL57" i="35"/>
  <c r="AN64" i="35"/>
  <c r="J80" i="35"/>
  <c r="Y75" i="38"/>
  <c r="J19" i="2"/>
  <c r="H24" i="2"/>
  <c r="H36" i="2" s="1"/>
  <c r="K25" i="3"/>
  <c r="L22" i="3"/>
  <c r="U60" i="3"/>
  <c r="BX117" i="43" s="1"/>
  <c r="G73" i="3"/>
  <c r="BW32" i="35"/>
  <c r="BW67" i="35" s="1"/>
  <c r="BW32" i="38"/>
  <c r="BW67" i="38" s="1"/>
  <c r="X15" i="33"/>
  <c r="X15" i="38" s="1"/>
  <c r="X50" i="38" s="1"/>
  <c r="BW25" i="33"/>
  <c r="BT25" i="38"/>
  <c r="S33" i="33"/>
  <c r="S33" i="38" s="1"/>
  <c r="S68" i="38" s="1"/>
  <c r="P33" i="38"/>
  <c r="N19" i="2"/>
  <c r="AU55" i="43" s="1"/>
  <c r="M41" i="3"/>
  <c r="BW30" i="35"/>
  <c r="BW65" i="35" s="1"/>
  <c r="BW30" i="38"/>
  <c r="BW65" i="38" s="1"/>
  <c r="S55" i="4"/>
  <c r="P40" i="33"/>
  <c r="P20" i="38"/>
  <c r="AN24" i="38"/>
  <c r="AQ24" i="33"/>
  <c r="AQ24" i="38" s="1"/>
  <c r="AQ59" i="38" s="1"/>
  <c r="BT32" i="38"/>
  <c r="BW32" i="33"/>
  <c r="X34" i="38"/>
  <c r="AC34" i="33"/>
  <c r="AX80" i="38"/>
  <c r="AX81" i="38"/>
  <c r="AX85" i="38"/>
  <c r="AX86" i="38"/>
  <c r="T49" i="4"/>
  <c r="U52" i="4"/>
  <c r="R86" i="38"/>
  <c r="R80" i="38"/>
  <c r="R85" i="38"/>
  <c r="R81" i="38"/>
  <c r="X26" i="38"/>
  <c r="AA26" i="33"/>
  <c r="AA26" i="38" s="1"/>
  <c r="AA61" i="38" s="1"/>
  <c r="AN28" i="38"/>
  <c r="BO28" i="33"/>
  <c r="BO28" i="38" s="1"/>
  <c r="BO63" i="38" s="1"/>
  <c r="BL28" i="38"/>
  <c r="AA30" i="33"/>
  <c r="AA30" i="38" s="1"/>
  <c r="AA65" i="38" s="1"/>
  <c r="Q15" i="35"/>
  <c r="Q50" i="35" s="1"/>
  <c r="J29" i="35"/>
  <c r="AN60" i="38"/>
  <c r="Q33" i="2"/>
  <c r="AX63" i="43" s="1"/>
  <c r="N21" i="3"/>
  <c r="U49" i="4"/>
  <c r="Z85" i="38"/>
  <c r="Z86" i="38"/>
  <c r="Z80" i="38"/>
  <c r="Z81" i="38"/>
  <c r="S20" i="33"/>
  <c r="AV40" i="33"/>
  <c r="AY20" i="33"/>
  <c r="AN57" i="38"/>
  <c r="P23" i="38"/>
  <c r="S23" i="33"/>
  <c r="S23" i="38" s="1"/>
  <c r="S58" i="38" s="1"/>
  <c r="S24" i="33"/>
  <c r="S24" i="38" s="1"/>
  <c r="S59" i="38" s="1"/>
  <c r="P63" i="38"/>
  <c r="AA34" i="33"/>
  <c r="AA34" i="38" s="1"/>
  <c r="AA69" i="38" s="1"/>
  <c r="BT68" i="35"/>
  <c r="T33" i="2"/>
  <c r="BC63" i="43" s="1"/>
  <c r="L50" i="3"/>
  <c r="L47" i="3"/>
  <c r="T17" i="43"/>
  <c r="V17" i="43" s="1"/>
  <c r="I46" i="36"/>
  <c r="E193" i="67"/>
  <c r="AN16" i="35"/>
  <c r="AP27" i="35" s="1"/>
  <c r="U26" i="35"/>
  <c r="U61" i="35" s="1"/>
  <c r="AC41" i="4"/>
  <c r="BL56" i="38"/>
  <c r="AI26" i="33"/>
  <c r="AI26" i="38" s="1"/>
  <c r="AI61" i="38" s="1"/>
  <c r="M27" i="33"/>
  <c r="L27" i="33"/>
  <c r="K27" i="33"/>
  <c r="K27" i="38" s="1"/>
  <c r="K62" i="38" s="1"/>
  <c r="BT66" i="38"/>
  <c r="K33" i="2"/>
  <c r="BY106" i="43"/>
  <c r="W40" i="3"/>
  <c r="BZ107" i="43" s="1"/>
  <c r="Q16" i="43"/>
  <c r="R142" i="67"/>
  <c r="H142" i="67"/>
  <c r="R124" i="67"/>
  <c r="H124" i="67"/>
  <c r="AD142" i="67"/>
  <c r="AD124" i="67"/>
  <c r="AF15" i="35"/>
  <c r="AF50" i="35" s="1"/>
  <c r="B192" i="67"/>
  <c r="AC16" i="43"/>
  <c r="BL15" i="35"/>
  <c r="BL50" i="35" s="1"/>
  <c r="AO16" i="4"/>
  <c r="AP23" i="4" s="1"/>
  <c r="BO20" i="35"/>
  <c r="BO55" i="4"/>
  <c r="BE40" i="33"/>
  <c r="BE40" i="38" s="1"/>
  <c r="H56" i="38"/>
  <c r="S28" i="33"/>
  <c r="S28" i="38" s="1"/>
  <c r="S63" i="38" s="1"/>
  <c r="AV32" i="38"/>
  <c r="AY32" i="33"/>
  <c r="AY32" i="38" s="1"/>
  <c r="AY67" i="38" s="1"/>
  <c r="M37" i="33"/>
  <c r="AV43" i="33"/>
  <c r="AV43" i="38" s="1"/>
  <c r="AW15" i="35"/>
  <c r="AW50" i="35" s="1"/>
  <c r="AN16" i="38"/>
  <c r="AP25" i="38" s="1"/>
  <c r="AF17" i="43"/>
  <c r="AH17" i="43" s="1"/>
  <c r="I50" i="36"/>
  <c r="BT16" i="33"/>
  <c r="BT16" i="35"/>
  <c r="BV28" i="35" s="1"/>
  <c r="AX62" i="43"/>
  <c r="V32" i="2"/>
  <c r="Q34" i="2"/>
  <c r="AX64" i="43" s="1"/>
  <c r="AF41" i="33"/>
  <c r="AF41" i="38" s="1"/>
  <c r="AF76" i="38" s="1"/>
  <c r="AI15" i="33"/>
  <c r="AI15" i="38" s="1"/>
  <c r="AI50" i="38" s="1"/>
  <c r="AF43" i="33"/>
  <c r="AF43" i="38" s="1"/>
  <c r="AH15" i="33"/>
  <c r="AH15" i="38" s="1"/>
  <c r="AH50" i="38" s="1"/>
  <c r="AG15" i="33"/>
  <c r="AG15" i="38" s="1"/>
  <c r="AG50" i="38" s="1"/>
  <c r="AF15" i="33"/>
  <c r="AF15" i="38" s="1"/>
  <c r="AF50" i="38" s="1"/>
  <c r="K9" i="33"/>
  <c r="BD62" i="38"/>
  <c r="N40" i="3"/>
  <c r="BN107" i="43" s="1"/>
  <c r="S55" i="35"/>
  <c r="S75" i="35" s="1"/>
  <c r="S40" i="35"/>
  <c r="BU40" i="35"/>
  <c r="J25" i="3"/>
  <c r="K22" i="3"/>
  <c r="K41" i="3"/>
  <c r="F73" i="3"/>
  <c r="K34" i="2"/>
  <c r="L33" i="2"/>
  <c r="AA55" i="35"/>
  <c r="AA75" i="35" s="1"/>
  <c r="AA40" i="35"/>
  <c r="U33" i="35"/>
  <c r="U68" i="35" s="1"/>
  <c r="AC48" i="4"/>
  <c r="BE40" i="35"/>
  <c r="AI21" i="33"/>
  <c r="AI21" i="38" s="1"/>
  <c r="AI56" i="38" s="1"/>
  <c r="AF21" i="38"/>
  <c r="BW21" i="33"/>
  <c r="BT21" i="38"/>
  <c r="BD24" i="38"/>
  <c r="BG24" i="33"/>
  <c r="BG24" i="38" s="1"/>
  <c r="BG59" i="38" s="1"/>
  <c r="X29" i="38"/>
  <c r="AA29" i="33"/>
  <c r="AA29" i="38" s="1"/>
  <c r="AA64" i="38" s="1"/>
  <c r="AQ20" i="35"/>
  <c r="BT65" i="35"/>
  <c r="AF66" i="35"/>
  <c r="BF86" i="35"/>
  <c r="BF85" i="35"/>
  <c r="BF80" i="35"/>
  <c r="P61" i="35"/>
  <c r="AF13" i="38"/>
  <c r="H27" i="38"/>
  <c r="L36" i="2"/>
  <c r="P11" i="2"/>
  <c r="BV106" i="43"/>
  <c r="BQ106" i="43"/>
  <c r="R40" i="3"/>
  <c r="BR107" i="43" s="1"/>
  <c r="Q40" i="3"/>
  <c r="Z17" i="43"/>
  <c r="AB17" i="43" s="1"/>
  <c r="H43" i="36"/>
  <c r="P14" i="38"/>
  <c r="AF20" i="38"/>
  <c r="AF40" i="33"/>
  <c r="BU40" i="33"/>
  <c r="BU40" i="38" s="1"/>
  <c r="P62" i="38"/>
  <c r="AN62" i="38"/>
  <c r="H67" i="38"/>
  <c r="M36" i="33"/>
  <c r="I15" i="35"/>
  <c r="I50" i="35" s="1"/>
  <c r="BU15" i="35"/>
  <c r="BU50" i="35" s="1"/>
  <c r="Q75" i="35"/>
  <c r="BD34" i="38"/>
  <c r="BN85" i="38"/>
  <c r="BN81" i="38"/>
  <c r="BN80" i="38"/>
  <c r="H16" i="43"/>
  <c r="B189" i="67"/>
  <c r="H139" i="67"/>
  <c r="H121" i="67"/>
  <c r="AD139" i="67"/>
  <c r="AD121" i="67"/>
  <c r="R139" i="67"/>
  <c r="R121" i="67"/>
  <c r="T16" i="43"/>
  <c r="R125" i="67"/>
  <c r="B193" i="67"/>
  <c r="H125" i="67"/>
  <c r="R143" i="67"/>
  <c r="AD125" i="67"/>
  <c r="H143" i="67"/>
  <c r="AD143" i="67"/>
  <c r="AN29" i="38"/>
  <c r="BL29" i="38"/>
  <c r="BO29" i="33"/>
  <c r="BO29" i="38" s="1"/>
  <c r="BO64" i="38" s="1"/>
  <c r="M27" i="35"/>
  <c r="M62" i="35" s="1"/>
  <c r="AH85" i="38"/>
  <c r="AH86" i="38"/>
  <c r="AH80" i="38"/>
  <c r="AH81" i="38"/>
  <c r="AI185" i="67"/>
  <c r="H235" i="67"/>
  <c r="B241" i="67"/>
  <c r="H256" i="67"/>
  <c r="E250" i="67"/>
  <c r="B244" i="67"/>
  <c r="E256" i="67"/>
  <c r="H252" i="67"/>
  <c r="H244" i="67"/>
  <c r="H240" i="67"/>
  <c r="H238" i="67"/>
  <c r="H259" i="67"/>
  <c r="B238" i="67"/>
  <c r="E259" i="67"/>
  <c r="B259" i="67"/>
  <c r="E244" i="67"/>
  <c r="H250" i="67"/>
  <c r="E235" i="67"/>
  <c r="H246" i="67"/>
  <c r="E238" i="67"/>
  <c r="B256" i="67"/>
  <c r="E246" i="67"/>
  <c r="B253" i="67"/>
  <c r="B235" i="67"/>
  <c r="E252" i="67"/>
  <c r="B250" i="67"/>
  <c r="B247" i="67"/>
  <c r="F226" i="67"/>
  <c r="O188" i="67"/>
  <c r="B85" i="67"/>
  <c r="W17" i="43"/>
  <c r="Y17" i="43" s="1"/>
  <c r="I47" i="36"/>
  <c r="E194" i="67"/>
  <c r="AV16" i="35"/>
  <c r="AX32" i="35" s="1"/>
  <c r="L27" i="35"/>
  <c r="L62" i="35" s="1"/>
  <c r="T42" i="4"/>
  <c r="BV15" i="33"/>
  <c r="BV15" i="38" s="1"/>
  <c r="BV50" i="38" s="1"/>
  <c r="BW15" i="33"/>
  <c r="BW15" i="38" s="1"/>
  <c r="BW50" i="38" s="1"/>
  <c r="BU15" i="33"/>
  <c r="BU15" i="38" s="1"/>
  <c r="BU50" i="38" s="1"/>
  <c r="BT15" i="33"/>
  <c r="BT15" i="38" s="1"/>
  <c r="BT50" i="38" s="1"/>
  <c r="BT13" i="38"/>
  <c r="G20" i="38"/>
  <c r="G55" i="38" s="1"/>
  <c r="G75" i="38" s="1"/>
  <c r="G40" i="33"/>
  <c r="M22" i="33"/>
  <c r="BT24" i="38"/>
  <c r="BW24" i="33"/>
  <c r="BT28" i="38"/>
  <c r="BU75" i="35"/>
  <c r="AJ185" i="67"/>
  <c r="B83" i="67"/>
  <c r="M188" i="67"/>
  <c r="AU53" i="43"/>
  <c r="M11" i="2"/>
  <c r="M58" i="2" s="1"/>
  <c r="C62" i="2"/>
  <c r="W11" i="2"/>
  <c r="V11" i="2"/>
  <c r="U11" i="2"/>
  <c r="S16" i="43"/>
  <c r="AH15" i="35"/>
  <c r="AH50" i="35" s="1"/>
  <c r="AE16" i="43"/>
  <c r="BN15" i="35"/>
  <c r="BN50" i="35" s="1"/>
  <c r="AY20" i="35"/>
  <c r="AY55" i="4"/>
  <c r="U22" i="35"/>
  <c r="U57" i="35" s="1"/>
  <c r="AC22" i="4"/>
  <c r="H14" i="38"/>
  <c r="H42" i="36"/>
  <c r="BT20" i="38"/>
  <c r="BW20" i="33"/>
  <c r="BD25" i="38"/>
  <c r="BG25" i="33"/>
  <c r="BG25" i="38" s="1"/>
  <c r="BG60" i="38" s="1"/>
  <c r="AV26" i="38"/>
  <c r="AY26" i="33"/>
  <c r="AY26" i="38" s="1"/>
  <c r="AY61" i="38" s="1"/>
  <c r="P64" i="38"/>
  <c r="BL68" i="38"/>
  <c r="H64" i="38"/>
  <c r="F196" i="67"/>
  <c r="D196" i="67"/>
  <c r="C196" i="67"/>
  <c r="L188" i="67"/>
  <c r="B82" i="67"/>
  <c r="Q11" i="2"/>
  <c r="BR106" i="43"/>
  <c r="BW29" i="38"/>
  <c r="BW64" i="38" s="1"/>
  <c r="BW29" i="35"/>
  <c r="BW64" i="35" s="1"/>
  <c r="BO21" i="33"/>
  <c r="BO21" i="38" s="1"/>
  <c r="BO56" i="38" s="1"/>
  <c r="H61" i="38"/>
  <c r="BW30" i="33"/>
  <c r="R11" i="2"/>
  <c r="U16" i="43"/>
  <c r="AO15" i="35"/>
  <c r="AO50" i="35" s="1"/>
  <c r="AC17" i="43"/>
  <c r="AE17" i="43" s="1"/>
  <c r="I49" i="36"/>
  <c r="BL16" i="35"/>
  <c r="BN27" i="35" s="1"/>
  <c r="BL16" i="33"/>
  <c r="BW33" i="38"/>
  <c r="BW68" i="38" s="1"/>
  <c r="BW33" i="35"/>
  <c r="BW68" i="35" s="1"/>
  <c r="K20" i="33"/>
  <c r="AI20" i="33"/>
  <c r="H28" i="38"/>
  <c r="M28" i="33"/>
  <c r="L28" i="33"/>
  <c r="K28" i="33"/>
  <c r="K28" i="38" s="1"/>
  <c r="K63" i="38" s="1"/>
  <c r="S29" i="33"/>
  <c r="S29" i="38" s="1"/>
  <c r="S64" i="38" s="1"/>
  <c r="AN31" i="38"/>
  <c r="AQ31" i="33"/>
  <c r="AQ31" i="38" s="1"/>
  <c r="AQ66" i="38" s="1"/>
  <c r="AF32" i="38"/>
  <c r="AI32" i="33"/>
  <c r="AI32" i="38" s="1"/>
  <c r="AI67" i="38" s="1"/>
  <c r="BO33" i="33"/>
  <c r="BO33" i="38" s="1"/>
  <c r="BO68" i="38" s="1"/>
  <c r="BG34" i="33"/>
  <c r="BG34" i="38" s="1"/>
  <c r="BG69" i="38" s="1"/>
  <c r="BY38" i="33"/>
  <c r="R81" i="35"/>
  <c r="R80" i="35"/>
  <c r="AX86" i="35"/>
  <c r="AX80" i="35"/>
  <c r="AX85" i="35"/>
  <c r="BN86" i="35"/>
  <c r="BN85" i="35"/>
  <c r="BN80" i="35"/>
  <c r="AN67" i="35"/>
  <c r="BV81" i="35"/>
  <c r="BV86" i="35"/>
  <c r="BV80" i="35"/>
  <c r="BV85" i="35"/>
  <c r="BD61" i="35"/>
  <c r="BD75" i="35" s="1"/>
  <c r="BT68" i="38"/>
  <c r="G188" i="67"/>
  <c r="B77" i="67"/>
  <c r="BN101" i="43"/>
  <c r="T11" i="2"/>
  <c r="F34" i="2"/>
  <c r="N39" i="3"/>
  <c r="BX106" i="43"/>
  <c r="V16" i="43"/>
  <c r="AP15" i="35"/>
  <c r="AP50" i="35" s="1"/>
  <c r="BM16" i="4"/>
  <c r="BN33" i="4" s="1"/>
  <c r="BG55" i="35"/>
  <c r="BG75" i="35" s="1"/>
  <c r="BG40" i="35"/>
  <c r="J86" i="38"/>
  <c r="J85" i="38"/>
  <c r="J80" i="38"/>
  <c r="AQ25" i="33"/>
  <c r="AQ25" i="38" s="1"/>
  <c r="AQ60" i="38" s="1"/>
  <c r="BD61" i="38"/>
  <c r="S27" i="33"/>
  <c r="S27" i="38" s="1"/>
  <c r="S62" i="38" s="1"/>
  <c r="AQ27" i="33"/>
  <c r="AQ27" i="38" s="1"/>
  <c r="AQ62" i="38" s="1"/>
  <c r="BD28" i="38"/>
  <c r="AQ29" i="33"/>
  <c r="AQ29" i="38" s="1"/>
  <c r="AQ64" i="38" s="1"/>
  <c r="K32" i="33"/>
  <c r="K32" i="38" s="1"/>
  <c r="K67" i="38" s="1"/>
  <c r="AG15" i="35"/>
  <c r="AG50" i="35" s="1"/>
  <c r="BD16" i="35"/>
  <c r="BF34" i="35" s="1"/>
  <c r="AF63" i="35"/>
  <c r="AW75" i="35"/>
  <c r="R85" i="35"/>
  <c r="O17" i="67"/>
  <c r="O18" i="67"/>
  <c r="O19" i="67" s="1"/>
  <c r="E240" i="67"/>
  <c r="C61" i="36"/>
  <c r="C74" i="36" s="1"/>
  <c r="C34" i="36"/>
  <c r="R9" i="39"/>
  <c r="AW54" i="43"/>
  <c r="D11" i="43"/>
  <c r="D9" i="35"/>
  <c r="M16" i="43"/>
  <c r="R15" i="35"/>
  <c r="R50" i="35" s="1"/>
  <c r="Y16" i="43"/>
  <c r="AX15" i="35"/>
  <c r="AX50" i="35" s="1"/>
  <c r="K17" i="43"/>
  <c r="M17" i="43" s="1"/>
  <c r="E190" i="67"/>
  <c r="I43" i="36"/>
  <c r="P16" i="35"/>
  <c r="R25" i="35" s="1"/>
  <c r="Q16" i="4"/>
  <c r="R44" i="4" s="1"/>
  <c r="M30" i="43" s="1"/>
  <c r="W223" i="67"/>
  <c r="W209" i="67"/>
  <c r="W195" i="67"/>
  <c r="BI38" i="35"/>
  <c r="BI73" i="35" s="1"/>
  <c r="H44" i="36"/>
  <c r="X14" i="38"/>
  <c r="X60" i="38"/>
  <c r="BT61" i="38"/>
  <c r="H30" i="38"/>
  <c r="M30" i="33"/>
  <c r="X66" i="38"/>
  <c r="L34" i="33"/>
  <c r="K34" i="33"/>
  <c r="K34" i="38" s="1"/>
  <c r="K69" i="38" s="1"/>
  <c r="BT58" i="35"/>
  <c r="BT60" i="35"/>
  <c r="BT64" i="35"/>
  <c r="AN32" i="38"/>
  <c r="BU75" i="38"/>
  <c r="R10" i="39"/>
  <c r="AX54" i="43"/>
  <c r="H60" i="38"/>
  <c r="H45" i="36"/>
  <c r="AF14" i="38"/>
  <c r="AF57" i="38"/>
  <c r="R11" i="39"/>
  <c r="AY54" i="43"/>
  <c r="M55" i="35"/>
  <c r="H46" i="36"/>
  <c r="AN14" i="38"/>
  <c r="BV81" i="38"/>
  <c r="BV85" i="38"/>
  <c r="BV80" i="38"/>
  <c r="AN55" i="38"/>
  <c r="AV58" i="38"/>
  <c r="M29" i="33"/>
  <c r="L29" i="33"/>
  <c r="BD40" i="33"/>
  <c r="BI45" i="38"/>
  <c r="BI46" i="33"/>
  <c r="BI46" i="38" s="1"/>
  <c r="AV60" i="35"/>
  <c r="AV75" i="35" s="1"/>
  <c r="AP85" i="35"/>
  <c r="AP86" i="35"/>
  <c r="AP80" i="35"/>
  <c r="R7" i="36"/>
  <c r="F190" i="67" s="1"/>
  <c r="Q7" i="36"/>
  <c r="D190" i="67" s="1"/>
  <c r="P7" i="36"/>
  <c r="C190" i="67" s="1"/>
  <c r="R14" i="61"/>
  <c r="R27" i="61" s="1"/>
  <c r="Y27" i="61" s="1"/>
  <c r="R11" i="61"/>
  <c r="R24" i="61" s="1"/>
  <c r="Y24" i="61" s="1"/>
  <c r="R13" i="61"/>
  <c r="R26" i="61" s="1"/>
  <c r="Y26" i="61" s="1"/>
  <c r="R12" i="61"/>
  <c r="R25" i="61" s="1"/>
  <c r="Y25" i="61" s="1"/>
  <c r="R10" i="61"/>
  <c r="R23" i="61" s="1"/>
  <c r="Y23" i="61" s="1"/>
  <c r="R15" i="61"/>
  <c r="R28" i="61" s="1"/>
  <c r="Y28" i="61" s="1"/>
  <c r="Q17" i="43"/>
  <c r="S17" i="43" s="1"/>
  <c r="E192" i="67"/>
  <c r="I45" i="36"/>
  <c r="AF16" i="35"/>
  <c r="AH31" i="35" s="1"/>
  <c r="H24" i="38"/>
  <c r="M24" i="33"/>
  <c r="K24" i="33"/>
  <c r="K24" i="38" s="1"/>
  <c r="K59" i="38" s="1"/>
  <c r="AA25" i="33"/>
  <c r="AA25" i="38" s="1"/>
  <c r="AA60" i="38" s="1"/>
  <c r="BW26" i="33"/>
  <c r="K30" i="33"/>
  <c r="K30" i="38" s="1"/>
  <c r="K65" i="38" s="1"/>
  <c r="AA31" i="33"/>
  <c r="AA31" i="38" s="1"/>
  <c r="AA66" i="38" s="1"/>
  <c r="X67" i="38"/>
  <c r="M34" i="33"/>
  <c r="Y15" i="35"/>
  <c r="Y50" i="35" s="1"/>
  <c r="P26" i="38"/>
  <c r="AF63" i="38"/>
  <c r="O13" i="61"/>
  <c r="O26" i="61" s="1"/>
  <c r="V26" i="61" s="1"/>
  <c r="O12" i="61"/>
  <c r="O25" i="61" s="1"/>
  <c r="V25" i="61" s="1"/>
  <c r="O15" i="61"/>
  <c r="O28" i="61" s="1"/>
  <c r="V28" i="61" s="1"/>
  <c r="O10" i="61"/>
  <c r="O23" i="61" s="1"/>
  <c r="V23" i="61" s="1"/>
  <c r="O14" i="61"/>
  <c r="O27" i="61" s="1"/>
  <c r="V27" i="61" s="1"/>
  <c r="AP15" i="33"/>
  <c r="AP15" i="38" s="1"/>
  <c r="AP50" i="38" s="1"/>
  <c r="H58" i="38"/>
  <c r="BT58" i="38"/>
  <c r="Z80" i="35"/>
  <c r="Z81" i="35"/>
  <c r="Z86" i="35"/>
  <c r="X58" i="38"/>
  <c r="S149" i="67"/>
  <c r="AE131" i="67"/>
  <c r="I131" i="67"/>
  <c r="AE149" i="67"/>
  <c r="S131" i="67"/>
  <c r="S134" i="67" s="1"/>
  <c r="I149" i="67"/>
  <c r="BL60" i="38"/>
  <c r="H68" i="38"/>
  <c r="AN68" i="38"/>
  <c r="BD68" i="38"/>
  <c r="BW20" i="35"/>
  <c r="BL69" i="35"/>
  <c r="AG75" i="35"/>
  <c r="N16" i="43"/>
  <c r="R123" i="67"/>
  <c r="B191" i="67"/>
  <c r="H123" i="67"/>
  <c r="AD141" i="67"/>
  <c r="R141" i="67"/>
  <c r="AD123" i="67"/>
  <c r="H141" i="67"/>
  <c r="N17" i="43"/>
  <c r="P17" i="43" s="1"/>
  <c r="E191" i="67"/>
  <c r="I44" i="36"/>
  <c r="BF81" i="38"/>
  <c r="BF80" i="38"/>
  <c r="BF85" i="38"/>
  <c r="K23" i="33"/>
  <c r="K23" i="38" s="1"/>
  <c r="K58" i="38" s="1"/>
  <c r="BW23" i="33"/>
  <c r="P65" i="38"/>
  <c r="S31" i="33"/>
  <c r="S31" i="38" s="1"/>
  <c r="S66" i="38" s="1"/>
  <c r="AI31" i="33"/>
  <c r="AI31" i="38" s="1"/>
  <c r="AI66" i="38" s="1"/>
  <c r="BO31" i="33"/>
  <c r="BO31" i="38" s="1"/>
  <c r="BO66" i="38" s="1"/>
  <c r="X16" i="35"/>
  <c r="Z23" i="35" s="1"/>
  <c r="R13" i="36"/>
  <c r="F195" i="67" s="1"/>
  <c r="Q10" i="61"/>
  <c r="Q23" i="61" s="1"/>
  <c r="X23" i="61" s="1"/>
  <c r="Q14" i="61"/>
  <c r="Q27" i="61" s="1"/>
  <c r="X27" i="61" s="1"/>
  <c r="Q13" i="61"/>
  <c r="Q26" i="61" s="1"/>
  <c r="X26" i="61" s="1"/>
  <c r="Q12" i="61"/>
  <c r="Q25" i="61" s="1"/>
  <c r="X25" i="61" s="1"/>
  <c r="Q11" i="61"/>
  <c r="Q24" i="61" s="1"/>
  <c r="X24" i="61" s="1"/>
  <c r="P10" i="36"/>
  <c r="C192" i="67" s="1"/>
  <c r="C254" i="67"/>
  <c r="F254" i="67" s="1"/>
  <c r="I254" i="67" s="1"/>
  <c r="B49" i="67"/>
  <c r="Q13" i="36"/>
  <c r="D195" i="67" s="1"/>
  <c r="P11" i="36"/>
  <c r="C193" i="67" s="1"/>
  <c r="C62" i="36"/>
  <c r="C75" i="36" s="1"/>
  <c r="C35" i="36"/>
  <c r="R12" i="36"/>
  <c r="F194" i="67" s="1"/>
  <c r="Q12" i="36"/>
  <c r="D194" i="67" s="1"/>
  <c r="B81" i="67"/>
  <c r="K188" i="67"/>
  <c r="AG75" i="38"/>
  <c r="Q6" i="36"/>
  <c r="D189" i="67" s="1"/>
  <c r="P6" i="36"/>
  <c r="C189" i="67" s="1"/>
  <c r="P12" i="36"/>
  <c r="C194" i="67" s="1"/>
  <c r="I66" i="39"/>
  <c r="H66" i="39"/>
  <c r="L64" i="39"/>
  <c r="G66" i="39"/>
  <c r="K64" i="39"/>
  <c r="F66" i="39"/>
  <c r="J64" i="39"/>
  <c r="E66" i="39"/>
  <c r="I64" i="39"/>
  <c r="L66" i="39"/>
  <c r="G64" i="39"/>
  <c r="K66" i="39"/>
  <c r="F64" i="39"/>
  <c r="J66" i="39"/>
  <c r="E64" i="39"/>
  <c r="D66" i="39"/>
  <c r="D64" i="39"/>
  <c r="H64" i="39"/>
  <c r="C60" i="36"/>
  <c r="C73" i="36" s="1"/>
  <c r="C33" i="36"/>
  <c r="BM75" i="38"/>
  <c r="R6" i="36"/>
  <c r="F189" i="67" s="1"/>
  <c r="R10" i="36"/>
  <c r="F192" i="67" s="1"/>
  <c r="Q10" i="36"/>
  <c r="D192" i="67" s="1"/>
  <c r="P13" i="61"/>
  <c r="P26" i="61" s="1"/>
  <c r="W26" i="61" s="1"/>
  <c r="G152" i="67"/>
  <c r="AE132" i="67"/>
  <c r="AC183" i="67"/>
  <c r="AE183" i="67" s="1"/>
  <c r="I150" i="67"/>
  <c r="I152" i="67"/>
  <c r="G183" i="67"/>
  <c r="I183" i="67" s="1"/>
  <c r="G184" i="67"/>
  <c r="AE150" i="67"/>
  <c r="S150" i="67"/>
  <c r="M185" i="67"/>
  <c r="S185" i="67"/>
  <c r="F9" i="67" s="1"/>
  <c r="N185" i="67"/>
  <c r="B93" i="67"/>
  <c r="W188" i="67"/>
  <c r="Q184" i="67"/>
  <c r="S22" i="61"/>
  <c r="S9" i="61"/>
  <c r="X134" i="67"/>
  <c r="K185" i="67"/>
  <c r="L158" i="67" s="1"/>
  <c r="I32" i="67"/>
  <c r="F32" i="67"/>
  <c r="C32" i="67"/>
  <c r="P15" i="61"/>
  <c r="P28" i="61" s="1"/>
  <c r="W28" i="61" s="1"/>
  <c r="P12" i="61"/>
  <c r="P25" i="61" s="1"/>
  <c r="W25" i="61" s="1"/>
  <c r="P14" i="61"/>
  <c r="P27" i="61" s="1"/>
  <c r="W27" i="61" s="1"/>
  <c r="P14" i="36"/>
  <c r="C197" i="67" s="1"/>
  <c r="W153" i="67"/>
  <c r="S188" i="67"/>
  <c r="B89" i="67"/>
  <c r="Q14" i="36"/>
  <c r="D197" i="67" s="1"/>
  <c r="P13" i="36"/>
  <c r="C195" i="67" s="1"/>
  <c r="R14" i="36"/>
  <c r="F197" i="67" s="1"/>
  <c r="C25" i="67"/>
  <c r="C26" i="67" s="1"/>
  <c r="X153" i="67"/>
  <c r="I188" i="67"/>
  <c r="B79" i="67"/>
  <c r="Q9" i="36"/>
  <c r="D191" i="67" s="1"/>
  <c r="C36" i="67"/>
  <c r="F35" i="67"/>
  <c r="U185" i="67"/>
  <c r="P216" i="67"/>
  <c r="P202" i="67"/>
  <c r="P9" i="36"/>
  <c r="C191" i="67" s="1"/>
  <c r="F36" i="67"/>
  <c r="I37" i="67"/>
  <c r="W185" i="67"/>
  <c r="Q188" i="67"/>
  <c r="X202" i="67"/>
  <c r="X216" i="67"/>
  <c r="W134" i="67"/>
  <c r="M153" i="67"/>
  <c r="J39" i="4" l="1"/>
  <c r="CC39" i="4" s="1"/>
  <c r="J35" i="4"/>
  <c r="CC35" i="4" s="1"/>
  <c r="J31" i="4"/>
  <c r="CC31" i="4" s="1"/>
  <c r="J27" i="4"/>
  <c r="CC27" i="4" s="1"/>
  <c r="J40" i="4"/>
  <c r="CC40" i="4" s="1"/>
  <c r="BV32" i="4"/>
  <c r="BV40" i="4"/>
  <c r="BV30" i="4"/>
  <c r="BN29" i="4"/>
  <c r="AX26" i="4"/>
  <c r="AX31" i="4"/>
  <c r="BF32" i="4"/>
  <c r="AX24" i="4"/>
  <c r="AX35" i="4"/>
  <c r="BV28" i="4"/>
  <c r="AX23" i="4"/>
  <c r="H222" i="67" s="1"/>
  <c r="AX39" i="4"/>
  <c r="AH38" i="4"/>
  <c r="AH39" i="4"/>
  <c r="BV38" i="4"/>
  <c r="AH35" i="4"/>
  <c r="BV34" i="4"/>
  <c r="AH34" i="4"/>
  <c r="AH40" i="4"/>
  <c r="AH36" i="4"/>
  <c r="Z38" i="4"/>
  <c r="Z37" i="4"/>
  <c r="BN30" i="4"/>
  <c r="BF37" i="4"/>
  <c r="BN26" i="4"/>
  <c r="BF33" i="4"/>
  <c r="BF28" i="4"/>
  <c r="Z49" i="4"/>
  <c r="S205" i="67" s="1"/>
  <c r="AP40" i="4"/>
  <c r="BN34" i="4"/>
  <c r="BF29" i="4"/>
  <c r="AP39" i="4"/>
  <c r="BN38" i="4"/>
  <c r="AX48" i="4"/>
  <c r="R222" i="67" s="1"/>
  <c r="AP35" i="4"/>
  <c r="BV37" i="4"/>
  <c r="AP31" i="4"/>
  <c r="BV33" i="4"/>
  <c r="AP27" i="4"/>
  <c r="BV29" i="4"/>
  <c r="AH27" i="4"/>
  <c r="BV36" i="4"/>
  <c r="N26" i="4"/>
  <c r="N38" i="4"/>
  <c r="N30" i="4"/>
  <c r="N34" i="4"/>
  <c r="N29" i="4"/>
  <c r="N33" i="4"/>
  <c r="N37" i="4"/>
  <c r="N36" i="4"/>
  <c r="N40" i="4"/>
  <c r="N27" i="4"/>
  <c r="N31" i="4"/>
  <c r="N35" i="4"/>
  <c r="N32" i="4"/>
  <c r="N39" i="4"/>
  <c r="N28" i="4"/>
  <c r="Z27" i="4"/>
  <c r="R36" i="4"/>
  <c r="AX45" i="4"/>
  <c r="Y31" i="43" s="1"/>
  <c r="Z36" i="4"/>
  <c r="R28" i="4"/>
  <c r="AX28" i="4"/>
  <c r="AX22" i="4"/>
  <c r="AP36" i="4"/>
  <c r="AH32" i="4"/>
  <c r="BN28" i="4"/>
  <c r="R40" i="4"/>
  <c r="BV26" i="4"/>
  <c r="BF30" i="4"/>
  <c r="J36" i="4"/>
  <c r="CC36" i="4" s="1"/>
  <c r="AX40" i="4"/>
  <c r="J20" i="35"/>
  <c r="AP32" i="4"/>
  <c r="AH28" i="4"/>
  <c r="BN35" i="4"/>
  <c r="R29" i="4"/>
  <c r="BV31" i="4"/>
  <c r="BF35" i="4"/>
  <c r="J32" i="4"/>
  <c r="CC32" i="4" s="1"/>
  <c r="AW16" i="35"/>
  <c r="AW51" i="35" s="1"/>
  <c r="AX46" i="4"/>
  <c r="P222" i="67" s="1"/>
  <c r="J23" i="35"/>
  <c r="AP28" i="4"/>
  <c r="AH33" i="4"/>
  <c r="BN40" i="4"/>
  <c r="R38" i="4"/>
  <c r="BV39" i="4"/>
  <c r="BF38" i="4"/>
  <c r="J28" i="4"/>
  <c r="CC28" i="4" s="1"/>
  <c r="Z35" i="4"/>
  <c r="AX25" i="4"/>
  <c r="J208" i="67" s="1"/>
  <c r="Z40" i="4"/>
  <c r="R32" i="4"/>
  <c r="AX20" i="4"/>
  <c r="I12" i="36" s="1"/>
  <c r="S12" i="36" s="1"/>
  <c r="AP33" i="4"/>
  <c r="AH37" i="4"/>
  <c r="BN27" i="4"/>
  <c r="R34" i="4"/>
  <c r="BV35" i="4"/>
  <c r="BF31" i="4"/>
  <c r="J37" i="4"/>
  <c r="CC37" i="4" s="1"/>
  <c r="Z24" i="4"/>
  <c r="I191" i="67" s="1"/>
  <c r="AX41" i="4"/>
  <c r="K208" i="67" s="1"/>
  <c r="AX27" i="4"/>
  <c r="R33" i="4"/>
  <c r="AX36" i="4"/>
  <c r="J47" i="36"/>
  <c r="X17" i="43"/>
  <c r="AP29" i="4"/>
  <c r="AH29" i="4"/>
  <c r="BN36" i="4"/>
  <c r="R30" i="4"/>
  <c r="BV27" i="4"/>
  <c r="BF27" i="4"/>
  <c r="J33" i="4"/>
  <c r="CC33" i="4" s="1"/>
  <c r="Z23" i="4"/>
  <c r="P24" i="43" s="1"/>
  <c r="Z39" i="4"/>
  <c r="Z21" i="4"/>
  <c r="P22" i="43" s="1"/>
  <c r="Z31" i="4"/>
  <c r="AX38" i="4"/>
  <c r="Z41" i="4"/>
  <c r="K205" i="67" s="1"/>
  <c r="AX32" i="4"/>
  <c r="J34" i="35"/>
  <c r="O37" i="4"/>
  <c r="O29" i="4"/>
  <c r="O33" i="4"/>
  <c r="O40" i="4"/>
  <c r="O36" i="4"/>
  <c r="O30" i="4"/>
  <c r="O39" i="4"/>
  <c r="O32" i="4"/>
  <c r="O28" i="4"/>
  <c r="O31" i="4"/>
  <c r="O26" i="4"/>
  <c r="O27" i="4"/>
  <c r="O35" i="4"/>
  <c r="O34" i="4"/>
  <c r="O38" i="4"/>
  <c r="AX43" i="4"/>
  <c r="N194" i="67" s="1"/>
  <c r="AX44" i="4"/>
  <c r="Y30" i="43" s="1"/>
  <c r="AP37" i="4"/>
  <c r="Z33" i="4"/>
  <c r="BN31" i="4"/>
  <c r="R26" i="4"/>
  <c r="AX33" i="4"/>
  <c r="BF39" i="4"/>
  <c r="J29" i="4"/>
  <c r="CC29" i="4" s="1"/>
  <c r="Z47" i="4"/>
  <c r="Q205" i="67" s="1"/>
  <c r="Z22" i="4"/>
  <c r="G205" i="67" s="1"/>
  <c r="AX47" i="4"/>
  <c r="Q222" i="67" s="1"/>
  <c r="Z32" i="4"/>
  <c r="H194" i="67"/>
  <c r="AX32" i="33"/>
  <c r="AP38" i="4"/>
  <c r="Z34" i="4"/>
  <c r="BN39" i="4"/>
  <c r="R39" i="4"/>
  <c r="AX37" i="4"/>
  <c r="BF34" i="4"/>
  <c r="J38" i="4"/>
  <c r="CC38" i="4" s="1"/>
  <c r="AX21" i="4"/>
  <c r="Y22" i="43" s="1"/>
  <c r="AP34" i="4"/>
  <c r="Z26" i="4"/>
  <c r="BN32" i="4"/>
  <c r="R35" i="4"/>
  <c r="AX29" i="4"/>
  <c r="BF26" i="4"/>
  <c r="J34" i="4"/>
  <c r="CC34" i="4" s="1"/>
  <c r="R37" i="4"/>
  <c r="Z28" i="4"/>
  <c r="AX49" i="4"/>
  <c r="S222" i="67" s="1"/>
  <c r="AP30" i="4"/>
  <c r="Z30" i="4"/>
  <c r="BN37" i="4"/>
  <c r="R31" i="4"/>
  <c r="AX34" i="4"/>
  <c r="BF40" i="4"/>
  <c r="J30" i="4"/>
  <c r="CC30" i="4" s="1"/>
  <c r="AX42" i="4"/>
  <c r="Y28" i="43" s="1"/>
  <c r="J22" i="35"/>
  <c r="AP26" i="4"/>
  <c r="R27" i="4"/>
  <c r="AX30" i="4"/>
  <c r="BF36" i="4"/>
  <c r="J26" i="4"/>
  <c r="CC26" i="4" s="1"/>
  <c r="J31" i="35"/>
  <c r="J28" i="35"/>
  <c r="Z42" i="4"/>
  <c r="P28" i="43" s="1"/>
  <c r="Y16" i="33"/>
  <c r="Y16" i="38" s="1"/>
  <c r="Y51" i="38" s="1"/>
  <c r="J26" i="35"/>
  <c r="N46" i="4"/>
  <c r="N31" i="35" s="1"/>
  <c r="N66" i="35" s="1"/>
  <c r="Z43" i="4"/>
  <c r="P29" i="43" s="1"/>
  <c r="J33" i="35"/>
  <c r="O25" i="4"/>
  <c r="O25" i="35" s="1"/>
  <c r="O60" i="35" s="1"/>
  <c r="Z44" i="4"/>
  <c r="P30" i="43" s="1"/>
  <c r="Z25" i="4"/>
  <c r="J30" i="35"/>
  <c r="J27" i="35"/>
  <c r="J32" i="35"/>
  <c r="Y16" i="35"/>
  <c r="Y51" i="35" s="1"/>
  <c r="Z45" i="4"/>
  <c r="P31" i="43" s="1"/>
  <c r="J44" i="36"/>
  <c r="O17" i="43"/>
  <c r="J21" i="35"/>
  <c r="J25" i="35"/>
  <c r="Z46" i="4"/>
  <c r="P205" i="67" s="1"/>
  <c r="J24" i="35"/>
  <c r="Z20" i="4"/>
  <c r="P21" i="43" s="1"/>
  <c r="Z48" i="4"/>
  <c r="R205" i="67" s="1"/>
  <c r="AI75" i="35"/>
  <c r="H208" i="67"/>
  <c r="AI40" i="35"/>
  <c r="AH22" i="38"/>
  <c r="Z21" i="38"/>
  <c r="R208" i="67"/>
  <c r="M21" i="38"/>
  <c r="M56" i="38" s="1"/>
  <c r="AB24" i="33"/>
  <c r="AJ24" i="33" s="1"/>
  <c r="Z31" i="38"/>
  <c r="O46" i="4"/>
  <c r="O31" i="35" s="1"/>
  <c r="O66" i="35" s="1"/>
  <c r="Z33" i="35"/>
  <c r="M31" i="38"/>
  <c r="M66" i="38" s="1"/>
  <c r="U25" i="33"/>
  <c r="U25" i="38" s="1"/>
  <c r="U60" i="38" s="1"/>
  <c r="AB20" i="4"/>
  <c r="AB20" i="35" s="1"/>
  <c r="X51" i="38"/>
  <c r="Z56" i="38" s="1"/>
  <c r="F240" i="67"/>
  <c r="F205" i="67"/>
  <c r="P25" i="43"/>
  <c r="U33" i="33"/>
  <c r="U33" i="38" s="1"/>
  <c r="U68" i="38" s="1"/>
  <c r="U25" i="35"/>
  <c r="U60" i="35" s="1"/>
  <c r="I40" i="67"/>
  <c r="T25" i="33"/>
  <c r="AB25" i="33" s="1"/>
  <c r="K75" i="35"/>
  <c r="AG16" i="35"/>
  <c r="AG51" i="35" s="1"/>
  <c r="F219" i="67"/>
  <c r="S153" i="67"/>
  <c r="T138" i="67" s="1"/>
  <c r="T153" i="67" s="1"/>
  <c r="I153" i="67"/>
  <c r="T151" i="67" s="1"/>
  <c r="F69" i="67" s="1"/>
  <c r="T33" i="38"/>
  <c r="T68" i="38" s="1"/>
  <c r="AC216" i="67"/>
  <c r="Z24" i="38"/>
  <c r="AB30" i="33"/>
  <c r="AJ30" i="33" s="1"/>
  <c r="J68" i="35"/>
  <c r="AH34" i="38"/>
  <c r="AH32" i="35"/>
  <c r="J61" i="35"/>
  <c r="J60" i="35"/>
  <c r="L21" i="38"/>
  <c r="L56" i="38" s="1"/>
  <c r="J64" i="35"/>
  <c r="I246" i="67"/>
  <c r="T32" i="33"/>
  <c r="AB32" i="33" s="1"/>
  <c r="J63" i="35"/>
  <c r="F221" i="67"/>
  <c r="Z33" i="38"/>
  <c r="AH25" i="38"/>
  <c r="AH23" i="38"/>
  <c r="I240" i="67"/>
  <c r="N48" i="4"/>
  <c r="N33" i="35" s="1"/>
  <c r="N68" i="35" s="1"/>
  <c r="J69" i="35"/>
  <c r="AB47" i="4"/>
  <c r="AB32" i="35" s="1"/>
  <c r="AB67" i="35" s="1"/>
  <c r="T31" i="33"/>
  <c r="AB31" i="33" s="1"/>
  <c r="T21" i="35"/>
  <c r="T56" i="35" s="1"/>
  <c r="C246" i="67"/>
  <c r="AC44" i="4"/>
  <c r="AK44" i="4" s="1"/>
  <c r="F207" i="67"/>
  <c r="T23" i="33"/>
  <c r="T23" i="38" s="1"/>
  <c r="T58" i="38" s="1"/>
  <c r="AH28" i="35"/>
  <c r="AH31" i="38"/>
  <c r="N49" i="4"/>
  <c r="N34" i="35" s="1"/>
  <c r="N69" i="35" s="1"/>
  <c r="Z25" i="38"/>
  <c r="S219" i="67"/>
  <c r="BF22" i="35"/>
  <c r="AC45" i="4"/>
  <c r="AK45" i="4" s="1"/>
  <c r="BN22" i="35"/>
  <c r="Z20" i="38"/>
  <c r="AJ33" i="33"/>
  <c r="AJ33" i="38" s="1"/>
  <c r="AJ68" i="38" s="1"/>
  <c r="AC21" i="4"/>
  <c r="U21" i="35"/>
  <c r="U56" i="35" s="1"/>
  <c r="Z30" i="38"/>
  <c r="AH26" i="35"/>
  <c r="AB22" i="33"/>
  <c r="AB22" i="38" s="1"/>
  <c r="AB57" i="38" s="1"/>
  <c r="N202" i="67"/>
  <c r="Z32" i="38"/>
  <c r="L22" i="38"/>
  <c r="L57" i="38" s="1"/>
  <c r="AP43" i="4"/>
  <c r="V29" i="43" s="1"/>
  <c r="S191" i="67"/>
  <c r="AE134" i="67"/>
  <c r="J47" i="4"/>
  <c r="CC47" i="4" s="1"/>
  <c r="AJ33" i="43" s="1"/>
  <c r="T29" i="35"/>
  <c r="T64" i="35" s="1"/>
  <c r="AB44" i="4"/>
  <c r="E10" i="4"/>
  <c r="H12" i="43" s="1"/>
  <c r="AA202" i="67"/>
  <c r="Z22" i="38"/>
  <c r="J21" i="4"/>
  <c r="J22" i="43" s="1"/>
  <c r="U32" i="33"/>
  <c r="U32" i="38" s="1"/>
  <c r="U67" i="38" s="1"/>
  <c r="BN34" i="35"/>
  <c r="I219" i="67"/>
  <c r="BV24" i="35"/>
  <c r="AH23" i="35"/>
  <c r="AP20" i="38"/>
  <c r="O49" i="4"/>
  <c r="O34" i="35" s="1"/>
  <c r="O69" i="35" s="1"/>
  <c r="L33" i="38"/>
  <c r="L68" i="38" s="1"/>
  <c r="AB25" i="4"/>
  <c r="AB25" i="35" s="1"/>
  <c r="AB60" i="35" s="1"/>
  <c r="AB23" i="4"/>
  <c r="T23" i="35"/>
  <c r="T58" i="35" s="1"/>
  <c r="AH49" i="4"/>
  <c r="S192" i="67" s="1"/>
  <c r="J55" i="35"/>
  <c r="J75" i="35" s="1"/>
  <c r="CC75" i="35" s="1"/>
  <c r="BN30" i="35"/>
  <c r="R21" i="38"/>
  <c r="G48" i="36"/>
  <c r="M6" i="38"/>
  <c r="AX23" i="35"/>
  <c r="AC20" i="4"/>
  <c r="U20" i="35"/>
  <c r="U55" i="35" s="1"/>
  <c r="L178" i="67"/>
  <c r="AB216" i="67"/>
  <c r="AK42" i="4"/>
  <c r="AC27" i="35"/>
  <c r="AC62" i="35" s="1"/>
  <c r="J66" i="35"/>
  <c r="T33" i="35"/>
  <c r="T68" i="35" s="1"/>
  <c r="M8" i="38"/>
  <c r="BN23" i="35"/>
  <c r="AC46" i="4"/>
  <c r="AC31" i="35" s="1"/>
  <c r="AC66" i="35" s="1"/>
  <c r="BG75" i="38"/>
  <c r="J59" i="35"/>
  <c r="L165" i="67"/>
  <c r="L184" i="67"/>
  <c r="M75" i="35"/>
  <c r="N41" i="4"/>
  <c r="N26" i="35" s="1"/>
  <c r="N61" i="35" s="1"/>
  <c r="G50" i="36"/>
  <c r="L182" i="67"/>
  <c r="BF43" i="4"/>
  <c r="AB29" i="43" s="1"/>
  <c r="BV46" i="4"/>
  <c r="AH32" i="43" s="1"/>
  <c r="N25" i="4"/>
  <c r="N25" i="35" s="1"/>
  <c r="N60" i="35" s="1"/>
  <c r="L40" i="33"/>
  <c r="N22" i="33" s="1"/>
  <c r="N22" i="38" s="1"/>
  <c r="N57" i="38" s="1"/>
  <c r="BF30" i="35"/>
  <c r="J45" i="36"/>
  <c r="Q9" i="33"/>
  <c r="Q9" i="38" s="1"/>
  <c r="AH44" i="4"/>
  <c r="S30" i="43" s="1"/>
  <c r="AH20" i="4"/>
  <c r="I10" i="36" s="1"/>
  <c r="S10" i="36" s="1"/>
  <c r="J67" i="35"/>
  <c r="AH30" i="35"/>
  <c r="BV24" i="4"/>
  <c r="AH25" i="43" s="1"/>
  <c r="R28" i="38"/>
  <c r="AH22" i="4"/>
  <c r="G206" i="67" s="1"/>
  <c r="J57" i="35"/>
  <c r="AH45" i="4"/>
  <c r="S31" i="43" s="1"/>
  <c r="R17" i="43"/>
  <c r="AH42" i="4"/>
  <c r="L220" i="67" s="1"/>
  <c r="N45" i="4"/>
  <c r="N30" i="35" s="1"/>
  <c r="N65" i="35" s="1"/>
  <c r="R29" i="38"/>
  <c r="BN28" i="35"/>
  <c r="R27" i="38"/>
  <c r="AB45" i="4"/>
  <c r="AB30" i="35" s="1"/>
  <c r="AB65" i="35" s="1"/>
  <c r="BN21" i="35"/>
  <c r="BF25" i="35"/>
  <c r="L26" i="38"/>
  <c r="L61" i="38" s="1"/>
  <c r="AB46" i="4"/>
  <c r="AJ46" i="4" s="1"/>
  <c r="V175" i="67"/>
  <c r="N23" i="4"/>
  <c r="N23" i="35" s="1"/>
  <c r="N58" i="35" s="1"/>
  <c r="N22" i="4"/>
  <c r="N22" i="35" s="1"/>
  <c r="N57" i="35" s="1"/>
  <c r="P75" i="35"/>
  <c r="N43" i="4"/>
  <c r="N28" i="35" s="1"/>
  <c r="N63" i="35" s="1"/>
  <c r="J65" i="35"/>
  <c r="AC23" i="4"/>
  <c r="U23" i="35"/>
  <c r="U58" i="35" s="1"/>
  <c r="N42" i="4"/>
  <c r="N27" i="35" s="1"/>
  <c r="N62" i="35" s="1"/>
  <c r="M7" i="38"/>
  <c r="G49" i="36"/>
  <c r="Q10" i="33"/>
  <c r="Q10" i="38" s="1"/>
  <c r="AX20" i="35"/>
  <c r="BF41" i="4"/>
  <c r="AB27" i="43" s="1"/>
  <c r="J56" i="35"/>
  <c r="BW75" i="38"/>
  <c r="AF51" i="38"/>
  <c r="AH57" i="38" s="1"/>
  <c r="AH30" i="38"/>
  <c r="BF24" i="4"/>
  <c r="AB25" i="43" s="1"/>
  <c r="AX24" i="33"/>
  <c r="BV23" i="35"/>
  <c r="AP23" i="35"/>
  <c r="O23" i="4"/>
  <c r="O23" i="35" s="1"/>
  <c r="O58" i="35" s="1"/>
  <c r="BF20" i="4"/>
  <c r="AB21" i="43" s="1"/>
  <c r="J48" i="36"/>
  <c r="BF22" i="4"/>
  <c r="AB23" i="43" s="1"/>
  <c r="BV30" i="35"/>
  <c r="AA40" i="33"/>
  <c r="AA40" i="38" s="1"/>
  <c r="AP20" i="35"/>
  <c r="O47" i="4"/>
  <c r="O32" i="35" s="1"/>
  <c r="O67" i="35" s="1"/>
  <c r="AP46" i="4"/>
  <c r="P207" i="67" s="1"/>
  <c r="BN20" i="35"/>
  <c r="AH43" i="4"/>
  <c r="N220" i="67" s="1"/>
  <c r="AX25" i="33"/>
  <c r="P23" i="43"/>
  <c r="AH28" i="38"/>
  <c r="AA17" i="43"/>
  <c r="AP48" i="4"/>
  <c r="V34" i="43" s="1"/>
  <c r="BV33" i="35"/>
  <c r="AG16" i="33"/>
  <c r="AH23" i="33" s="1"/>
  <c r="AX23" i="33"/>
  <c r="CC81" i="35"/>
  <c r="AP41" i="4"/>
  <c r="V27" i="43" s="1"/>
  <c r="CC86" i="38"/>
  <c r="AQ75" i="38"/>
  <c r="AP32" i="35"/>
  <c r="AX26" i="33"/>
  <c r="AP44" i="4"/>
  <c r="V30" i="43" s="1"/>
  <c r="O220" i="67"/>
  <c r="AX27" i="33"/>
  <c r="H219" i="67"/>
  <c r="AP25" i="35"/>
  <c r="BE16" i="35"/>
  <c r="BE51" i="35" s="1"/>
  <c r="AV16" i="38"/>
  <c r="AX22" i="38" s="1"/>
  <c r="AH27" i="38"/>
  <c r="H205" i="67"/>
  <c r="H191" i="67"/>
  <c r="Z30" i="35"/>
  <c r="AP25" i="4"/>
  <c r="J207" i="67" s="1"/>
  <c r="AH34" i="35"/>
  <c r="AP31" i="35"/>
  <c r="O48" i="4"/>
  <c r="O33" i="35" s="1"/>
  <c r="O68" i="35" s="1"/>
  <c r="AH21" i="4"/>
  <c r="S22" i="43" s="1"/>
  <c r="BF23" i="35"/>
  <c r="O51" i="4"/>
  <c r="O36" i="35" s="1"/>
  <c r="O71" i="35" s="1"/>
  <c r="AH41" i="4"/>
  <c r="AX31" i="33"/>
  <c r="BV22" i="35"/>
  <c r="BV32" i="35"/>
  <c r="BV21" i="35"/>
  <c r="BV34" i="35"/>
  <c r="AX28" i="33"/>
  <c r="BV25" i="4"/>
  <c r="AH26" i="43" s="1"/>
  <c r="AX33" i="33"/>
  <c r="AX34" i="33"/>
  <c r="AX22" i="33"/>
  <c r="AP33" i="35"/>
  <c r="BV29" i="35"/>
  <c r="BF25" i="4"/>
  <c r="AB26" i="43" s="1"/>
  <c r="BE16" i="33"/>
  <c r="BF26" i="33" s="1"/>
  <c r="BF48" i="4"/>
  <c r="AB34" i="43" s="1"/>
  <c r="BF42" i="4"/>
  <c r="AB28" i="43" s="1"/>
  <c r="BF23" i="4"/>
  <c r="AB24" i="43" s="1"/>
  <c r="BF49" i="4"/>
  <c r="AB35" i="43" s="1"/>
  <c r="BF45" i="4"/>
  <c r="AB31" i="43" s="1"/>
  <c r="BV25" i="35"/>
  <c r="AP27" i="38"/>
  <c r="AP42" i="4"/>
  <c r="L207" i="67" s="1"/>
  <c r="AX29" i="33"/>
  <c r="P191" i="67"/>
  <c r="AX30" i="33"/>
  <c r="AH23" i="4"/>
  <c r="H220" i="67" s="1"/>
  <c r="AP21" i="4"/>
  <c r="V22" i="43" s="1"/>
  <c r="BN33" i="35"/>
  <c r="AH29" i="35"/>
  <c r="BF44" i="4"/>
  <c r="AB30" i="43" s="1"/>
  <c r="AP26" i="35"/>
  <c r="BV45" i="4"/>
  <c r="AH31" i="43" s="1"/>
  <c r="BF21" i="4"/>
  <c r="AB22" i="43" s="1"/>
  <c r="AX20" i="33"/>
  <c r="AX21" i="33"/>
  <c r="BF47" i="4"/>
  <c r="AB33" i="43" s="1"/>
  <c r="AH24" i="4"/>
  <c r="AH48" i="4"/>
  <c r="AH25" i="4"/>
  <c r="AH26" i="38"/>
  <c r="AX28" i="35"/>
  <c r="AH27" i="35"/>
  <c r="BG40" i="33"/>
  <c r="BG40" i="38" s="1"/>
  <c r="AH47" i="4"/>
  <c r="S33" i="43" s="1"/>
  <c r="AU11" i="60"/>
  <c r="S11" i="60" s="1"/>
  <c r="AT11" i="60"/>
  <c r="AN11" i="60"/>
  <c r="AQ11" i="60"/>
  <c r="P11" i="60" s="1"/>
  <c r="AP11" i="60"/>
  <c r="O11" i="60" s="1"/>
  <c r="AO11" i="60"/>
  <c r="BE11" i="60"/>
  <c r="AD11" i="60" s="1"/>
  <c r="BD11" i="60"/>
  <c r="BA11" i="60"/>
  <c r="AZ11" i="60"/>
  <c r="AW11" i="60"/>
  <c r="AI11" i="60" s="1"/>
  <c r="F45" i="2"/>
  <c r="F60" i="2"/>
  <c r="F55" i="2"/>
  <c r="G44" i="2"/>
  <c r="F59" i="2"/>
  <c r="J24" i="43"/>
  <c r="H203" i="67"/>
  <c r="H189" i="67"/>
  <c r="H217" i="67"/>
  <c r="CC23" i="4"/>
  <c r="AJ24" i="43" s="1"/>
  <c r="Y23" i="43"/>
  <c r="G194" i="67"/>
  <c r="G208" i="67"/>
  <c r="G222" i="67"/>
  <c r="N22" i="3"/>
  <c r="BN97" i="43" s="1"/>
  <c r="H25" i="3"/>
  <c r="J22" i="3"/>
  <c r="H73" i="3"/>
  <c r="T22" i="3"/>
  <c r="BW97" i="43" s="1"/>
  <c r="R23" i="35"/>
  <c r="T28" i="35"/>
  <c r="T63" i="35" s="1"/>
  <c r="AB43" i="4"/>
  <c r="BL55" i="38"/>
  <c r="M24" i="38"/>
  <c r="M59" i="38" s="1"/>
  <c r="U24" i="33"/>
  <c r="H75" i="35"/>
  <c r="BT59" i="38"/>
  <c r="V24" i="39"/>
  <c r="M15" i="39" s="1"/>
  <c r="AR11" i="39" s="1"/>
  <c r="X24" i="39"/>
  <c r="O15" i="39" s="1"/>
  <c r="AN40" i="38"/>
  <c r="E258" i="67"/>
  <c r="B252" i="67"/>
  <c r="H253" i="67"/>
  <c r="E247" i="67"/>
  <c r="H237" i="67"/>
  <c r="B249" i="67"/>
  <c r="B237" i="67"/>
  <c r="H258" i="67"/>
  <c r="E249" i="67"/>
  <c r="E253" i="67"/>
  <c r="H243" i="67"/>
  <c r="B243" i="67"/>
  <c r="E237" i="67"/>
  <c r="H247" i="67"/>
  <c r="B258" i="67"/>
  <c r="E243" i="67"/>
  <c r="H255" i="67"/>
  <c r="H241" i="67"/>
  <c r="E255" i="67"/>
  <c r="B255" i="67"/>
  <c r="E241" i="67"/>
  <c r="B240" i="67"/>
  <c r="H249" i="67"/>
  <c r="B246" i="67"/>
  <c r="G47" i="3"/>
  <c r="G50" i="3"/>
  <c r="G44" i="3"/>
  <c r="AH180" i="67"/>
  <c r="I252" i="67"/>
  <c r="F209" i="67"/>
  <c r="F223" i="67"/>
  <c r="F252" i="67"/>
  <c r="C252" i="67"/>
  <c r="M40" i="35"/>
  <c r="L57" i="35"/>
  <c r="L75" i="35" s="1"/>
  <c r="L40" i="35"/>
  <c r="L181" i="67"/>
  <c r="AV56" i="38"/>
  <c r="R34" i="38"/>
  <c r="P69" i="38"/>
  <c r="AC49" i="4"/>
  <c r="U34" i="35"/>
  <c r="U69" i="35" s="1"/>
  <c r="AN56" i="38"/>
  <c r="AP21" i="38"/>
  <c r="AE185" i="67"/>
  <c r="I9" i="67" s="1"/>
  <c r="M37" i="38"/>
  <c r="M72" i="38" s="1"/>
  <c r="U37" i="33"/>
  <c r="V178" i="67"/>
  <c r="P51" i="38"/>
  <c r="R62" i="38" s="1"/>
  <c r="R31" i="38"/>
  <c r="R24" i="38"/>
  <c r="AA75" i="38"/>
  <c r="G73" i="36"/>
  <c r="J61" i="36"/>
  <c r="D60" i="36"/>
  <c r="L75" i="36"/>
  <c r="E74" i="36"/>
  <c r="F60" i="36"/>
  <c r="K75" i="36"/>
  <c r="D74" i="36"/>
  <c r="L61" i="36"/>
  <c r="E60" i="36"/>
  <c r="J75" i="36"/>
  <c r="K61" i="36"/>
  <c r="G75" i="36"/>
  <c r="F73" i="36"/>
  <c r="E61" i="36"/>
  <c r="F75" i="36"/>
  <c r="E73" i="36"/>
  <c r="D61" i="36"/>
  <c r="E75" i="36"/>
  <c r="D73" i="36"/>
  <c r="H73" i="36"/>
  <c r="D62" i="36"/>
  <c r="I61" i="36"/>
  <c r="I75" i="36"/>
  <c r="H61" i="36"/>
  <c r="H74" i="36"/>
  <c r="L60" i="36"/>
  <c r="G74" i="36"/>
  <c r="K60" i="36"/>
  <c r="F74" i="36"/>
  <c r="J60" i="36"/>
  <c r="I74" i="36"/>
  <c r="J62" i="36"/>
  <c r="L73" i="36"/>
  <c r="I62" i="36"/>
  <c r="K73" i="36"/>
  <c r="H62" i="36"/>
  <c r="J73" i="36"/>
  <c r="G62" i="36"/>
  <c r="G61" i="36"/>
  <c r="H75" i="36"/>
  <c r="F61" i="36"/>
  <c r="D75" i="36"/>
  <c r="I60" i="36"/>
  <c r="L74" i="36"/>
  <c r="H60" i="36"/>
  <c r="K74" i="36"/>
  <c r="J74" i="36"/>
  <c r="E62" i="36"/>
  <c r="G60" i="36"/>
  <c r="I73" i="36"/>
  <c r="L62" i="36"/>
  <c r="K62" i="36"/>
  <c r="F62" i="36"/>
  <c r="BI38" i="38"/>
  <c r="BI73" i="38" s="1"/>
  <c r="E65" i="4"/>
  <c r="AN69" i="38"/>
  <c r="AP34" i="38"/>
  <c r="AH173" i="67"/>
  <c r="AF55" i="38"/>
  <c r="AH20" i="38"/>
  <c r="AX22" i="35"/>
  <c r="X61" i="38"/>
  <c r="Z26" i="38"/>
  <c r="AQ40" i="33"/>
  <c r="AQ40" i="38" s="1"/>
  <c r="J42" i="4"/>
  <c r="AS38" i="38"/>
  <c r="AS73" i="38" s="1"/>
  <c r="R28" i="35"/>
  <c r="Q202" i="67"/>
  <c r="Q216" i="67"/>
  <c r="BW55" i="35"/>
  <c r="BW75" i="35" s="1"/>
  <c r="BW40" i="35"/>
  <c r="AP30" i="35"/>
  <c r="AP24" i="35"/>
  <c r="AN51" i="35"/>
  <c r="AP64" i="35" s="1"/>
  <c r="P58" i="38"/>
  <c r="R23" i="38"/>
  <c r="U36" i="35"/>
  <c r="U71" i="35" s="1"/>
  <c r="AC51" i="4"/>
  <c r="V168" i="67"/>
  <c r="V172" i="67"/>
  <c r="V165" i="67"/>
  <c r="Q24" i="39"/>
  <c r="Q49" i="39"/>
  <c r="BD53" i="43"/>
  <c r="U58" i="2"/>
  <c r="BD78" i="43" s="1"/>
  <c r="AC33" i="35"/>
  <c r="AC68" i="35" s="1"/>
  <c r="AK48" i="4"/>
  <c r="AC34" i="38"/>
  <c r="AC69" i="38" s="1"/>
  <c r="AK34" i="33"/>
  <c r="AV69" i="38"/>
  <c r="AH182" i="67"/>
  <c r="V161" i="67"/>
  <c r="V167" i="67"/>
  <c r="V170" i="67"/>
  <c r="BF33" i="38"/>
  <c r="AX24" i="35"/>
  <c r="BE53" i="43"/>
  <c r="Q25" i="39"/>
  <c r="Q50" i="39"/>
  <c r="V58" i="2"/>
  <c r="BE78" i="43" s="1"/>
  <c r="O216" i="67"/>
  <c r="O202" i="67"/>
  <c r="AH157" i="67"/>
  <c r="Z34" i="38"/>
  <c r="X69" i="38"/>
  <c r="K40" i="35"/>
  <c r="BV43" i="4"/>
  <c r="AH29" i="43" s="1"/>
  <c r="R30" i="38"/>
  <c r="R14" i="39"/>
  <c r="X9" i="39"/>
  <c r="V9" i="39"/>
  <c r="BF53" i="43"/>
  <c r="Q51" i="39"/>
  <c r="Q26" i="39"/>
  <c r="W58" i="2"/>
  <c r="BF78" i="43" s="1"/>
  <c r="J29" i="3"/>
  <c r="J31" i="3"/>
  <c r="J43" i="3" s="1"/>
  <c r="K26" i="3"/>
  <c r="BV44" i="4"/>
  <c r="AH30" i="43" s="1"/>
  <c r="AC26" i="35"/>
  <c r="AC61" i="35" s="1"/>
  <c r="AK41" i="4"/>
  <c r="AY20" i="38"/>
  <c r="AY55" i="38" s="1"/>
  <c r="AY75" i="38" s="1"/>
  <c r="AY40" i="33"/>
  <c r="AY40" i="38" s="1"/>
  <c r="AP28" i="35"/>
  <c r="C251" i="67"/>
  <c r="F251" i="67" s="1"/>
  <c r="I251" i="67" s="1"/>
  <c r="B48" i="67"/>
  <c r="O53" i="4"/>
  <c r="O38" i="35" s="1"/>
  <c r="O73" i="35" s="1"/>
  <c r="AU54" i="43"/>
  <c r="P19" i="2"/>
  <c r="AW55" i="43" s="1"/>
  <c r="N24" i="2"/>
  <c r="T18" i="2"/>
  <c r="CC85" i="38"/>
  <c r="CC85" i="35"/>
  <c r="BW40" i="33"/>
  <c r="BW40" i="38" s="1"/>
  <c r="BF26" i="35"/>
  <c r="AJ47" i="4"/>
  <c r="R22" i="35"/>
  <c r="G45" i="36"/>
  <c r="K9" i="38"/>
  <c r="Q6" i="33"/>
  <c r="Q6" i="38" s="1"/>
  <c r="BV31" i="35"/>
  <c r="BV27" i="35"/>
  <c r="BV26" i="35"/>
  <c r="BV20" i="35"/>
  <c r="BT51" i="35"/>
  <c r="BV64" i="35" s="1"/>
  <c r="BO40" i="35"/>
  <c r="BO55" i="35"/>
  <c r="BO75" i="35" s="1"/>
  <c r="AH25" i="35"/>
  <c r="AV40" i="38"/>
  <c r="BF31" i="35"/>
  <c r="AB30" i="38"/>
  <c r="AB65" i="38" s="1"/>
  <c r="J44" i="4"/>
  <c r="P67" i="38"/>
  <c r="R32" i="38"/>
  <c r="BL59" i="38"/>
  <c r="BQ88" i="43"/>
  <c r="Q65" i="3"/>
  <c r="BQ122" i="43" s="1"/>
  <c r="AF68" i="38"/>
  <c r="AH33" i="38"/>
  <c r="X63" i="38"/>
  <c r="Z28" i="38"/>
  <c r="N34" i="2"/>
  <c r="AU64" i="43" s="1"/>
  <c r="BF24" i="35"/>
  <c r="BD69" i="38"/>
  <c r="BF34" i="38"/>
  <c r="C242" i="67"/>
  <c r="F242" i="67" s="1"/>
  <c r="I242" i="67" s="1"/>
  <c r="B45" i="67"/>
  <c r="BL63" i="38"/>
  <c r="U23" i="33"/>
  <c r="M23" i="38"/>
  <c r="M58" i="38" s="1"/>
  <c r="B63" i="67"/>
  <c r="B37" i="67"/>
  <c r="BF60" i="43"/>
  <c r="W36" i="2"/>
  <c r="AF64" i="38"/>
  <c r="AH29" i="38"/>
  <c r="BX88" i="43"/>
  <c r="U65" i="3"/>
  <c r="BX122" i="43" s="1"/>
  <c r="K216" i="67"/>
  <c r="K202" i="67"/>
  <c r="F204" i="67"/>
  <c r="I237" i="67"/>
  <c r="C237" i="67"/>
  <c r="F218" i="67"/>
  <c r="F237" i="67"/>
  <c r="Y27" i="43"/>
  <c r="K194" i="67"/>
  <c r="R33" i="35"/>
  <c r="X26" i="39"/>
  <c r="V26" i="39"/>
  <c r="AV57" i="38"/>
  <c r="BZ88" i="43"/>
  <c r="W65" i="3"/>
  <c r="BZ122" i="43" s="1"/>
  <c r="V183" i="67"/>
  <c r="AH181" i="67"/>
  <c r="L180" i="67"/>
  <c r="L159" i="67"/>
  <c r="V164" i="67"/>
  <c r="V171" i="67"/>
  <c r="L168" i="67"/>
  <c r="AH164" i="67"/>
  <c r="L157" i="67"/>
  <c r="AH183" i="67"/>
  <c r="AH169" i="67"/>
  <c r="V177" i="67"/>
  <c r="L179" i="67"/>
  <c r="L166" i="67"/>
  <c r="AH160" i="67"/>
  <c r="AH178" i="67"/>
  <c r="V174" i="67"/>
  <c r="AH171" i="67"/>
  <c r="V181" i="67"/>
  <c r="V182" i="67"/>
  <c r="V180" i="67"/>
  <c r="AH176" i="67"/>
  <c r="AH163" i="67"/>
  <c r="AH175" i="67"/>
  <c r="AH162" i="67"/>
  <c r="V166" i="67"/>
  <c r="AH159" i="67"/>
  <c r="AH179" i="67"/>
  <c r="L170" i="67"/>
  <c r="L161" i="67"/>
  <c r="L169" i="67"/>
  <c r="L160" i="67"/>
  <c r="L177" i="67"/>
  <c r="L176" i="67"/>
  <c r="L175" i="67"/>
  <c r="V160" i="67"/>
  <c r="V159" i="67"/>
  <c r="V158" i="67"/>
  <c r="AH166" i="67"/>
  <c r="AH165" i="67"/>
  <c r="V184" i="67"/>
  <c r="BY38" i="38"/>
  <c r="BY73" i="38" s="1"/>
  <c r="M22" i="38"/>
  <c r="M57" i="38" s="1"/>
  <c r="U22" i="33"/>
  <c r="AP29" i="38"/>
  <c r="AN64" i="38"/>
  <c r="BF21" i="38"/>
  <c r="BD51" i="38"/>
  <c r="BF55" i="38" s="1"/>
  <c r="BF22" i="38"/>
  <c r="BF30" i="38"/>
  <c r="M20" i="38"/>
  <c r="M55" i="38" s="1"/>
  <c r="U20" i="33"/>
  <c r="M40" i="33"/>
  <c r="O23" i="33" s="1"/>
  <c r="O23" i="38" s="1"/>
  <c r="O58" i="38" s="1"/>
  <c r="F258" i="67"/>
  <c r="C258" i="67"/>
  <c r="F225" i="67"/>
  <c r="F211" i="67"/>
  <c r="I258" i="67"/>
  <c r="AD17" i="43"/>
  <c r="J49" i="36"/>
  <c r="BM16" i="35"/>
  <c r="BM51" i="35" s="1"/>
  <c r="BM16" i="33"/>
  <c r="BN27" i="33" s="1"/>
  <c r="BN25" i="4"/>
  <c r="AE26" i="43" s="1"/>
  <c r="BN23" i="4"/>
  <c r="AE24" i="43" s="1"/>
  <c r="BN48" i="4"/>
  <c r="AE34" i="43" s="1"/>
  <c r="BN42" i="4"/>
  <c r="AE28" i="43" s="1"/>
  <c r="BN41" i="4"/>
  <c r="AE27" i="43" s="1"/>
  <c r="BN22" i="4"/>
  <c r="AE23" i="43" s="1"/>
  <c r="BN44" i="4"/>
  <c r="AE30" i="43" s="1"/>
  <c r="BN20" i="4"/>
  <c r="BN24" i="4"/>
  <c r="AE25" i="43" s="1"/>
  <c r="BN46" i="4"/>
  <c r="AE32" i="43" s="1"/>
  <c r="BN47" i="4"/>
  <c r="AE33" i="43" s="1"/>
  <c r="BN45" i="4"/>
  <c r="AE31" i="43" s="1"/>
  <c r="T27" i="33"/>
  <c r="L27" i="38"/>
  <c r="L62" i="38" s="1"/>
  <c r="AN65" i="38"/>
  <c r="AP30" i="38"/>
  <c r="V162" i="67"/>
  <c r="T29" i="33"/>
  <c r="L29" i="38"/>
  <c r="L64" i="38" s="1"/>
  <c r="G216" i="67"/>
  <c r="G202" i="67"/>
  <c r="BE62" i="43"/>
  <c r="W33" i="2"/>
  <c r="BF63" i="43" s="1"/>
  <c r="V34" i="2"/>
  <c r="BE64" i="43" s="1"/>
  <c r="M27" i="38"/>
  <c r="M62" i="38" s="1"/>
  <c r="U27" i="33"/>
  <c r="P55" i="38"/>
  <c r="R20" i="38"/>
  <c r="AX29" i="35"/>
  <c r="AX27" i="35"/>
  <c r="AX26" i="35"/>
  <c r="AX34" i="35"/>
  <c r="AX31" i="35"/>
  <c r="AV51" i="35"/>
  <c r="AX60" i="35" s="1"/>
  <c r="H62" i="38"/>
  <c r="BQ38" i="38"/>
  <c r="BQ73" i="38" s="1"/>
  <c r="BD64" i="38"/>
  <c r="BF29" i="38"/>
  <c r="M40" i="2"/>
  <c r="M37" i="2"/>
  <c r="M43" i="2"/>
  <c r="AH184" i="67"/>
  <c r="BL16" i="38"/>
  <c r="BN32" i="38" s="1"/>
  <c r="BV47" i="4"/>
  <c r="AH33" i="43" s="1"/>
  <c r="BT40" i="38"/>
  <c r="B58" i="67"/>
  <c r="B32" i="67"/>
  <c r="BE60" i="43"/>
  <c r="V36" i="2"/>
  <c r="AY66" i="43"/>
  <c r="R40" i="2"/>
  <c r="R43" i="2" s="1"/>
  <c r="R37" i="2"/>
  <c r="AY67" i="43" s="1"/>
  <c r="AH158" i="67"/>
  <c r="L162" i="67"/>
  <c r="M34" i="38"/>
  <c r="M69" i="38" s="1"/>
  <c r="C255" i="67"/>
  <c r="F255" i="67"/>
  <c r="F224" i="67"/>
  <c r="I255" i="67"/>
  <c r="F210" i="67"/>
  <c r="BP89" i="43"/>
  <c r="Q14" i="3"/>
  <c r="P21" i="3"/>
  <c r="K45" i="2"/>
  <c r="K55" i="2"/>
  <c r="K60" i="2"/>
  <c r="K59" i="2"/>
  <c r="BN43" i="4"/>
  <c r="AE29" i="43" s="1"/>
  <c r="C233" i="67"/>
  <c r="B42" i="67"/>
  <c r="D58" i="36"/>
  <c r="F29" i="3"/>
  <c r="G26" i="3"/>
  <c r="F31" i="3"/>
  <c r="F43" i="3" s="1"/>
  <c r="BD60" i="38"/>
  <c r="BF25" i="38"/>
  <c r="O52" i="4"/>
  <c r="O37" i="35" s="1"/>
  <c r="O72" i="35" s="1"/>
  <c r="O43" i="4"/>
  <c r="O28" i="35" s="1"/>
  <c r="O63" i="35" s="1"/>
  <c r="U26" i="38"/>
  <c r="U61" i="38" s="1"/>
  <c r="AC26" i="33"/>
  <c r="J60" i="2"/>
  <c r="J45" i="2"/>
  <c r="J55" i="2"/>
  <c r="J59" i="2"/>
  <c r="K44" i="2"/>
  <c r="BC53" i="43"/>
  <c r="T58" i="2"/>
  <c r="BC78" i="43" s="1"/>
  <c r="AN51" i="38"/>
  <c r="AP57" i="38" s="1"/>
  <c r="AP26" i="38"/>
  <c r="AP23" i="38"/>
  <c r="U28" i="35"/>
  <c r="U63" i="35" s="1"/>
  <c r="AC43" i="4"/>
  <c r="BT55" i="38"/>
  <c r="Q9" i="39"/>
  <c r="AW53" i="43"/>
  <c r="Q34" i="39"/>
  <c r="P58" i="2"/>
  <c r="AW78" i="43" s="1"/>
  <c r="BV48" i="4"/>
  <c r="AH34" i="43" s="1"/>
  <c r="U17" i="43"/>
  <c r="J46" i="36"/>
  <c r="AO16" i="35"/>
  <c r="AO51" i="35" s="1"/>
  <c r="AO16" i="33"/>
  <c r="AP45" i="4"/>
  <c r="AP24" i="4"/>
  <c r="AP47" i="4"/>
  <c r="AP20" i="4"/>
  <c r="AP49" i="4"/>
  <c r="AP22" i="4"/>
  <c r="BT67" i="38"/>
  <c r="L26" i="3"/>
  <c r="K29" i="3"/>
  <c r="K31" i="3"/>
  <c r="K43" i="3" s="1"/>
  <c r="BD66" i="38"/>
  <c r="BF31" i="38"/>
  <c r="T26" i="35"/>
  <c r="T61" i="35" s="1"/>
  <c r="AB41" i="4"/>
  <c r="E40" i="38"/>
  <c r="AP21" i="35"/>
  <c r="BF20" i="38"/>
  <c r="N20" i="4"/>
  <c r="N44" i="4"/>
  <c r="N29" i="35" s="1"/>
  <c r="N64" i="35" s="1"/>
  <c r="N21" i="4"/>
  <c r="N21" i="35" s="1"/>
  <c r="N56" i="35" s="1"/>
  <c r="N47" i="4"/>
  <c r="N32" i="35" s="1"/>
  <c r="N67" i="35" s="1"/>
  <c r="X40" i="38"/>
  <c r="BC62" i="43"/>
  <c r="U33" i="2"/>
  <c r="BD63" i="43" s="1"/>
  <c r="T34" i="2"/>
  <c r="BC64" i="43" s="1"/>
  <c r="BD40" i="38"/>
  <c r="P51" i="35"/>
  <c r="R61" i="35" s="1"/>
  <c r="R30" i="35"/>
  <c r="R29" i="35"/>
  <c r="R27" i="35"/>
  <c r="R34" i="35"/>
  <c r="R31" i="35"/>
  <c r="R20" i="35"/>
  <c r="R32" i="35"/>
  <c r="BD63" i="38"/>
  <c r="BF28" i="38"/>
  <c r="AX53" i="43"/>
  <c r="Q35" i="39"/>
  <c r="Q10" i="39"/>
  <c r="Q58" i="2"/>
  <c r="AX78" i="43" s="1"/>
  <c r="BL64" i="38"/>
  <c r="R21" i="35"/>
  <c r="M38" i="38"/>
  <c r="M73" i="38" s="1"/>
  <c r="Z27" i="38"/>
  <c r="X62" i="38"/>
  <c r="M30" i="38"/>
  <c r="M65" i="38" s="1"/>
  <c r="U30" i="33"/>
  <c r="AJ21" i="35"/>
  <c r="AJ56" i="35" s="1"/>
  <c r="AR21" i="4"/>
  <c r="C66" i="67"/>
  <c r="C40" i="67"/>
  <c r="F198" i="67"/>
  <c r="F234" i="67"/>
  <c r="F217" i="67"/>
  <c r="C234" i="67"/>
  <c r="F203" i="67"/>
  <c r="I234" i="67"/>
  <c r="H65" i="38"/>
  <c r="V173" i="67"/>
  <c r="P68" i="38"/>
  <c r="R33" i="38"/>
  <c r="I17" i="43"/>
  <c r="J42" i="36"/>
  <c r="I16" i="33"/>
  <c r="J33" i="33" s="1"/>
  <c r="CC33" i="33" s="1"/>
  <c r="J43" i="4"/>
  <c r="J20" i="4"/>
  <c r="T22" i="35"/>
  <c r="AB22" i="4"/>
  <c r="AC25" i="35"/>
  <c r="AC60" i="35" s="1"/>
  <c r="AK25" i="4"/>
  <c r="G42" i="36"/>
  <c r="K6" i="38"/>
  <c r="Q3" i="38" s="1"/>
  <c r="Q3" i="33"/>
  <c r="BW88" i="43"/>
  <c r="T65" i="3"/>
  <c r="BW122" i="43" s="1"/>
  <c r="AH174" i="67"/>
  <c r="BF26" i="38"/>
  <c r="Q194" i="67"/>
  <c r="BV41" i="4"/>
  <c r="AH27" i="43" s="1"/>
  <c r="R26" i="35"/>
  <c r="AB26" i="33"/>
  <c r="T26" i="38"/>
  <c r="T61" i="38" s="1"/>
  <c r="V169" i="67"/>
  <c r="W216" i="67"/>
  <c r="W202" i="67"/>
  <c r="AY55" i="35"/>
  <c r="AY75" i="35" s="1"/>
  <c r="AY40" i="35"/>
  <c r="B34" i="67"/>
  <c r="B60" i="67"/>
  <c r="J22" i="4"/>
  <c r="H22" i="3"/>
  <c r="AV62" i="38"/>
  <c r="V157" i="67"/>
  <c r="C249" i="67"/>
  <c r="F208" i="67"/>
  <c r="F249" i="67"/>
  <c r="F222" i="67"/>
  <c r="I249" i="67"/>
  <c r="AI20" i="38"/>
  <c r="AI55" i="38" s="1"/>
  <c r="AI75" i="38" s="1"/>
  <c r="AI40" i="33"/>
  <c r="AI40" i="38" s="1"/>
  <c r="I66" i="67"/>
  <c r="AF40" i="38"/>
  <c r="AQ55" i="35"/>
  <c r="AQ75" i="35" s="1"/>
  <c r="AQ40" i="35"/>
  <c r="BT16" i="38"/>
  <c r="BV24" i="38" s="1"/>
  <c r="U37" i="35"/>
  <c r="U72" i="35" s="1"/>
  <c r="AC52" i="4"/>
  <c r="C236" i="67"/>
  <c r="F236" i="67" s="1"/>
  <c r="I236" i="67" s="1"/>
  <c r="B43" i="67"/>
  <c r="S32" i="43"/>
  <c r="P220" i="67"/>
  <c r="P192" i="67"/>
  <c r="P206" i="67"/>
  <c r="AF67" i="38"/>
  <c r="AH32" i="38"/>
  <c r="AV61" i="38"/>
  <c r="V24" i="43"/>
  <c r="H193" i="67"/>
  <c r="H221" i="67"/>
  <c r="H207" i="67"/>
  <c r="BT60" i="38"/>
  <c r="AW66" i="43"/>
  <c r="P40" i="2"/>
  <c r="P43" i="2" s="1"/>
  <c r="P37" i="2"/>
  <c r="AW67" i="43" s="1"/>
  <c r="Z26" i="35"/>
  <c r="Z21" i="35"/>
  <c r="Z27" i="35"/>
  <c r="Z22" i="35"/>
  <c r="Z24" i="35"/>
  <c r="X51" i="35"/>
  <c r="Z69" i="35" s="1"/>
  <c r="Z28" i="35"/>
  <c r="V11" i="39"/>
  <c r="R16" i="39"/>
  <c r="X11" i="39"/>
  <c r="BN21" i="4"/>
  <c r="AE22" i="43" s="1"/>
  <c r="T31" i="38"/>
  <c r="T66" i="38" s="1"/>
  <c r="BL75" i="35"/>
  <c r="F40" i="38"/>
  <c r="BT69" i="38"/>
  <c r="AB24" i="38"/>
  <c r="AB59" i="38" s="1"/>
  <c r="O44" i="4"/>
  <c r="O29" i="35" s="1"/>
  <c r="O64" i="35" s="1"/>
  <c r="P59" i="4"/>
  <c r="H62" i="4"/>
  <c r="H47" i="35" s="1"/>
  <c r="O41" i="4"/>
  <c r="O26" i="35" s="1"/>
  <c r="O61" i="35" s="1"/>
  <c r="O21" i="4"/>
  <c r="O21" i="35" s="1"/>
  <c r="O56" i="35" s="1"/>
  <c r="O20" i="4"/>
  <c r="O22" i="4"/>
  <c r="O22" i="35" s="1"/>
  <c r="O57" i="35" s="1"/>
  <c r="O45" i="4"/>
  <c r="O30" i="35" s="1"/>
  <c r="O65" i="35" s="1"/>
  <c r="G43" i="36"/>
  <c r="K7" i="38"/>
  <c r="Q4" i="38" s="1"/>
  <c r="Q4" i="33"/>
  <c r="BR88" i="43"/>
  <c r="R65" i="3"/>
  <c r="BR122" i="43" s="1"/>
  <c r="L171" i="67"/>
  <c r="AX30" i="35"/>
  <c r="BN106" i="43"/>
  <c r="P40" i="3"/>
  <c r="BP107" i="43" s="1"/>
  <c r="T39" i="3"/>
  <c r="N41" i="3"/>
  <c r="BN108" i="43" s="1"/>
  <c r="F77" i="3"/>
  <c r="AF75" i="35"/>
  <c r="L183" i="67"/>
  <c r="BL67" i="38"/>
  <c r="S216" i="67"/>
  <c r="S202" i="67"/>
  <c r="AX33" i="35"/>
  <c r="BN25" i="35"/>
  <c r="BN32" i="35"/>
  <c r="BL51" i="35"/>
  <c r="BN57" i="35" s="1"/>
  <c r="BN29" i="35"/>
  <c r="BN31" i="35"/>
  <c r="J49" i="4"/>
  <c r="Z32" i="35"/>
  <c r="V25" i="39"/>
  <c r="X25" i="39"/>
  <c r="AP22" i="35"/>
  <c r="AC24" i="4"/>
  <c r="U24" i="35"/>
  <c r="U59" i="35" s="1"/>
  <c r="AX21" i="35"/>
  <c r="U38" i="38"/>
  <c r="U73" i="38" s="1"/>
  <c r="AH168" i="67"/>
  <c r="AP31" i="38"/>
  <c r="AN66" i="38"/>
  <c r="M36" i="38"/>
  <c r="M71" i="38" s="1"/>
  <c r="U36" i="33"/>
  <c r="BD62" i="43"/>
  <c r="V33" i="2"/>
  <c r="BE63" i="43" s="1"/>
  <c r="U34" i="2"/>
  <c r="BD64" i="43" s="1"/>
  <c r="L163" i="67"/>
  <c r="CC80" i="38"/>
  <c r="AN75" i="35"/>
  <c r="X10" i="39"/>
  <c r="V10" i="39"/>
  <c r="R15" i="39"/>
  <c r="L17" i="43"/>
  <c r="J43" i="36"/>
  <c r="Q16" i="35"/>
  <c r="Q51" i="35" s="1"/>
  <c r="R43" i="4"/>
  <c r="R46" i="4"/>
  <c r="R42" i="4"/>
  <c r="Q16" i="33"/>
  <c r="R47" i="4"/>
  <c r="R21" i="4"/>
  <c r="M22" i="43" s="1"/>
  <c r="R20" i="4"/>
  <c r="R49" i="4"/>
  <c r="R22" i="4"/>
  <c r="R23" i="4"/>
  <c r="R45" i="4"/>
  <c r="R41" i="4"/>
  <c r="R25" i="4"/>
  <c r="AH172" i="67"/>
  <c r="I202" i="67"/>
  <c r="I216" i="67"/>
  <c r="AH177" i="67"/>
  <c r="F243" i="67"/>
  <c r="F206" i="67"/>
  <c r="I243" i="67"/>
  <c r="C243" i="67"/>
  <c r="F220" i="67"/>
  <c r="B33" i="67"/>
  <c r="B59" i="67"/>
  <c r="I134" i="67"/>
  <c r="T131" i="67" s="1"/>
  <c r="CC81" i="38"/>
  <c r="L34" i="38"/>
  <c r="L69" i="38" s="1"/>
  <c r="T34" i="33"/>
  <c r="R48" i="4"/>
  <c r="CC80" i="35"/>
  <c r="L28" i="38"/>
  <c r="L63" i="38" s="1"/>
  <c r="T28" i="33"/>
  <c r="Q11" i="39"/>
  <c r="AY53" i="43"/>
  <c r="Q36" i="39"/>
  <c r="R58" i="2"/>
  <c r="AY78" i="43" s="1"/>
  <c r="R24" i="35"/>
  <c r="BT63" i="38"/>
  <c r="T27" i="35"/>
  <c r="T62" i="35" s="1"/>
  <c r="AB42" i="4"/>
  <c r="BF23" i="38"/>
  <c r="B35" i="67"/>
  <c r="B61" i="67"/>
  <c r="BD59" i="38"/>
  <c r="BF24" i="38"/>
  <c r="J24" i="4"/>
  <c r="S20" i="38"/>
  <c r="S55" i="38" s="1"/>
  <c r="S75" i="38" s="1"/>
  <c r="S40" i="33"/>
  <c r="S40" i="38" s="1"/>
  <c r="J41" i="4"/>
  <c r="Z25" i="35"/>
  <c r="H37" i="2"/>
  <c r="H40" i="2"/>
  <c r="H43" i="2"/>
  <c r="J25" i="4"/>
  <c r="B36" i="67"/>
  <c r="B62" i="67"/>
  <c r="G44" i="36"/>
  <c r="Q5" i="33"/>
  <c r="K8" i="38"/>
  <c r="Q5" i="38" s="1"/>
  <c r="BO20" i="38"/>
  <c r="BO55" i="38" s="1"/>
  <c r="BO75" i="38" s="1"/>
  <c r="BO40" i="33"/>
  <c r="BO40" i="38" s="1"/>
  <c r="BD60" i="43"/>
  <c r="U36" i="2"/>
  <c r="AX66" i="43"/>
  <c r="Q40" i="2"/>
  <c r="Q43" i="2" s="1"/>
  <c r="Q37" i="2"/>
  <c r="AX67" i="43" s="1"/>
  <c r="AB24" i="4"/>
  <c r="T24" i="35"/>
  <c r="T59" i="35" s="1"/>
  <c r="BY88" i="43"/>
  <c r="V65" i="3"/>
  <c r="BY122" i="43" s="1"/>
  <c r="J62" i="35"/>
  <c r="AN67" i="38"/>
  <c r="AP32" i="38"/>
  <c r="H63" i="38"/>
  <c r="Y25" i="43"/>
  <c r="I222" i="67"/>
  <c r="I208" i="67"/>
  <c r="I194" i="67"/>
  <c r="P26" i="43"/>
  <c r="J205" i="67"/>
  <c r="J191" i="67"/>
  <c r="J219" i="67"/>
  <c r="AC22" i="35"/>
  <c r="AC57" i="35" s="1"/>
  <c r="AK22" i="4"/>
  <c r="AE153" i="67"/>
  <c r="AF138" i="67" s="1"/>
  <c r="AF153" i="67" s="1"/>
  <c r="K11" i="38"/>
  <c r="Q8" i="33"/>
  <c r="Q8" i="38" s="1"/>
  <c r="G47" i="36"/>
  <c r="U32" i="35"/>
  <c r="U67" i="35" s="1"/>
  <c r="AC47" i="4"/>
  <c r="BL61" i="38"/>
  <c r="L174" i="67"/>
  <c r="P61" i="38"/>
  <c r="R26" i="38"/>
  <c r="H59" i="38"/>
  <c r="J194" i="67"/>
  <c r="AF56" i="38"/>
  <c r="AH21" i="38"/>
  <c r="BA38" i="38"/>
  <c r="BA73" i="38" s="1"/>
  <c r="J46" i="4"/>
  <c r="AG17" i="43"/>
  <c r="J50" i="36"/>
  <c r="BU16" i="33"/>
  <c r="BV22" i="33" s="1"/>
  <c r="BU16" i="35"/>
  <c r="BU51" i="35" s="1"/>
  <c r="BV22" i="4"/>
  <c r="AH23" i="43" s="1"/>
  <c r="BV21" i="4"/>
  <c r="AH22" i="43" s="1"/>
  <c r="G40" i="38"/>
  <c r="AB33" i="35"/>
  <c r="AB68" i="35" s="1"/>
  <c r="AJ48" i="4"/>
  <c r="AN63" i="38"/>
  <c r="AP28" i="38"/>
  <c r="AN59" i="38"/>
  <c r="AP24" i="38"/>
  <c r="BV20" i="4"/>
  <c r="L216" i="67"/>
  <c r="L202" i="67"/>
  <c r="BV42" i="4"/>
  <c r="AH28" i="43" s="1"/>
  <c r="F40" i="67"/>
  <c r="F66" i="67"/>
  <c r="AH161" i="67"/>
  <c r="M29" i="38"/>
  <c r="M64" i="38" s="1"/>
  <c r="U29" i="33"/>
  <c r="P40" i="38"/>
  <c r="J48" i="4"/>
  <c r="D65" i="39"/>
  <c r="D71" i="36"/>
  <c r="U21" i="38"/>
  <c r="U56" i="38" s="1"/>
  <c r="AC21" i="33"/>
  <c r="K20" i="38"/>
  <c r="K55" i="38" s="1"/>
  <c r="K75" i="38" s="1"/>
  <c r="K40" i="33"/>
  <c r="K40" i="38" s="1"/>
  <c r="B31" i="67"/>
  <c r="B57" i="67"/>
  <c r="J45" i="4"/>
  <c r="BN96" i="43"/>
  <c r="T21" i="3"/>
  <c r="N73" i="3"/>
  <c r="N25" i="3"/>
  <c r="P22" i="3"/>
  <c r="BP97" i="43" s="1"/>
  <c r="T34" i="35"/>
  <c r="T69" i="35" s="1"/>
  <c r="AB49" i="4"/>
  <c r="BF32" i="38"/>
  <c r="M47" i="3"/>
  <c r="M50" i="3" s="1"/>
  <c r="M44" i="3"/>
  <c r="AH170" i="67"/>
  <c r="BT75" i="35"/>
  <c r="Z20" i="35"/>
  <c r="H16" i="38"/>
  <c r="J27" i="38" s="1"/>
  <c r="H44" i="33"/>
  <c r="L173" i="67"/>
  <c r="BV107" i="43"/>
  <c r="BQ107" i="43"/>
  <c r="AV67" i="38"/>
  <c r="V179" i="67"/>
  <c r="R22" i="38"/>
  <c r="Z34" i="35"/>
  <c r="L164" i="67"/>
  <c r="V163" i="67"/>
  <c r="BF29" i="35"/>
  <c r="BF28" i="35"/>
  <c r="BF21" i="35"/>
  <c r="BD51" i="35"/>
  <c r="BF61" i="35" s="1"/>
  <c r="BF33" i="35"/>
  <c r="BF32" i="35"/>
  <c r="BF27" i="35"/>
  <c r="O42" i="4"/>
  <c r="O27" i="35" s="1"/>
  <c r="O62" i="35" s="1"/>
  <c r="AP34" i="35"/>
  <c r="AP22" i="38"/>
  <c r="G77" i="3"/>
  <c r="H234" i="67"/>
  <c r="E234" i="67"/>
  <c r="B234" i="67"/>
  <c r="O24" i="4"/>
  <c r="O24" i="35" s="1"/>
  <c r="O59" i="35" s="1"/>
  <c r="AP33" i="38"/>
  <c r="AX25" i="35"/>
  <c r="I185" i="67"/>
  <c r="J183" i="67" s="1"/>
  <c r="C103" i="67" s="1"/>
  <c r="BN26" i="35"/>
  <c r="X64" i="38"/>
  <c r="Z29" i="38"/>
  <c r="T20" i="38"/>
  <c r="T55" i="38" s="1"/>
  <c r="AB20" i="33"/>
  <c r="V176" i="67"/>
  <c r="AH167" i="67"/>
  <c r="L167" i="67"/>
  <c r="L172" i="67"/>
  <c r="C239" i="67"/>
  <c r="F239" i="67" s="1"/>
  <c r="B44" i="67"/>
  <c r="Z31" i="35"/>
  <c r="AF51" i="35"/>
  <c r="AH63" i="35" s="1"/>
  <c r="AH20" i="35"/>
  <c r="AH33" i="35"/>
  <c r="AH22" i="35"/>
  <c r="AH21" i="35"/>
  <c r="R24" i="4"/>
  <c r="BN49" i="4"/>
  <c r="AE35" i="43" s="1"/>
  <c r="CC86" i="35"/>
  <c r="M28" i="38"/>
  <c r="M63" i="38" s="1"/>
  <c r="U28" i="33"/>
  <c r="BF20" i="35"/>
  <c r="M202" i="67"/>
  <c r="M216" i="67"/>
  <c r="B46" i="67"/>
  <c r="C245" i="67"/>
  <c r="F245" i="67" s="1"/>
  <c r="I245" i="67" s="1"/>
  <c r="L40" i="2"/>
  <c r="L43" i="2" s="1"/>
  <c r="L37" i="2"/>
  <c r="BT56" i="38"/>
  <c r="BV23" i="4"/>
  <c r="AH24" i="43" s="1"/>
  <c r="Z29" i="35"/>
  <c r="U55" i="4"/>
  <c r="L66" i="3"/>
  <c r="L62" i="3"/>
  <c r="L67" i="3"/>
  <c r="L52" i="3"/>
  <c r="AH24" i="35"/>
  <c r="AP29" i="35"/>
  <c r="H43" i="43"/>
  <c r="J43" i="43" s="1"/>
  <c r="H44" i="35"/>
  <c r="H61" i="4"/>
  <c r="C248" i="67"/>
  <c r="F248" i="67" s="1"/>
  <c r="I248" i="67" s="1"/>
  <c r="B47" i="67"/>
  <c r="J41" i="3"/>
  <c r="BN24" i="35"/>
  <c r="T55" i="4"/>
  <c r="BT64" i="38"/>
  <c r="AC38" i="38"/>
  <c r="AC73" i="38" s="1"/>
  <c r="AB21" i="33"/>
  <c r="T21" i="38"/>
  <c r="T56" i="38" s="1"/>
  <c r="U31" i="38"/>
  <c r="U66" i="38" s="1"/>
  <c r="AC31" i="33"/>
  <c r="N24" i="4"/>
  <c r="N24" i="35" s="1"/>
  <c r="N59" i="35" s="1"/>
  <c r="K222" i="67" l="1"/>
  <c r="Y21" i="43"/>
  <c r="Y24" i="43"/>
  <c r="L222" i="67"/>
  <c r="AX55" i="4"/>
  <c r="O194" i="67"/>
  <c r="M194" i="67"/>
  <c r="Y33" i="43"/>
  <c r="O222" i="67"/>
  <c r="R194" i="67"/>
  <c r="S194" i="67"/>
  <c r="L194" i="67"/>
  <c r="O208" i="67"/>
  <c r="S208" i="67"/>
  <c r="Y34" i="43"/>
  <c r="N222" i="67"/>
  <c r="Y26" i="43"/>
  <c r="P194" i="67"/>
  <c r="Z32" i="33"/>
  <c r="G191" i="67"/>
  <c r="J222" i="67"/>
  <c r="P208" i="67"/>
  <c r="L219" i="67"/>
  <c r="Y32" i="43"/>
  <c r="P35" i="43"/>
  <c r="L208" i="67"/>
  <c r="K219" i="67"/>
  <c r="K191" i="67"/>
  <c r="M222" i="67"/>
  <c r="Q191" i="67"/>
  <c r="Y29" i="43"/>
  <c r="P27" i="43"/>
  <c r="L205" i="67"/>
  <c r="P32" i="43"/>
  <c r="R219" i="67"/>
  <c r="N208" i="67"/>
  <c r="P33" i="43"/>
  <c r="Q219" i="67"/>
  <c r="Q208" i="67"/>
  <c r="L191" i="67"/>
  <c r="I205" i="67"/>
  <c r="R191" i="67"/>
  <c r="W30" i="4"/>
  <c r="W26" i="4"/>
  <c r="W34" i="4"/>
  <c r="W38" i="4"/>
  <c r="W29" i="4"/>
  <c r="W33" i="4"/>
  <c r="W36" i="4"/>
  <c r="W37" i="4"/>
  <c r="W40" i="4"/>
  <c r="W31" i="4"/>
  <c r="W27" i="4"/>
  <c r="W39" i="4"/>
  <c r="W28" i="4"/>
  <c r="W32" i="4"/>
  <c r="W35" i="4"/>
  <c r="Y35" i="43"/>
  <c r="P219" i="67"/>
  <c r="Z20" i="33"/>
  <c r="V38" i="4"/>
  <c r="V26" i="4"/>
  <c r="V30" i="4"/>
  <c r="V34" i="4"/>
  <c r="V33" i="4"/>
  <c r="V29" i="4"/>
  <c r="V37" i="4"/>
  <c r="V27" i="4"/>
  <c r="V31" i="4"/>
  <c r="V35" i="4"/>
  <c r="V36" i="4"/>
  <c r="V40" i="4"/>
  <c r="V28" i="4"/>
  <c r="V32" i="4"/>
  <c r="V39" i="4"/>
  <c r="G219" i="67"/>
  <c r="M208" i="67"/>
  <c r="Z55" i="4"/>
  <c r="X60" i="4" s="1"/>
  <c r="N44" i="43" s="1"/>
  <c r="P44" i="43" s="1"/>
  <c r="Z29" i="33"/>
  <c r="I9" i="36"/>
  <c r="S9" i="36" s="1"/>
  <c r="N205" i="67"/>
  <c r="M191" i="67"/>
  <c r="W47" i="4"/>
  <c r="W32" i="35" s="1"/>
  <c r="W67" i="35" s="1"/>
  <c r="O219" i="67"/>
  <c r="M205" i="67"/>
  <c r="O191" i="67"/>
  <c r="V22" i="4"/>
  <c r="V22" i="35" s="1"/>
  <c r="V57" i="35" s="1"/>
  <c r="O205" i="67"/>
  <c r="P34" i="43"/>
  <c r="Z22" i="33"/>
  <c r="Z34" i="33"/>
  <c r="Z31" i="33"/>
  <c r="N191" i="67"/>
  <c r="N219" i="67"/>
  <c r="M219" i="67"/>
  <c r="Z23" i="33"/>
  <c r="Z26" i="33"/>
  <c r="Z30" i="33"/>
  <c r="Z28" i="33"/>
  <c r="Z24" i="33"/>
  <c r="Z27" i="33"/>
  <c r="Z21" i="33"/>
  <c r="Z33" i="33"/>
  <c r="Z25" i="33"/>
  <c r="J152" i="67"/>
  <c r="C70" i="67" s="1"/>
  <c r="D70" i="67" s="1"/>
  <c r="AC33" i="33"/>
  <c r="T139" i="67"/>
  <c r="F57" i="67" s="1"/>
  <c r="G57" i="67" s="1"/>
  <c r="AC30" i="35"/>
  <c r="AC65" i="35" s="1"/>
  <c r="M221" i="67"/>
  <c r="J147" i="67"/>
  <c r="I50" i="67" s="1"/>
  <c r="T25" i="38"/>
  <c r="T60" i="38" s="1"/>
  <c r="AF139" i="67"/>
  <c r="I42" i="67" s="1"/>
  <c r="J150" i="67"/>
  <c r="C68" i="67" s="1"/>
  <c r="D68" i="67" s="1"/>
  <c r="T32" i="38"/>
  <c r="T67" i="38" s="1"/>
  <c r="J138" i="67"/>
  <c r="J153" i="67" s="1"/>
  <c r="AJ20" i="4"/>
  <c r="AJ20" i="35" s="1"/>
  <c r="Z59" i="38"/>
  <c r="CC21" i="4"/>
  <c r="AJ22" i="43" s="1"/>
  <c r="AH32" i="33"/>
  <c r="Z62" i="38"/>
  <c r="AF142" i="67"/>
  <c r="I60" i="67" s="1"/>
  <c r="I244" i="67" s="1"/>
  <c r="K60" i="67" s="1"/>
  <c r="T147" i="67"/>
  <c r="F65" i="67" s="1"/>
  <c r="F259" i="67" s="1"/>
  <c r="Z69" i="38"/>
  <c r="Z61" i="38"/>
  <c r="J146" i="67"/>
  <c r="I49" i="67" s="1"/>
  <c r="J139" i="67"/>
  <c r="C42" i="67" s="1"/>
  <c r="S220" i="67"/>
  <c r="AF143" i="67"/>
  <c r="I61" i="67" s="1"/>
  <c r="I247" i="67" s="1"/>
  <c r="K61" i="67" s="1"/>
  <c r="AC25" i="33"/>
  <c r="AK25" i="33" s="1"/>
  <c r="T146" i="67"/>
  <c r="F64" i="67" s="1"/>
  <c r="G64" i="67" s="1"/>
  <c r="J142" i="67"/>
  <c r="F45" i="67" s="1"/>
  <c r="AF144" i="67"/>
  <c r="I62" i="67" s="1"/>
  <c r="J62" i="67" s="1"/>
  <c r="AH27" i="33"/>
  <c r="Z66" i="38"/>
  <c r="AH34" i="33"/>
  <c r="AF146" i="67"/>
  <c r="I64" i="67" s="1"/>
  <c r="J64" i="67" s="1"/>
  <c r="Z57" i="38"/>
  <c r="AF145" i="67"/>
  <c r="I63" i="67" s="1"/>
  <c r="J63" i="67" s="1"/>
  <c r="T142" i="67"/>
  <c r="F60" i="67" s="1"/>
  <c r="G60" i="67" s="1"/>
  <c r="T144" i="67"/>
  <c r="F62" i="67" s="1"/>
  <c r="F250" i="67" s="1"/>
  <c r="H65" i="67" s="1"/>
  <c r="Z63" i="38"/>
  <c r="J141" i="67"/>
  <c r="I44" i="67" s="1"/>
  <c r="T145" i="67"/>
  <c r="F63" i="67" s="1"/>
  <c r="G63" i="67" s="1"/>
  <c r="Z65" i="38"/>
  <c r="AF151" i="67"/>
  <c r="I69" i="67" s="1"/>
  <c r="AF147" i="67"/>
  <c r="I65" i="67" s="1"/>
  <c r="I259" i="67" s="1"/>
  <c r="AC32" i="33"/>
  <c r="AC32" i="38" s="1"/>
  <c r="AC67" i="38" s="1"/>
  <c r="T150" i="67"/>
  <c r="F68" i="67" s="1"/>
  <c r="G68" i="67" s="1"/>
  <c r="T152" i="67"/>
  <c r="F70" i="67" s="1"/>
  <c r="G70" i="67" s="1"/>
  <c r="J143" i="67"/>
  <c r="I46" i="67" s="1"/>
  <c r="AF149" i="67"/>
  <c r="I41" i="67" s="1"/>
  <c r="AF141" i="67"/>
  <c r="I59" i="67" s="1"/>
  <c r="J59" i="67" s="1"/>
  <c r="Z64" i="38"/>
  <c r="S206" i="67"/>
  <c r="AF152" i="67"/>
  <c r="I70" i="67" s="1"/>
  <c r="J70" i="67" s="1"/>
  <c r="I13" i="36"/>
  <c r="S13" i="36" s="1"/>
  <c r="J144" i="67"/>
  <c r="I47" i="67" s="1"/>
  <c r="M206" i="67"/>
  <c r="J149" i="67"/>
  <c r="C67" i="67" s="1"/>
  <c r="D67" i="67" s="1"/>
  <c r="BN21" i="33"/>
  <c r="Z68" i="38"/>
  <c r="AG16" i="38"/>
  <c r="AG51" i="38" s="1"/>
  <c r="J21" i="33"/>
  <c r="CC21" i="33" s="1"/>
  <c r="J140" i="67"/>
  <c r="C58" i="67" s="1"/>
  <c r="D58" i="67" s="1"/>
  <c r="Z67" i="38"/>
  <c r="T143" i="67"/>
  <c r="F61" i="67" s="1"/>
  <c r="F247" i="67" s="1"/>
  <c r="H61" i="67" s="1"/>
  <c r="T149" i="67"/>
  <c r="F67" i="67" s="1"/>
  <c r="G67" i="67" s="1"/>
  <c r="S35" i="43"/>
  <c r="Z58" i="38"/>
  <c r="AF140" i="67"/>
  <c r="I43" i="67" s="1"/>
  <c r="T140" i="67"/>
  <c r="F58" i="67" s="1"/>
  <c r="F238" i="67" s="1"/>
  <c r="H58" i="67" s="1"/>
  <c r="Z55" i="38"/>
  <c r="Z87" i="38" s="1"/>
  <c r="J151" i="67"/>
  <c r="C69" i="67" s="1"/>
  <c r="J145" i="67"/>
  <c r="I48" i="67" s="1"/>
  <c r="AF150" i="67"/>
  <c r="I68" i="67" s="1"/>
  <c r="J68" i="67" s="1"/>
  <c r="T141" i="67"/>
  <c r="F59" i="67" s="1"/>
  <c r="G59" i="67" s="1"/>
  <c r="AF132" i="67"/>
  <c r="R58" i="38"/>
  <c r="AX34" i="38"/>
  <c r="N221" i="67"/>
  <c r="Z60" i="38"/>
  <c r="E10" i="35"/>
  <c r="BV28" i="38"/>
  <c r="AB23" i="33"/>
  <c r="AB23" i="38" s="1"/>
  <c r="AB58" i="38" s="1"/>
  <c r="AJ25" i="4"/>
  <c r="AJ25" i="35" s="1"/>
  <c r="AJ60" i="35" s="1"/>
  <c r="S21" i="43"/>
  <c r="AP63" i="38"/>
  <c r="AP67" i="38"/>
  <c r="H206" i="67"/>
  <c r="E11" i="4"/>
  <c r="E11" i="35" s="1"/>
  <c r="AP59" i="38"/>
  <c r="R207" i="67"/>
  <c r="AK46" i="4"/>
  <c r="AS46" i="4" s="1"/>
  <c r="H192" i="67"/>
  <c r="AJ22" i="33"/>
  <c r="AR22" i="33" s="1"/>
  <c r="R193" i="67"/>
  <c r="AC29" i="35"/>
  <c r="AC64" i="35" s="1"/>
  <c r="S24" i="43"/>
  <c r="J221" i="67"/>
  <c r="S23" i="43"/>
  <c r="N192" i="67"/>
  <c r="AB31" i="35"/>
  <c r="AB66" i="35" s="1"/>
  <c r="N26" i="33"/>
  <c r="N26" i="38" s="1"/>
  <c r="N61" i="38" s="1"/>
  <c r="N31" i="33"/>
  <c r="N31" i="38" s="1"/>
  <c r="N66" i="38" s="1"/>
  <c r="N30" i="33"/>
  <c r="N30" i="38" s="1"/>
  <c r="N65" i="38" s="1"/>
  <c r="H57" i="67"/>
  <c r="Q203" i="67"/>
  <c r="Q217" i="67"/>
  <c r="M207" i="67"/>
  <c r="AH28" i="33"/>
  <c r="J33" i="43"/>
  <c r="BV29" i="38"/>
  <c r="J87" i="35"/>
  <c r="S29" i="43"/>
  <c r="AC21" i="35"/>
  <c r="AC56" i="35" s="1"/>
  <c r="AK21" i="4"/>
  <c r="AH29" i="33"/>
  <c r="AR33" i="33"/>
  <c r="AR33" i="38" s="1"/>
  <c r="AR68" i="38" s="1"/>
  <c r="BV21" i="38"/>
  <c r="M193" i="67"/>
  <c r="G220" i="67"/>
  <c r="CC28" i="35"/>
  <c r="CC63" i="35" s="1"/>
  <c r="N207" i="67"/>
  <c r="J193" i="67"/>
  <c r="N206" i="67"/>
  <c r="Q189" i="67"/>
  <c r="AJ44" i="4"/>
  <c r="AB29" i="35"/>
  <c r="AB64" i="35" s="1"/>
  <c r="N20" i="33"/>
  <c r="N40" i="33" s="1"/>
  <c r="N40" i="38" s="1"/>
  <c r="G192" i="67"/>
  <c r="N193" i="67"/>
  <c r="J82" i="35"/>
  <c r="BV32" i="38"/>
  <c r="BV20" i="38"/>
  <c r="V42" i="4"/>
  <c r="V27" i="35" s="1"/>
  <c r="V62" i="35" s="1"/>
  <c r="BV25" i="38"/>
  <c r="R63" i="38"/>
  <c r="L75" i="38"/>
  <c r="BV60" i="35"/>
  <c r="AH63" i="38"/>
  <c r="BF67" i="38"/>
  <c r="BF64" i="38"/>
  <c r="V28" i="43"/>
  <c r="L40" i="38"/>
  <c r="S28" i="43"/>
  <c r="L206" i="67"/>
  <c r="L192" i="67"/>
  <c r="AK20" i="4"/>
  <c r="AC20" i="35"/>
  <c r="AC55" i="35" s="1"/>
  <c r="L193" i="67"/>
  <c r="N29" i="33"/>
  <c r="N29" i="38" s="1"/>
  <c r="N64" i="38" s="1"/>
  <c r="AX32" i="38"/>
  <c r="N21" i="33"/>
  <c r="N21" i="38" s="1"/>
  <c r="N56" i="38" s="1"/>
  <c r="BN29" i="38"/>
  <c r="L221" i="67"/>
  <c r="AJ45" i="4"/>
  <c r="AJ30" i="35" s="1"/>
  <c r="AJ65" i="35" s="1"/>
  <c r="BF32" i="33"/>
  <c r="AK23" i="4"/>
  <c r="AC23" i="35"/>
  <c r="AC58" i="35" s="1"/>
  <c r="CC33" i="35"/>
  <c r="CC68" i="35" s="1"/>
  <c r="AH56" i="38"/>
  <c r="O22" i="33"/>
  <c r="O22" i="38" s="1"/>
  <c r="O57" i="38" s="1"/>
  <c r="O192" i="67"/>
  <c r="O206" i="67"/>
  <c r="BF59" i="38"/>
  <c r="BF61" i="38"/>
  <c r="BF63" i="38"/>
  <c r="BF62" i="38"/>
  <c r="AX40" i="33"/>
  <c r="AX40" i="38" s="1"/>
  <c r="AH55" i="4"/>
  <c r="Y192" i="67" s="1"/>
  <c r="CC32" i="35"/>
  <c r="CC67" i="35" s="1"/>
  <c r="V43" i="4"/>
  <c r="V28" i="35" s="1"/>
  <c r="V63" i="35" s="1"/>
  <c r="N23" i="33"/>
  <c r="N23" i="38" s="1"/>
  <c r="N58" i="38" s="1"/>
  <c r="V32" i="43"/>
  <c r="AH68" i="38"/>
  <c r="BF60" i="38"/>
  <c r="CC23" i="35"/>
  <c r="CC58" i="35" s="1"/>
  <c r="J30" i="38"/>
  <c r="CC30" i="35"/>
  <c r="CC65" i="35" s="1"/>
  <c r="AH67" i="38"/>
  <c r="K57" i="67"/>
  <c r="X75" i="38"/>
  <c r="N33" i="33"/>
  <c r="N33" i="38" s="1"/>
  <c r="N68" i="38" s="1"/>
  <c r="BV68" i="35"/>
  <c r="R64" i="38"/>
  <c r="AH64" i="38"/>
  <c r="N24" i="33"/>
  <c r="N24" i="38" s="1"/>
  <c r="N59" i="38" s="1"/>
  <c r="BF68" i="38"/>
  <c r="M192" i="67"/>
  <c r="N34" i="33"/>
  <c r="N34" i="38" s="1"/>
  <c r="N69" i="38" s="1"/>
  <c r="V41" i="4"/>
  <c r="V26" i="35" s="1"/>
  <c r="V61" i="35" s="1"/>
  <c r="M220" i="67"/>
  <c r="BN26" i="38"/>
  <c r="BV34" i="38"/>
  <c r="E57" i="67"/>
  <c r="BD75" i="38"/>
  <c r="N27" i="33"/>
  <c r="N27" i="38" s="1"/>
  <c r="N62" i="38" s="1"/>
  <c r="BV58" i="35"/>
  <c r="N32" i="33"/>
  <c r="N32" i="38" s="1"/>
  <c r="N67" i="38" s="1"/>
  <c r="AB23" i="35"/>
  <c r="AB58" i="35" s="1"/>
  <c r="AJ23" i="4"/>
  <c r="AK27" i="35"/>
  <c r="AK62" i="35" s="1"/>
  <c r="AS42" i="4"/>
  <c r="N25" i="33"/>
  <c r="N25" i="38" s="1"/>
  <c r="N60" i="38" s="1"/>
  <c r="AN75" i="38"/>
  <c r="N28" i="33"/>
  <c r="N28" i="38" s="1"/>
  <c r="N63" i="38" s="1"/>
  <c r="U75" i="35"/>
  <c r="BF66" i="38"/>
  <c r="BF55" i="4"/>
  <c r="BD60" i="4" s="1"/>
  <c r="V26" i="43"/>
  <c r="CC25" i="35"/>
  <c r="CC60" i="35" s="1"/>
  <c r="BV57" i="35"/>
  <c r="Q206" i="67"/>
  <c r="W24" i="4"/>
  <c r="W24" i="35" s="1"/>
  <c r="W59" i="35" s="1"/>
  <c r="AX20" i="38"/>
  <c r="AX23" i="38"/>
  <c r="AX29" i="38"/>
  <c r="AX24" i="38"/>
  <c r="AX30" i="38"/>
  <c r="AX25" i="38"/>
  <c r="AX31" i="38"/>
  <c r="AX33" i="38"/>
  <c r="AH30" i="33"/>
  <c r="BN59" i="35"/>
  <c r="BN32" i="33"/>
  <c r="AH61" i="35"/>
  <c r="BV23" i="33"/>
  <c r="AV51" i="38"/>
  <c r="AX59" i="38" s="1"/>
  <c r="AX21" i="38"/>
  <c r="J220" i="67"/>
  <c r="J192" i="67"/>
  <c r="J206" i="67"/>
  <c r="S26" i="43"/>
  <c r="K221" i="67"/>
  <c r="R67" i="38"/>
  <c r="R68" i="38"/>
  <c r="K193" i="67"/>
  <c r="BN23" i="33"/>
  <c r="AH26" i="33"/>
  <c r="S25" i="43"/>
  <c r="I220" i="67"/>
  <c r="I192" i="67"/>
  <c r="I206" i="67"/>
  <c r="AH21" i="33"/>
  <c r="BN24" i="33"/>
  <c r="Q192" i="67"/>
  <c r="CC34" i="35"/>
  <c r="CC69" i="35" s="1"/>
  <c r="P221" i="67"/>
  <c r="K207" i="67"/>
  <c r="CC29" i="35"/>
  <c r="CC64" i="35" s="1"/>
  <c r="O37" i="33"/>
  <c r="O37" i="38" s="1"/>
  <c r="O72" i="38" s="1"/>
  <c r="BN20" i="38"/>
  <c r="BN20" i="33"/>
  <c r="BN33" i="33"/>
  <c r="AH33" i="33"/>
  <c r="CC24" i="35"/>
  <c r="CC59" i="35" s="1"/>
  <c r="Q220" i="67"/>
  <c r="R221" i="67"/>
  <c r="BN34" i="33"/>
  <c r="AH20" i="33"/>
  <c r="S27" i="43"/>
  <c r="K192" i="67"/>
  <c r="K220" i="67"/>
  <c r="K206" i="67"/>
  <c r="BN29" i="33"/>
  <c r="BN69" i="35"/>
  <c r="O36" i="33"/>
  <c r="O36" i="38" s="1"/>
  <c r="O71" i="38" s="1"/>
  <c r="BN26" i="33"/>
  <c r="P193" i="67"/>
  <c r="BV32" i="33"/>
  <c r="BV20" i="33"/>
  <c r="BN31" i="33"/>
  <c r="AB40" i="43"/>
  <c r="AH24" i="33"/>
  <c r="AH31" i="33"/>
  <c r="BV65" i="35"/>
  <c r="BF33" i="33"/>
  <c r="BE16" i="38"/>
  <c r="BE51" i="38" s="1"/>
  <c r="BF27" i="33"/>
  <c r="BF34" i="33"/>
  <c r="BF22" i="33"/>
  <c r="BF23" i="33"/>
  <c r="BF24" i="33"/>
  <c r="BF28" i="33"/>
  <c r="BF21" i="33"/>
  <c r="BF29" i="33"/>
  <c r="BF31" i="33"/>
  <c r="BF30" i="33"/>
  <c r="BF25" i="33"/>
  <c r="BF20" i="33"/>
  <c r="CC27" i="35"/>
  <c r="CC62" i="35" s="1"/>
  <c r="CC22" i="35"/>
  <c r="CC57" i="35" s="1"/>
  <c r="CC21" i="35"/>
  <c r="CC56" i="35" s="1"/>
  <c r="AX28" i="38"/>
  <c r="AX26" i="38"/>
  <c r="BN25" i="33"/>
  <c r="AH22" i="33"/>
  <c r="AX27" i="38"/>
  <c r="S34" i="43"/>
  <c r="R206" i="67"/>
  <c r="R220" i="67"/>
  <c r="R192" i="67"/>
  <c r="BV30" i="33"/>
  <c r="AH25" i="33"/>
  <c r="AH65" i="38"/>
  <c r="AH60" i="38"/>
  <c r="AH66" i="38"/>
  <c r="AH59" i="38"/>
  <c r="AH69" i="38"/>
  <c r="AH62" i="38"/>
  <c r="AH58" i="38"/>
  <c r="AH61" i="38"/>
  <c r="M11" i="60"/>
  <c r="Z11" i="60"/>
  <c r="Y11" i="60"/>
  <c r="AX69" i="43"/>
  <c r="R44" i="2"/>
  <c r="AY70" i="43" s="1"/>
  <c r="Q55" i="2"/>
  <c r="AX75" i="43" s="1"/>
  <c r="Q60" i="2"/>
  <c r="AX80" i="43" s="1"/>
  <c r="Q59" i="2"/>
  <c r="AX79" i="43" s="1"/>
  <c r="Q45" i="2"/>
  <c r="AX71" i="43" s="1"/>
  <c r="AY69" i="43"/>
  <c r="R45" i="2"/>
  <c r="AY71" i="43" s="1"/>
  <c r="R59" i="2"/>
  <c r="AY79" i="43" s="1"/>
  <c r="R55" i="2"/>
  <c r="AY75" i="43" s="1"/>
  <c r="R60" i="2"/>
  <c r="AY80" i="43" s="1"/>
  <c r="AW69" i="43"/>
  <c r="P55" i="2"/>
  <c r="Q44" i="2"/>
  <c r="AX70" i="43" s="1"/>
  <c r="P60" i="2"/>
  <c r="AW80" i="43" s="1"/>
  <c r="P59" i="2"/>
  <c r="AW79" i="43" s="1"/>
  <c r="P45" i="2"/>
  <c r="AW71" i="43" s="1"/>
  <c r="M66" i="3"/>
  <c r="M62" i="3"/>
  <c r="M52" i="3"/>
  <c r="M67" i="3"/>
  <c r="M51" i="3"/>
  <c r="L55" i="2"/>
  <c r="L45" i="2"/>
  <c r="M44" i="2"/>
  <c r="L60" i="2"/>
  <c r="L59" i="2"/>
  <c r="L44" i="2"/>
  <c r="AB26" i="35"/>
  <c r="AB61" i="35" s="1"/>
  <c r="AJ41" i="4"/>
  <c r="V23" i="43"/>
  <c r="G193" i="67"/>
  <c r="G221" i="67"/>
  <c r="G207" i="67"/>
  <c r="BL75" i="38"/>
  <c r="M29" i="43"/>
  <c r="N218" i="67"/>
  <c r="M218" i="67"/>
  <c r="N190" i="67"/>
  <c r="M204" i="67"/>
  <c r="M190" i="67"/>
  <c r="N204" i="67"/>
  <c r="J23" i="43"/>
  <c r="G217" i="67"/>
  <c r="K77" i="67" s="1"/>
  <c r="G203" i="67"/>
  <c r="H77" i="67" s="1"/>
  <c r="G189" i="67"/>
  <c r="E77" i="67" s="1"/>
  <c r="CC22" i="4"/>
  <c r="AJ23" i="43" s="1"/>
  <c r="BT75" i="38"/>
  <c r="CC31" i="35"/>
  <c r="CC66" i="35" s="1"/>
  <c r="AF182" i="67"/>
  <c r="I102" i="67" s="1"/>
  <c r="T174" i="67"/>
  <c r="T160" i="67"/>
  <c r="AF184" i="67"/>
  <c r="I104" i="67" s="1"/>
  <c r="J169" i="67"/>
  <c r="J163" i="67"/>
  <c r="J184" i="67"/>
  <c r="J167" i="67"/>
  <c r="C87" i="67" s="1"/>
  <c r="T165" i="67"/>
  <c r="T171" i="67"/>
  <c r="AF169" i="67"/>
  <c r="I89" i="67" s="1"/>
  <c r="AF162" i="67"/>
  <c r="I82" i="67" s="1"/>
  <c r="J160" i="67"/>
  <c r="T158" i="67"/>
  <c r="T164" i="67"/>
  <c r="AF161" i="67"/>
  <c r="I81" i="67" s="1"/>
  <c r="T176" i="67"/>
  <c r="J166" i="67"/>
  <c r="AF179" i="67"/>
  <c r="I99" i="67" s="1"/>
  <c r="J176" i="67"/>
  <c r="J168" i="67"/>
  <c r="C9" i="67"/>
  <c r="AF177" i="67"/>
  <c r="I97" i="67" s="1"/>
  <c r="J175" i="67"/>
  <c r="AF163" i="67"/>
  <c r="I83" i="67" s="1"/>
  <c r="AF160" i="67"/>
  <c r="I80" i="67" s="1"/>
  <c r="J171" i="67"/>
  <c r="T157" i="67"/>
  <c r="T185" i="67" s="1"/>
  <c r="J170" i="67"/>
  <c r="T173" i="67"/>
  <c r="T172" i="67"/>
  <c r="AF170" i="67"/>
  <c r="I90" i="67" s="1"/>
  <c r="AF172" i="67"/>
  <c r="I92" i="67" s="1"/>
  <c r="J182" i="67"/>
  <c r="T159" i="67"/>
  <c r="AF165" i="67"/>
  <c r="I85" i="67" s="1"/>
  <c r="T178" i="67"/>
  <c r="J181" i="67"/>
  <c r="AF181" i="67"/>
  <c r="I101" i="67" s="1"/>
  <c r="T167" i="67"/>
  <c r="T161" i="67"/>
  <c r="AF168" i="67"/>
  <c r="I88" i="67" s="1"/>
  <c r="AF166" i="67"/>
  <c r="I86" i="67" s="1"/>
  <c r="J174" i="67"/>
  <c r="AF167" i="67"/>
  <c r="I87" i="67" s="1"/>
  <c r="J180" i="67"/>
  <c r="T182" i="67"/>
  <c r="J158" i="67"/>
  <c r="T166" i="67"/>
  <c r="J178" i="67"/>
  <c r="J161" i="67"/>
  <c r="AF164" i="67"/>
  <c r="I84" i="67" s="1"/>
  <c r="T163" i="67"/>
  <c r="J172" i="67"/>
  <c r="AF175" i="67"/>
  <c r="I95" i="67" s="1"/>
  <c r="J159" i="67"/>
  <c r="AF158" i="67"/>
  <c r="I78" i="67" s="1"/>
  <c r="J164" i="67"/>
  <c r="AF178" i="67"/>
  <c r="I98" i="67" s="1"/>
  <c r="T169" i="67"/>
  <c r="AF171" i="67"/>
  <c r="I91" i="67" s="1"/>
  <c r="T175" i="67"/>
  <c r="T179" i="67"/>
  <c r="AF180" i="67"/>
  <c r="I100" i="67" s="1"/>
  <c r="AD226" i="67" s="1"/>
  <c r="J165" i="67"/>
  <c r="T181" i="67"/>
  <c r="T180" i="67"/>
  <c r="J162" i="67"/>
  <c r="C82" i="67" s="1"/>
  <c r="T184" i="67"/>
  <c r="J177" i="67"/>
  <c r="T177" i="67"/>
  <c r="AF159" i="67"/>
  <c r="I79" i="67" s="1"/>
  <c r="T162" i="67"/>
  <c r="J157" i="67"/>
  <c r="AF157" i="67"/>
  <c r="T168" i="67"/>
  <c r="J173" i="67"/>
  <c r="C93" i="67" s="1"/>
  <c r="AF173" i="67"/>
  <c r="I93" i="67" s="1"/>
  <c r="T170" i="67"/>
  <c r="AF174" i="67"/>
  <c r="I94" i="67" s="1"/>
  <c r="J179" i="67"/>
  <c r="T183" i="67"/>
  <c r="AF176" i="67"/>
  <c r="I96" i="67" s="1"/>
  <c r="I16" i="38"/>
  <c r="I51" i="38" s="1"/>
  <c r="J20" i="33"/>
  <c r="J26" i="33"/>
  <c r="CC26" i="33" s="1"/>
  <c r="J29" i="33"/>
  <c r="CC29" i="33" s="1"/>
  <c r="J27" i="33"/>
  <c r="CC27" i="33" s="1"/>
  <c r="J32" i="33"/>
  <c r="CC32" i="33" s="1"/>
  <c r="J28" i="33"/>
  <c r="CC28" i="33" s="1"/>
  <c r="V21" i="43"/>
  <c r="I11" i="36"/>
  <c r="S11" i="36" s="1"/>
  <c r="AP55" i="4"/>
  <c r="AB26" i="38"/>
  <c r="AB61" i="38" s="1"/>
  <c r="AJ26" i="33"/>
  <c r="V33" i="43"/>
  <c r="Q207" i="67"/>
  <c r="Q221" i="67"/>
  <c r="Q193" i="67"/>
  <c r="AE21" i="43"/>
  <c r="AE40" i="43" s="1"/>
  <c r="BN55" i="4"/>
  <c r="M25" i="43"/>
  <c r="I218" i="67"/>
  <c r="I204" i="67"/>
  <c r="I190" i="67"/>
  <c r="H44" i="38"/>
  <c r="H46" i="33"/>
  <c r="H46" i="38" s="1"/>
  <c r="F103" i="67"/>
  <c r="BV29" i="33"/>
  <c r="V25" i="43"/>
  <c r="I221" i="67"/>
  <c r="I193" i="67"/>
  <c r="I207" i="67"/>
  <c r="J22" i="33"/>
  <c r="CC22" i="33" s="1"/>
  <c r="K43" i="43"/>
  <c r="M43" i="43" s="1"/>
  <c r="P44" i="35"/>
  <c r="X59" i="4"/>
  <c r="W42" i="4"/>
  <c r="W27" i="35" s="1"/>
  <c r="W62" i="35" s="1"/>
  <c r="W48" i="4"/>
  <c r="W33" i="35" s="1"/>
  <c r="W68" i="35" s="1"/>
  <c r="W21" i="4"/>
  <c r="W21" i="35" s="1"/>
  <c r="W56" i="35" s="1"/>
  <c r="W46" i="4"/>
  <c r="W31" i="35" s="1"/>
  <c r="W66" i="35" s="1"/>
  <c r="W45" i="4"/>
  <c r="W30" i="35" s="1"/>
  <c r="W65" i="35" s="1"/>
  <c r="W23" i="4"/>
  <c r="W23" i="35" s="1"/>
  <c r="W58" i="35" s="1"/>
  <c r="W41" i="4"/>
  <c r="W26" i="35" s="1"/>
  <c r="W61" i="35" s="1"/>
  <c r="W25" i="4"/>
  <c r="W25" i="35" s="1"/>
  <c r="W60" i="35" s="1"/>
  <c r="W22" i="4"/>
  <c r="W22" i="35" s="1"/>
  <c r="W57" i="35" s="1"/>
  <c r="W53" i="4"/>
  <c r="W38" i="35" s="1"/>
  <c r="W73" i="35" s="1"/>
  <c r="W20" i="4"/>
  <c r="W44" i="4"/>
  <c r="W29" i="35" s="1"/>
  <c r="W64" i="35" s="1"/>
  <c r="J24" i="33"/>
  <c r="CC24" i="33" s="1"/>
  <c r="M27" i="43"/>
  <c r="K218" i="67"/>
  <c r="K204" i="67"/>
  <c r="K190" i="67"/>
  <c r="AK52" i="4"/>
  <c r="AC37" i="35"/>
  <c r="AC72" i="35" s="1"/>
  <c r="W52" i="4"/>
  <c r="W37" i="35" s="1"/>
  <c r="W72" i="35" s="1"/>
  <c r="AJ33" i="35"/>
  <c r="AJ68" i="35" s="1"/>
  <c r="AR48" i="4"/>
  <c r="T28" i="38"/>
  <c r="T63" i="38" s="1"/>
  <c r="AB28" i="33"/>
  <c r="U27" i="38"/>
  <c r="U62" i="38" s="1"/>
  <c r="AC27" i="33"/>
  <c r="AS34" i="33"/>
  <c r="AK34" i="38"/>
  <c r="AK69" i="38" s="1"/>
  <c r="AH59" i="35"/>
  <c r="AH64" i="35"/>
  <c r="AH65" i="35"/>
  <c r="AH67" i="35"/>
  <c r="AH60" i="35"/>
  <c r="AH56" i="35"/>
  <c r="AH58" i="35"/>
  <c r="AH69" i="35"/>
  <c r="AH68" i="35"/>
  <c r="AH62" i="35"/>
  <c r="AH57" i="35"/>
  <c r="AH55" i="35"/>
  <c r="AB34" i="35"/>
  <c r="AB69" i="35" s="1"/>
  <c r="AJ49" i="4"/>
  <c r="H60" i="2"/>
  <c r="H45" i="2"/>
  <c r="H55" i="2"/>
  <c r="J44" i="2"/>
  <c r="H59" i="2"/>
  <c r="H44" i="2"/>
  <c r="M23" i="43"/>
  <c r="G218" i="67"/>
  <c r="G204" i="67"/>
  <c r="G190" i="67"/>
  <c r="AC21" i="38"/>
  <c r="AC56" i="38" s="1"/>
  <c r="AK21" i="33"/>
  <c r="J24" i="38"/>
  <c r="AB31" i="38"/>
  <c r="AB66" i="38" s="1"/>
  <c r="AJ31" i="33"/>
  <c r="AK25" i="35"/>
  <c r="AK60" i="35" s="1"/>
  <c r="AS25" i="4"/>
  <c r="N20" i="35"/>
  <c r="N55" i="4"/>
  <c r="AC28" i="35"/>
  <c r="AC63" i="35" s="1"/>
  <c r="AK43" i="4"/>
  <c r="BN28" i="38"/>
  <c r="W51" i="4"/>
  <c r="W36" i="35" s="1"/>
  <c r="W71" i="35" s="1"/>
  <c r="H45" i="43"/>
  <c r="J45" i="43" s="1"/>
  <c r="H46" i="35"/>
  <c r="T40" i="33"/>
  <c r="V28" i="33" s="1"/>
  <c r="V28" i="38" s="1"/>
  <c r="V63" i="38" s="1"/>
  <c r="BF55" i="35"/>
  <c r="BF57" i="35"/>
  <c r="BF58" i="35"/>
  <c r="BF56" i="35"/>
  <c r="BF67" i="35"/>
  <c r="BF69" i="35"/>
  <c r="BF65" i="35"/>
  <c r="BF66" i="35"/>
  <c r="BF68" i="35"/>
  <c r="BF63" i="35"/>
  <c r="BF64" i="35"/>
  <c r="BF59" i="35"/>
  <c r="BF60" i="35"/>
  <c r="BF62" i="35"/>
  <c r="E17" i="36"/>
  <c r="F17" i="36"/>
  <c r="M21" i="43"/>
  <c r="R55" i="4"/>
  <c r="I7" i="36"/>
  <c r="S7" i="36" s="1"/>
  <c r="BN65" i="35"/>
  <c r="BN66" i="35"/>
  <c r="BN56" i="35"/>
  <c r="BN58" i="35"/>
  <c r="BN64" i="35"/>
  <c r="BN55" i="35"/>
  <c r="BN63" i="35"/>
  <c r="BN67" i="35"/>
  <c r="BN62" i="35"/>
  <c r="BN60" i="35"/>
  <c r="BN61" i="35"/>
  <c r="BN68" i="35"/>
  <c r="U40" i="35"/>
  <c r="BM16" i="38"/>
  <c r="BM51" i="38" s="1"/>
  <c r="BN28" i="33"/>
  <c r="BN22" i="33"/>
  <c r="BF57" i="38"/>
  <c r="BF65" i="38"/>
  <c r="BF58" i="38"/>
  <c r="BF56" i="38"/>
  <c r="BN24" i="38"/>
  <c r="AK51" i="4"/>
  <c r="AC36" i="35"/>
  <c r="AC71" i="35" s="1"/>
  <c r="BV27" i="33"/>
  <c r="AP69" i="38"/>
  <c r="W49" i="4"/>
  <c r="W34" i="35" s="1"/>
  <c r="W69" i="35" s="1"/>
  <c r="M28" i="43"/>
  <c r="L204" i="67"/>
  <c r="L218" i="67"/>
  <c r="L190" i="67"/>
  <c r="J34" i="43"/>
  <c r="R189" i="67"/>
  <c r="R217" i="67"/>
  <c r="R203" i="67"/>
  <c r="CC48" i="4"/>
  <c r="AJ34" i="43" s="1"/>
  <c r="M32" i="43"/>
  <c r="P204" i="67"/>
  <c r="P190" i="67"/>
  <c r="P218" i="67"/>
  <c r="AJ31" i="35"/>
  <c r="AJ66" i="35" s="1"/>
  <c r="AR46" i="4"/>
  <c r="AK30" i="35"/>
  <c r="AK65" i="35" s="1"/>
  <c r="AS45" i="4"/>
  <c r="BF87" i="38"/>
  <c r="Y222" i="67"/>
  <c r="Y194" i="67"/>
  <c r="Y208" i="67"/>
  <c r="AX40" i="35"/>
  <c r="AV60" i="4"/>
  <c r="AR21" i="35"/>
  <c r="AR56" i="35" s="1"/>
  <c r="AZ21" i="4"/>
  <c r="BF66" i="43"/>
  <c r="W40" i="2"/>
  <c r="W37" i="2"/>
  <c r="BF67" i="43" s="1"/>
  <c r="W43" i="2"/>
  <c r="J30" i="43"/>
  <c r="CC44" i="4"/>
  <c r="AJ30" i="43" s="1"/>
  <c r="AT11" i="39"/>
  <c r="N15" i="39"/>
  <c r="AS11" i="39" s="1"/>
  <c r="J31" i="33"/>
  <c r="CC31" i="33" s="1"/>
  <c r="N8" i="39"/>
  <c r="Q15" i="39"/>
  <c r="Q20" i="39" s="1"/>
  <c r="AV75" i="38"/>
  <c r="AC26" i="38"/>
  <c r="AC61" i="38" s="1"/>
  <c r="AK26" i="33"/>
  <c r="AB55" i="4"/>
  <c r="BC54" i="43"/>
  <c r="U19" i="2"/>
  <c r="BD55" i="43" s="1"/>
  <c r="T24" i="2"/>
  <c r="T19" i="2"/>
  <c r="BC55" i="43" s="1"/>
  <c r="Q41" i="39"/>
  <c r="Q46" i="39" s="1"/>
  <c r="O33" i="39"/>
  <c r="M40" i="38"/>
  <c r="H47" i="33"/>
  <c r="H47" i="38" s="1"/>
  <c r="O33" i="33"/>
  <c r="O33" i="38" s="1"/>
  <c r="O68" i="38" s="1"/>
  <c r="O31" i="33"/>
  <c r="O31" i="38" s="1"/>
  <c r="O66" i="38" s="1"/>
  <c r="O21" i="33"/>
  <c r="O21" i="38" s="1"/>
  <c r="O56" i="38" s="1"/>
  <c r="O25" i="33"/>
  <c r="O25" i="38" s="1"/>
  <c r="O60" i="38" s="1"/>
  <c r="P44" i="33"/>
  <c r="O26" i="33"/>
  <c r="O26" i="38" s="1"/>
  <c r="O61" i="38" s="1"/>
  <c r="O32" i="33"/>
  <c r="O32" i="38" s="1"/>
  <c r="O67" i="38" s="1"/>
  <c r="J121" i="67"/>
  <c r="J134" i="67" s="1"/>
  <c r="T126" i="67"/>
  <c r="J133" i="67"/>
  <c r="AF129" i="67"/>
  <c r="J128" i="67"/>
  <c r="T133" i="67"/>
  <c r="T122" i="67"/>
  <c r="AF128" i="67"/>
  <c r="AF126" i="67"/>
  <c r="T125" i="67"/>
  <c r="AF130" i="67"/>
  <c r="T130" i="67"/>
  <c r="AF133" i="67"/>
  <c r="AF127" i="67"/>
  <c r="T129" i="67"/>
  <c r="J127" i="67"/>
  <c r="J129" i="67"/>
  <c r="J130" i="67"/>
  <c r="T127" i="67"/>
  <c r="T128" i="67"/>
  <c r="J123" i="67"/>
  <c r="J122" i="67"/>
  <c r="J132" i="67"/>
  <c r="AF124" i="67"/>
  <c r="J126" i="67"/>
  <c r="AF125" i="67"/>
  <c r="AF122" i="67"/>
  <c r="AF121" i="67"/>
  <c r="T123" i="67"/>
  <c r="J125" i="67"/>
  <c r="T121" i="67"/>
  <c r="T124" i="67"/>
  <c r="J124" i="67"/>
  <c r="T132" i="67"/>
  <c r="AF123" i="67"/>
  <c r="AP58" i="38"/>
  <c r="AP61" i="38"/>
  <c r="AP62" i="38"/>
  <c r="O8" i="39"/>
  <c r="Q16" i="39"/>
  <c r="Q21" i="39" s="1"/>
  <c r="M31" i="43"/>
  <c r="O190" i="67"/>
  <c r="O204" i="67"/>
  <c r="O218" i="67"/>
  <c r="AB25" i="38"/>
  <c r="AB60" i="38" s="1"/>
  <c r="AJ25" i="33"/>
  <c r="N26" i="3"/>
  <c r="BN99" i="43" s="1"/>
  <c r="H29" i="3"/>
  <c r="H31" i="3"/>
  <c r="H43" i="3" s="1"/>
  <c r="J26" i="3"/>
  <c r="H41" i="3"/>
  <c r="H26" i="3"/>
  <c r="O29" i="33"/>
  <c r="O29" i="38" s="1"/>
  <c r="O64" i="38" s="1"/>
  <c r="W43" i="4"/>
  <c r="W28" i="35" s="1"/>
  <c r="W63" i="35" s="1"/>
  <c r="O27" i="33"/>
  <c r="O27" i="38" s="1"/>
  <c r="O62" i="38" s="1"/>
  <c r="AJ32" i="35"/>
  <c r="AJ67" i="35" s="1"/>
  <c r="AR47" i="4"/>
  <c r="BW106" i="43"/>
  <c r="U40" i="3"/>
  <c r="BX107" i="43" s="1"/>
  <c r="T40" i="3"/>
  <c r="BW107" i="43" s="1"/>
  <c r="M33" i="39"/>
  <c r="Q39" i="39"/>
  <c r="Q44" i="39" s="1"/>
  <c r="AK33" i="33"/>
  <c r="AC33" i="38"/>
  <c r="AC68" i="38" s="1"/>
  <c r="AP68" i="38"/>
  <c r="AK26" i="35"/>
  <c r="AK61" i="35" s="1"/>
  <c r="AS41" i="4"/>
  <c r="M12" i="39"/>
  <c r="AS48" i="4"/>
  <c r="AK33" i="35"/>
  <c r="AK68" i="35" s="1"/>
  <c r="J28" i="43"/>
  <c r="L189" i="67"/>
  <c r="L217" i="67"/>
  <c r="L203" i="67"/>
  <c r="CC42" i="4"/>
  <c r="AJ28" i="43" s="1"/>
  <c r="R57" i="38"/>
  <c r="R56" i="38"/>
  <c r="R66" i="38"/>
  <c r="R60" i="38"/>
  <c r="R59" i="38"/>
  <c r="O24" i="33"/>
  <c r="O24" i="38" s="1"/>
  <c r="O59" i="38" s="1"/>
  <c r="R57" i="35"/>
  <c r="R65" i="35"/>
  <c r="R55" i="35"/>
  <c r="R68" i="35"/>
  <c r="R66" i="35"/>
  <c r="R56" i="35"/>
  <c r="R60" i="35"/>
  <c r="R58" i="35"/>
  <c r="R62" i="35"/>
  <c r="R69" i="35"/>
  <c r="R67" i="35"/>
  <c r="R64" i="35"/>
  <c r="R59" i="35"/>
  <c r="BE66" i="43"/>
  <c r="V40" i="2"/>
  <c r="V43" i="2" s="1"/>
  <c r="V37" i="2"/>
  <c r="BE67" i="43" s="1"/>
  <c r="CC26" i="35"/>
  <c r="CC61" i="35" s="1"/>
  <c r="J31" i="43"/>
  <c r="O203" i="67"/>
  <c r="O189" i="67"/>
  <c r="O217" i="67"/>
  <c r="CC45" i="4"/>
  <c r="AJ31" i="43" s="1"/>
  <c r="J27" i="43"/>
  <c r="K189" i="67"/>
  <c r="K217" i="67"/>
  <c r="K203" i="67"/>
  <c r="CC41" i="4"/>
  <c r="AJ27" i="43" s="1"/>
  <c r="G52" i="3"/>
  <c r="G67" i="3"/>
  <c r="G62" i="3"/>
  <c r="G66" i="3"/>
  <c r="O20" i="35"/>
  <c r="O55" i="4"/>
  <c r="Z57" i="35"/>
  <c r="Z59" i="35"/>
  <c r="Z63" i="35"/>
  <c r="Z62" i="35"/>
  <c r="Z66" i="35"/>
  <c r="Z68" i="35"/>
  <c r="Z58" i="35"/>
  <c r="Z55" i="35"/>
  <c r="Z67" i="35"/>
  <c r="Z56" i="35"/>
  <c r="Z65" i="35"/>
  <c r="Z60" i="35"/>
  <c r="Z64" i="35"/>
  <c r="Z61" i="35"/>
  <c r="J29" i="43"/>
  <c r="M217" i="67"/>
  <c r="N203" i="67"/>
  <c r="N217" i="67"/>
  <c r="N189" i="67"/>
  <c r="M189" i="67"/>
  <c r="M203" i="67"/>
  <c r="CC43" i="4"/>
  <c r="AJ29" i="43" s="1"/>
  <c r="J47" i="3"/>
  <c r="J50" i="3" s="1"/>
  <c r="J44" i="3"/>
  <c r="AP59" i="35"/>
  <c r="AP69" i="35"/>
  <c r="AP57" i="35"/>
  <c r="AP58" i="35"/>
  <c r="AP56" i="35"/>
  <c r="AP68" i="35"/>
  <c r="AP65" i="35"/>
  <c r="AP62" i="35"/>
  <c r="AP61" i="35"/>
  <c r="AP60" i="35"/>
  <c r="AP63" i="35"/>
  <c r="AP55" i="35"/>
  <c r="AP66" i="35"/>
  <c r="U37" i="38"/>
  <c r="U72" i="38" s="1"/>
  <c r="AC37" i="33"/>
  <c r="AB28" i="35"/>
  <c r="AB63" i="35" s="1"/>
  <c r="AJ43" i="4"/>
  <c r="M59" i="2"/>
  <c r="M55" i="2"/>
  <c r="M45" i="2"/>
  <c r="M60" i="2"/>
  <c r="AJ30" i="38"/>
  <c r="AJ65" i="38" s="1"/>
  <c r="AR30" i="33"/>
  <c r="BU16" i="38"/>
  <c r="BU51" i="38" s="1"/>
  <c r="BV24" i="33"/>
  <c r="BV21" i="33"/>
  <c r="J25" i="43"/>
  <c r="I203" i="67"/>
  <c r="I189" i="67"/>
  <c r="I217" i="67"/>
  <c r="CC24" i="4"/>
  <c r="AJ25" i="43" s="1"/>
  <c r="Q40" i="39"/>
  <c r="Q45" i="39" s="1"/>
  <c r="N33" i="39"/>
  <c r="F233" i="67"/>
  <c r="I233" i="67"/>
  <c r="AF183" i="67"/>
  <c r="I103" i="67" s="1"/>
  <c r="V15" i="39"/>
  <c r="R20" i="39"/>
  <c r="X15" i="39"/>
  <c r="AB29" i="33"/>
  <c r="T29" i="38"/>
  <c r="T64" i="38" s="1"/>
  <c r="AU60" i="43"/>
  <c r="N36" i="2"/>
  <c r="AB24" i="35"/>
  <c r="AB59" i="35" s="1"/>
  <c r="AJ24" i="4"/>
  <c r="J35" i="43"/>
  <c r="S189" i="67"/>
  <c r="S203" i="67"/>
  <c r="S217" i="67"/>
  <c r="CC49" i="4"/>
  <c r="AJ35" i="43" s="1"/>
  <c r="K47" i="3"/>
  <c r="K50" i="3"/>
  <c r="K44" i="3"/>
  <c r="U20" i="38"/>
  <c r="U55" i="38" s="1"/>
  <c r="AC20" i="33"/>
  <c r="U40" i="33"/>
  <c r="W24" i="33" s="1"/>
  <c r="W24" i="38" s="1"/>
  <c r="W59" i="38" s="1"/>
  <c r="AB55" i="35"/>
  <c r="O20" i="33"/>
  <c r="M75" i="38"/>
  <c r="AP56" i="38"/>
  <c r="AC31" i="38"/>
  <c r="AC66" i="38" s="1"/>
  <c r="AK31" i="33"/>
  <c r="J25" i="33"/>
  <c r="CC25" i="33" s="1"/>
  <c r="AK22" i="35"/>
  <c r="AK57" i="35" s="1"/>
  <c r="AS22" i="4"/>
  <c r="M35" i="43"/>
  <c r="S190" i="67"/>
  <c r="S204" i="67"/>
  <c r="S218" i="67"/>
  <c r="AP67" i="35"/>
  <c r="AP65" i="38"/>
  <c r="AH66" i="35"/>
  <c r="AF131" i="67"/>
  <c r="BN98" i="43"/>
  <c r="N31" i="3"/>
  <c r="N29" i="3"/>
  <c r="BN102" i="43" s="1"/>
  <c r="AH21" i="43"/>
  <c r="AH40" i="43" s="1"/>
  <c r="I14" i="36"/>
  <c r="S14" i="36" s="1"/>
  <c r="BV55" i="4"/>
  <c r="BD66" i="43"/>
  <c r="U40" i="2"/>
  <c r="U43" i="2" s="1"/>
  <c r="U37" i="2"/>
  <c r="BD67" i="43" s="1"/>
  <c r="BV31" i="33"/>
  <c r="U28" i="38"/>
  <c r="U63" i="38" s="1"/>
  <c r="AC28" i="33"/>
  <c r="R63" i="35"/>
  <c r="BN127" i="43"/>
  <c r="N77" i="3"/>
  <c r="BN131" i="43" s="1"/>
  <c r="R61" i="38"/>
  <c r="AB32" i="38"/>
  <c r="AB67" i="38" s="1"/>
  <c r="AJ32" i="33"/>
  <c r="M34" i="43"/>
  <c r="R190" i="67"/>
  <c r="R204" i="67"/>
  <c r="R218" i="67"/>
  <c r="M33" i="43"/>
  <c r="Q190" i="67"/>
  <c r="Q204" i="67"/>
  <c r="Q218" i="67"/>
  <c r="BT51" i="38"/>
  <c r="BV26" i="38"/>
  <c r="BV23" i="38"/>
  <c r="BV31" i="38"/>
  <c r="BV30" i="38"/>
  <c r="BV33" i="38"/>
  <c r="BV22" i="38"/>
  <c r="BV27" i="38"/>
  <c r="AJ22" i="4"/>
  <c r="AB22" i="35"/>
  <c r="AB57" i="35" s="1"/>
  <c r="O38" i="33"/>
  <c r="O38" i="38" s="1"/>
  <c r="O73" i="38" s="1"/>
  <c r="AP55" i="38"/>
  <c r="BP96" i="43"/>
  <c r="U21" i="3"/>
  <c r="P25" i="3"/>
  <c r="P73" i="3"/>
  <c r="T27" i="38"/>
  <c r="T62" i="38" s="1"/>
  <c r="AB27" i="33"/>
  <c r="AP64" i="38"/>
  <c r="BV67" i="35"/>
  <c r="BV59" i="35"/>
  <c r="BV66" i="35"/>
  <c r="BV61" i="35"/>
  <c r="BV69" i="35"/>
  <c r="BV56" i="35"/>
  <c r="BV63" i="35"/>
  <c r="BV62" i="35"/>
  <c r="BV55" i="35"/>
  <c r="R65" i="38"/>
  <c r="O12" i="39"/>
  <c r="AC34" i="35"/>
  <c r="AC69" i="35" s="1"/>
  <c r="AK49" i="4"/>
  <c r="AC24" i="33"/>
  <c r="U24" i="38"/>
  <c r="U59" i="38" s="1"/>
  <c r="J23" i="33"/>
  <c r="CC23" i="33" s="1"/>
  <c r="I239" i="67"/>
  <c r="K62" i="67" s="1"/>
  <c r="H62" i="67"/>
  <c r="AX68" i="35"/>
  <c r="AX55" i="35"/>
  <c r="AX63" i="35"/>
  <c r="AX62" i="35"/>
  <c r="AX58" i="35"/>
  <c r="AX64" i="35"/>
  <c r="AX67" i="35"/>
  <c r="AX61" i="35"/>
  <c r="AX66" i="35"/>
  <c r="AX59" i="35"/>
  <c r="AX56" i="35"/>
  <c r="AX57" i="35"/>
  <c r="AX69" i="35"/>
  <c r="AX65" i="35"/>
  <c r="AK29" i="35"/>
  <c r="AK64" i="35" s="1"/>
  <c r="AS44" i="4"/>
  <c r="J21" i="43"/>
  <c r="J40" i="43" s="1"/>
  <c r="I6" i="36"/>
  <c r="CC20" i="4"/>
  <c r="J55" i="4"/>
  <c r="BL51" i="38"/>
  <c r="BN31" i="38"/>
  <c r="BN21" i="38"/>
  <c r="BN27" i="38"/>
  <c r="BN30" i="38"/>
  <c r="BN34" i="38"/>
  <c r="BN25" i="38"/>
  <c r="BN33" i="38"/>
  <c r="BN23" i="38"/>
  <c r="BN22" i="38"/>
  <c r="U22" i="38"/>
  <c r="U57" i="38" s="1"/>
  <c r="AC22" i="33"/>
  <c r="AK47" i="4"/>
  <c r="AC32" i="35"/>
  <c r="AC67" i="35" s="1"/>
  <c r="AC24" i="35"/>
  <c r="AC59" i="35" s="1"/>
  <c r="AK24" i="4"/>
  <c r="V35" i="43"/>
  <c r="S221" i="67"/>
  <c r="S207" i="67"/>
  <c r="K89" i="67" s="1"/>
  <c r="S193" i="67"/>
  <c r="V44" i="4"/>
  <c r="V29" i="35" s="1"/>
  <c r="V64" i="35" s="1"/>
  <c r="V48" i="4"/>
  <c r="V33" i="35" s="1"/>
  <c r="V68" i="35" s="1"/>
  <c r="V23" i="4"/>
  <c r="V23" i="35" s="1"/>
  <c r="V58" i="35" s="1"/>
  <c r="V21" i="4"/>
  <c r="V21" i="35" s="1"/>
  <c r="V56" i="35" s="1"/>
  <c r="V47" i="4"/>
  <c r="V32" i="35" s="1"/>
  <c r="V67" i="35" s="1"/>
  <c r="V25" i="4"/>
  <c r="V25" i="35" s="1"/>
  <c r="V60" i="35" s="1"/>
  <c r="V45" i="4"/>
  <c r="V30" i="35" s="1"/>
  <c r="V65" i="35" s="1"/>
  <c r="V46" i="4"/>
  <c r="V31" i="35" s="1"/>
  <c r="V66" i="35" s="1"/>
  <c r="V20" i="4"/>
  <c r="BV28" i="33"/>
  <c r="V24" i="4"/>
  <c r="V24" i="35" s="1"/>
  <c r="V59" i="35" s="1"/>
  <c r="M26" i="43"/>
  <c r="J190" i="67"/>
  <c r="J218" i="67"/>
  <c r="J204" i="67"/>
  <c r="U30" i="38"/>
  <c r="U65" i="38" s="1"/>
  <c r="AC30" i="33"/>
  <c r="V31" i="43"/>
  <c r="O221" i="67"/>
  <c r="O193" i="67"/>
  <c r="O207" i="67"/>
  <c r="U36" i="38"/>
  <c r="U71" i="38" s="1"/>
  <c r="AC36" i="33"/>
  <c r="AO16" i="38"/>
  <c r="AO51" i="38" s="1"/>
  <c r="AP20" i="33"/>
  <c r="AP26" i="33"/>
  <c r="AP23" i="33"/>
  <c r="AP28" i="33"/>
  <c r="AP21" i="33"/>
  <c r="AP30" i="33"/>
  <c r="AP34" i="33"/>
  <c r="AP31" i="33"/>
  <c r="AP27" i="33"/>
  <c r="AP29" i="33"/>
  <c r="AP22" i="33"/>
  <c r="AP25" i="33"/>
  <c r="AP24" i="33"/>
  <c r="AP32" i="33"/>
  <c r="AP33" i="33"/>
  <c r="O34" i="33"/>
  <c r="O34" i="38" s="1"/>
  <c r="O69" i="38" s="1"/>
  <c r="AF75" i="38"/>
  <c r="AH55" i="38"/>
  <c r="J30" i="33"/>
  <c r="CC30" i="33" s="1"/>
  <c r="J131" i="67"/>
  <c r="AJ24" i="38"/>
  <c r="AJ59" i="38" s="1"/>
  <c r="AR24" i="33"/>
  <c r="O30" i="33"/>
  <c r="O30" i="38" s="1"/>
  <c r="O65" i="38" s="1"/>
  <c r="R55" i="38"/>
  <c r="P75" i="38"/>
  <c r="J34" i="33"/>
  <c r="CC34" i="33" s="1"/>
  <c r="V49" i="4"/>
  <c r="V34" i="35" s="1"/>
  <c r="V69" i="35" s="1"/>
  <c r="U29" i="38"/>
  <c r="U64" i="38" s="1"/>
  <c r="AC29" i="33"/>
  <c r="AC55" i="4"/>
  <c r="J26" i="43"/>
  <c r="J217" i="67"/>
  <c r="J203" i="67"/>
  <c r="J189" i="67"/>
  <c r="CC25" i="4"/>
  <c r="AJ26" i="43" s="1"/>
  <c r="M24" i="43"/>
  <c r="H218" i="67"/>
  <c r="H204" i="67"/>
  <c r="H190" i="67"/>
  <c r="U23" i="38"/>
  <c r="U58" i="38" s="1"/>
  <c r="AC23" i="33"/>
  <c r="AB20" i="38"/>
  <c r="AB55" i="38" s="1"/>
  <c r="AJ20" i="33"/>
  <c r="H51" i="38"/>
  <c r="J65" i="38" s="1"/>
  <c r="J25" i="38"/>
  <c r="J23" i="38"/>
  <c r="J26" i="38"/>
  <c r="J33" i="38"/>
  <c r="J34" i="38"/>
  <c r="J22" i="38"/>
  <c r="J32" i="38"/>
  <c r="J20" i="38"/>
  <c r="J21" i="38"/>
  <c r="J29" i="38"/>
  <c r="J31" i="38"/>
  <c r="AP66" i="38"/>
  <c r="BV33" i="33"/>
  <c r="AJ21" i="33"/>
  <c r="AB21" i="38"/>
  <c r="AB56" i="38" s="1"/>
  <c r="O28" i="33"/>
  <c r="O28" i="38" s="1"/>
  <c r="O63" i="38" s="1"/>
  <c r="BW96" i="43"/>
  <c r="T73" i="3"/>
  <c r="T25" i="3"/>
  <c r="J32" i="43"/>
  <c r="P203" i="67"/>
  <c r="P189" i="67"/>
  <c r="P217" i="67"/>
  <c r="CC46" i="4"/>
  <c r="AJ32" i="43" s="1"/>
  <c r="J28" i="38"/>
  <c r="AJ42" i="4"/>
  <c r="AB27" i="35"/>
  <c r="AB62" i="35" s="1"/>
  <c r="AB34" i="33"/>
  <c r="T34" i="38"/>
  <c r="T69" i="38" s="1"/>
  <c r="Q16" i="38"/>
  <c r="Q51" i="38" s="1"/>
  <c r="R22" i="33"/>
  <c r="R21" i="33"/>
  <c r="R27" i="33"/>
  <c r="R34" i="33"/>
  <c r="R25" i="33"/>
  <c r="R32" i="33"/>
  <c r="R23" i="33"/>
  <c r="R26" i="33"/>
  <c r="R30" i="33"/>
  <c r="R24" i="33"/>
  <c r="R20" i="33"/>
  <c r="R33" i="33"/>
  <c r="R31" i="33"/>
  <c r="R28" i="33"/>
  <c r="R29" i="33"/>
  <c r="X16" i="39"/>
  <c r="V16" i="39"/>
  <c r="R21" i="39"/>
  <c r="BV26" i="33"/>
  <c r="T57" i="35"/>
  <c r="T75" i="35" s="1"/>
  <c r="T40" i="35"/>
  <c r="AP60" i="38"/>
  <c r="M8" i="39"/>
  <c r="Q14" i="39"/>
  <c r="Q19" i="39" s="1"/>
  <c r="F44" i="3"/>
  <c r="F47" i="3"/>
  <c r="F50" i="3" s="1"/>
  <c r="BQ89" i="43"/>
  <c r="R14" i="3"/>
  <c r="Q21" i="3"/>
  <c r="BN30" i="33"/>
  <c r="BF69" i="38"/>
  <c r="CC20" i="35"/>
  <c r="CC55" i="35" s="1"/>
  <c r="X14" i="39"/>
  <c r="O13" i="39" s="1"/>
  <c r="R19" i="39"/>
  <c r="V14" i="39"/>
  <c r="M13" i="39" s="1"/>
  <c r="AR13" i="39" s="1"/>
  <c r="BV25" i="33"/>
  <c r="BV34" i="33"/>
  <c r="R69" i="38"/>
  <c r="H75" i="38"/>
  <c r="Y40" i="43" l="1"/>
  <c r="P40" i="43"/>
  <c r="AD34" i="4"/>
  <c r="AD30" i="4"/>
  <c r="AD26" i="4"/>
  <c r="AD38" i="4"/>
  <c r="AD37" i="4"/>
  <c r="AD33" i="4"/>
  <c r="AD29" i="4"/>
  <c r="AD40" i="4"/>
  <c r="AD35" i="4"/>
  <c r="AD27" i="4"/>
  <c r="AD36" i="4"/>
  <c r="AD31" i="4"/>
  <c r="AD39" i="4"/>
  <c r="AD32" i="4"/>
  <c r="AD28" i="4"/>
  <c r="X45" i="35"/>
  <c r="Y191" i="67"/>
  <c r="Y219" i="67"/>
  <c r="Z40" i="35"/>
  <c r="AE26" i="4"/>
  <c r="AE30" i="4"/>
  <c r="AE34" i="4"/>
  <c r="AE38" i="4"/>
  <c r="AE33" i="4"/>
  <c r="AE29" i="4"/>
  <c r="AE40" i="4"/>
  <c r="AE37" i="4"/>
  <c r="AE36" i="4"/>
  <c r="AE35" i="4"/>
  <c r="AE28" i="4"/>
  <c r="AE39" i="4"/>
  <c r="AE27" i="4"/>
  <c r="AE31" i="4"/>
  <c r="AE32" i="4"/>
  <c r="Y205" i="67"/>
  <c r="Z40" i="33"/>
  <c r="Z40" i="38" s="1"/>
  <c r="F235" i="67"/>
  <c r="F71" i="67"/>
  <c r="AE49" i="4"/>
  <c r="AE34" i="35" s="1"/>
  <c r="AE69" i="35" s="1"/>
  <c r="AD41" i="4"/>
  <c r="AD26" i="35" s="1"/>
  <c r="AD61" i="35" s="1"/>
  <c r="I57" i="67"/>
  <c r="I235" i="67" s="1"/>
  <c r="F50" i="67"/>
  <c r="I241" i="67"/>
  <c r="F42" i="67"/>
  <c r="G61" i="67"/>
  <c r="AK32" i="33"/>
  <c r="I256" i="67"/>
  <c r="K64" i="67" s="1"/>
  <c r="C50" i="67"/>
  <c r="G62" i="67"/>
  <c r="F47" i="67"/>
  <c r="F241" i="67"/>
  <c r="H59" i="67" s="1"/>
  <c r="C62" i="67"/>
  <c r="D62" i="67" s="1"/>
  <c r="C65" i="67"/>
  <c r="C259" i="67" s="1"/>
  <c r="C63" i="67"/>
  <c r="C253" i="67" s="1"/>
  <c r="E63" i="67" s="1"/>
  <c r="J60" i="67"/>
  <c r="Z75" i="38"/>
  <c r="Z82" i="38" s="1"/>
  <c r="I253" i="67"/>
  <c r="AR20" i="4"/>
  <c r="AZ20" i="4" s="1"/>
  <c r="I250" i="67"/>
  <c r="K65" i="67" s="1"/>
  <c r="C44" i="67"/>
  <c r="F244" i="67"/>
  <c r="H60" i="67" s="1"/>
  <c r="G65" i="67"/>
  <c r="C48" i="67"/>
  <c r="F48" i="67"/>
  <c r="AR25" i="4"/>
  <c r="AR25" i="35" s="1"/>
  <c r="AR60" i="35" s="1"/>
  <c r="C64" i="67"/>
  <c r="D64" i="67" s="1"/>
  <c r="J61" i="67"/>
  <c r="F41" i="67"/>
  <c r="F24" i="67" s="1"/>
  <c r="G58" i="67"/>
  <c r="F256" i="67"/>
  <c r="H64" i="67" s="1"/>
  <c r="J65" i="67"/>
  <c r="C47" i="67"/>
  <c r="F253" i="67"/>
  <c r="C43" i="67"/>
  <c r="C61" i="67"/>
  <c r="C41" i="67"/>
  <c r="C24" i="67" s="1"/>
  <c r="AX58" i="38"/>
  <c r="AC25" i="38"/>
  <c r="AC60" i="38" s="1"/>
  <c r="C238" i="67"/>
  <c r="E58" i="67" s="1"/>
  <c r="I67" i="67"/>
  <c r="J67" i="67" s="1"/>
  <c r="C57" i="67"/>
  <c r="C71" i="67" s="1"/>
  <c r="I45" i="67"/>
  <c r="C45" i="67"/>
  <c r="V27" i="33"/>
  <c r="V27" i="38" s="1"/>
  <c r="V62" i="38" s="1"/>
  <c r="I58" i="67"/>
  <c r="I238" i="67" s="1"/>
  <c r="K58" i="67" s="1"/>
  <c r="F43" i="67"/>
  <c r="F46" i="67"/>
  <c r="C60" i="67"/>
  <c r="C244" i="67" s="1"/>
  <c r="E60" i="67" s="1"/>
  <c r="C49" i="67"/>
  <c r="C46" i="67"/>
  <c r="C59" i="67"/>
  <c r="C241" i="67" s="1"/>
  <c r="E59" i="67" s="1"/>
  <c r="F44" i="67"/>
  <c r="F49" i="67"/>
  <c r="AJ22" i="38"/>
  <c r="AJ57" i="38" s="1"/>
  <c r="AR45" i="4"/>
  <c r="AR30" i="35" s="1"/>
  <c r="AR65" i="35" s="1"/>
  <c r="AZ33" i="33"/>
  <c r="BH33" i="33" s="1"/>
  <c r="AJ23" i="33"/>
  <c r="AJ23" i="38" s="1"/>
  <c r="AJ58" i="38" s="1"/>
  <c r="AD43" i="4"/>
  <c r="AD28" i="35" s="1"/>
  <c r="AD63" i="35" s="1"/>
  <c r="AX67" i="38"/>
  <c r="AX66" i="38"/>
  <c r="AX63" i="38"/>
  <c r="BF40" i="35"/>
  <c r="AK31" i="35"/>
  <c r="AK66" i="35" s="1"/>
  <c r="J57" i="67"/>
  <c r="AS21" i="4"/>
  <c r="AK21" i="35"/>
  <c r="AK56" i="35" s="1"/>
  <c r="S40" i="43"/>
  <c r="AF60" i="4"/>
  <c r="AF45" i="35" s="1"/>
  <c r="AH40" i="35"/>
  <c r="AJ29" i="35"/>
  <c r="AJ64" i="35" s="1"/>
  <c r="AR44" i="4"/>
  <c r="CC32" i="38"/>
  <c r="CC67" i="38" s="1"/>
  <c r="N20" i="38"/>
  <c r="N55" i="38" s="1"/>
  <c r="N75" i="38" s="1"/>
  <c r="CC24" i="38"/>
  <c r="CC59" i="38" s="1"/>
  <c r="AB40" i="35"/>
  <c r="J62" i="38"/>
  <c r="AH40" i="33"/>
  <c r="AF45" i="33" s="1"/>
  <c r="AF45" i="38" s="1"/>
  <c r="AJ23" i="35"/>
  <c r="AJ58" i="35" s="1"/>
  <c r="AR23" i="4"/>
  <c r="AS20" i="4"/>
  <c r="AK20" i="35"/>
  <c r="AK55" i="35" s="1"/>
  <c r="Y220" i="67"/>
  <c r="CC25" i="38"/>
  <c r="CC60" i="38" s="1"/>
  <c r="V34" i="33"/>
  <c r="V34" i="38" s="1"/>
  <c r="V69" i="38" s="1"/>
  <c r="AX69" i="38"/>
  <c r="Y206" i="67"/>
  <c r="BN40" i="33"/>
  <c r="BN40" i="38" s="1"/>
  <c r="AX56" i="38"/>
  <c r="AX62" i="38"/>
  <c r="AX65" i="38"/>
  <c r="AS27" i="35"/>
  <c r="AS62" i="35" s="1"/>
  <c r="BA42" i="4"/>
  <c r="CC34" i="38"/>
  <c r="CC69" i="38" s="1"/>
  <c r="J63" i="38"/>
  <c r="AV45" i="33"/>
  <c r="AV45" i="38" s="1"/>
  <c r="J59" i="38"/>
  <c r="AS23" i="4"/>
  <c r="AK23" i="35"/>
  <c r="AK58" i="35" s="1"/>
  <c r="M44" i="33"/>
  <c r="M44" i="38" s="1"/>
  <c r="AJ55" i="4"/>
  <c r="AX61" i="38"/>
  <c r="AE24" i="4"/>
  <c r="AE24" i="35" s="1"/>
  <c r="AE59" i="35" s="1"/>
  <c r="CC23" i="38"/>
  <c r="CC58" i="38" s="1"/>
  <c r="T75" i="38"/>
  <c r="CC21" i="38"/>
  <c r="CC56" i="38" s="1"/>
  <c r="AC75" i="35"/>
  <c r="AB75" i="35"/>
  <c r="AE47" i="4"/>
  <c r="AE32" i="35" s="1"/>
  <c r="AE67" i="35" s="1"/>
  <c r="CC26" i="38"/>
  <c r="CC61" i="38" s="1"/>
  <c r="W23" i="33"/>
  <c r="W23" i="38" s="1"/>
  <c r="W58" i="38" s="1"/>
  <c r="AX64" i="38"/>
  <c r="AE51" i="4"/>
  <c r="AE36" i="35" s="1"/>
  <c r="AE71" i="35" s="1"/>
  <c r="CC29" i="38"/>
  <c r="CC64" i="38" s="1"/>
  <c r="BV40" i="33"/>
  <c r="BV40" i="38" s="1"/>
  <c r="BF75" i="38"/>
  <c r="BF82" i="38" s="1"/>
  <c r="AE52" i="4"/>
  <c r="AE37" i="35" s="1"/>
  <c r="AE72" i="35" s="1"/>
  <c r="V29" i="33"/>
  <c r="V29" i="38" s="1"/>
  <c r="V64" i="38" s="1"/>
  <c r="BF40" i="33"/>
  <c r="AX68" i="38"/>
  <c r="AX55" i="38"/>
  <c r="AX87" i="38" s="1"/>
  <c r="CC28" i="38"/>
  <c r="CC63" i="38" s="1"/>
  <c r="AX57" i="38"/>
  <c r="CC20" i="38"/>
  <c r="CC55" i="38" s="1"/>
  <c r="AX60" i="38"/>
  <c r="BE69" i="43"/>
  <c r="V59" i="2"/>
  <c r="BE79" i="43" s="1"/>
  <c r="V55" i="2"/>
  <c r="BE75" i="43" s="1"/>
  <c r="V45" i="2"/>
  <c r="BE71" i="43" s="1"/>
  <c r="V60" i="2"/>
  <c r="BE80" i="43" s="1"/>
  <c r="W44" i="2"/>
  <c r="BF70" i="43" s="1"/>
  <c r="F52" i="3"/>
  <c r="F67" i="3"/>
  <c r="F62" i="3"/>
  <c r="G51" i="3"/>
  <c r="F66" i="3"/>
  <c r="BD69" i="43"/>
  <c r="U59" i="2"/>
  <c r="BD79" i="43" s="1"/>
  <c r="U55" i="2"/>
  <c r="U45" i="2"/>
  <c r="BD71" i="43" s="1"/>
  <c r="V44" i="2"/>
  <c r="BE70" i="43" s="1"/>
  <c r="U60" i="2"/>
  <c r="BD80" i="43" s="1"/>
  <c r="K51" i="3"/>
  <c r="J66" i="3"/>
  <c r="J67" i="3"/>
  <c r="J52" i="3"/>
  <c r="J62" i="3"/>
  <c r="BW98" i="43"/>
  <c r="T29" i="3"/>
  <c r="BW102" i="43" s="1"/>
  <c r="T31" i="3"/>
  <c r="U26" i="3"/>
  <c r="BX99" i="43" s="1"/>
  <c r="CC31" i="38"/>
  <c r="CC66" i="38" s="1"/>
  <c r="X20" i="39"/>
  <c r="V20" i="39"/>
  <c r="AR43" i="4"/>
  <c r="AJ28" i="35"/>
  <c r="AJ63" i="35" s="1"/>
  <c r="BN75" i="35"/>
  <c r="BN82" i="35" s="1"/>
  <c r="BN87" i="35"/>
  <c r="M226" i="67"/>
  <c r="J83" i="67"/>
  <c r="AW75" i="43"/>
  <c r="P62" i="2"/>
  <c r="P69" i="2"/>
  <c r="BX96" i="43"/>
  <c r="U73" i="3"/>
  <c r="U25" i="3"/>
  <c r="BF69" i="43"/>
  <c r="W60" i="2"/>
  <c r="BF80" i="43" s="1"/>
  <c r="W59" i="2"/>
  <c r="BF79" i="43" s="1"/>
  <c r="W55" i="2"/>
  <c r="BF75" i="43" s="1"/>
  <c r="W45" i="2"/>
  <c r="BF71" i="43" s="1"/>
  <c r="AJ34" i="35"/>
  <c r="AJ69" i="35" s="1"/>
  <c r="AR49" i="4"/>
  <c r="C79" i="67"/>
  <c r="F79" i="67"/>
  <c r="Q198" i="67"/>
  <c r="D87" i="67"/>
  <c r="AC24" i="38"/>
  <c r="AC59" i="38" s="1"/>
  <c r="AK24" i="33"/>
  <c r="U40" i="38"/>
  <c r="W34" i="33"/>
  <c r="W34" i="38" s="1"/>
  <c r="W69" i="38" s="1"/>
  <c r="X44" i="33"/>
  <c r="E10" i="33"/>
  <c r="W33" i="33"/>
  <c r="W33" i="38" s="1"/>
  <c r="W68" i="38" s="1"/>
  <c r="W32" i="33"/>
  <c r="W32" i="38" s="1"/>
  <c r="W67" i="38" s="1"/>
  <c r="W38" i="33"/>
  <c r="W38" i="38" s="1"/>
  <c r="W73" i="38" s="1"/>
  <c r="W26" i="33"/>
  <c r="W26" i="38" s="1"/>
  <c r="W61" i="38" s="1"/>
  <c r="W25" i="33"/>
  <c r="W25" i="38" s="1"/>
  <c r="W60" i="38" s="1"/>
  <c r="W21" i="33"/>
  <c r="W21" i="38" s="1"/>
  <c r="W56" i="38" s="1"/>
  <c r="W31" i="33"/>
  <c r="W31" i="38" s="1"/>
  <c r="W66" i="38" s="1"/>
  <c r="AS34" i="38"/>
  <c r="AS69" i="38" s="1"/>
  <c r="BA34" i="33"/>
  <c r="CC20" i="33"/>
  <c r="J40" i="33"/>
  <c r="J97" i="67"/>
  <c r="AA226" i="67"/>
  <c r="C104" i="67"/>
  <c r="F104" i="67"/>
  <c r="AK34" i="35"/>
  <c r="AK69" i="35" s="1"/>
  <c r="AS49" i="4"/>
  <c r="AP75" i="38"/>
  <c r="AP82" i="38" s="1"/>
  <c r="AP87" i="38"/>
  <c r="BV57" i="38"/>
  <c r="BV65" i="38"/>
  <c r="BV62" i="38"/>
  <c r="BV61" i="38"/>
  <c r="BV58" i="38"/>
  <c r="BV68" i="38"/>
  <c r="BV66" i="38"/>
  <c r="AD24" i="4"/>
  <c r="AD24" i="35" s="1"/>
  <c r="AD59" i="35" s="1"/>
  <c r="AC37" i="38"/>
  <c r="AC72" i="38" s="1"/>
  <c r="AK37" i="33"/>
  <c r="R75" i="35"/>
  <c r="R82" i="35" s="1"/>
  <c r="R87" i="35"/>
  <c r="AK26" i="38"/>
  <c r="AK61" i="38" s="1"/>
  <c r="AS26" i="33"/>
  <c r="R75" i="38"/>
  <c r="R82" i="38" s="1"/>
  <c r="R87" i="38"/>
  <c r="P44" i="38"/>
  <c r="BA45" i="4"/>
  <c r="AS30" i="35"/>
  <c r="AS65" i="35" s="1"/>
  <c r="AH75" i="35"/>
  <c r="AH82" i="35" s="1"/>
  <c r="AH87" i="35"/>
  <c r="AC27" i="38"/>
  <c r="AC62" i="38" s="1"/>
  <c r="AK27" i="33"/>
  <c r="F89" i="67"/>
  <c r="C89" i="67"/>
  <c r="U75" i="38"/>
  <c r="Z75" i="35"/>
  <c r="Z82" i="35" s="1"/>
  <c r="Z87" i="35"/>
  <c r="M17" i="39"/>
  <c r="AR14" i="39"/>
  <c r="M16" i="39"/>
  <c r="AR10" i="39" s="1"/>
  <c r="D82" i="67"/>
  <c r="L198" i="67"/>
  <c r="J85" i="67"/>
  <c r="O226" i="67"/>
  <c r="F96" i="67"/>
  <c r="C96" i="67"/>
  <c r="Y203" i="67"/>
  <c r="Y189" i="67"/>
  <c r="Y217" i="67"/>
  <c r="J40" i="35"/>
  <c r="H60" i="4"/>
  <c r="CC55" i="4"/>
  <c r="Z44" i="43"/>
  <c r="AB44" i="43" s="1"/>
  <c r="BD45" i="35"/>
  <c r="AJ26" i="38"/>
  <c r="AJ61" i="38" s="1"/>
  <c r="AR26" i="33"/>
  <c r="X19" i="39"/>
  <c r="O14" i="39" s="1"/>
  <c r="V19" i="39"/>
  <c r="M14" i="39" s="1"/>
  <c r="AR12" i="39" s="1"/>
  <c r="AS26" i="35"/>
  <c r="AS61" i="35" s="1"/>
  <c r="BA41" i="4"/>
  <c r="Y218" i="67"/>
  <c r="Y204" i="67"/>
  <c r="Y190" i="67"/>
  <c r="R40" i="35"/>
  <c r="P60" i="4"/>
  <c r="N43" i="43"/>
  <c r="P43" i="43" s="1"/>
  <c r="X44" i="35"/>
  <c r="X61" i="4"/>
  <c r="C86" i="67"/>
  <c r="F86" i="67"/>
  <c r="BV59" i="38"/>
  <c r="BV40" i="35"/>
  <c r="BT60" i="4"/>
  <c r="T41" i="3"/>
  <c r="BW108" i="43" s="1"/>
  <c r="F99" i="67"/>
  <c r="C99" i="67"/>
  <c r="F62" i="39"/>
  <c r="F54" i="36"/>
  <c r="F27" i="36"/>
  <c r="F31" i="36" s="1"/>
  <c r="F32" i="36" s="1"/>
  <c r="F78" i="67"/>
  <c r="C78" i="67"/>
  <c r="K226" i="67"/>
  <c r="J81" i="67"/>
  <c r="W30" i="33"/>
  <c r="W30" i="38" s="1"/>
  <c r="W65" i="38" s="1"/>
  <c r="AR32" i="35"/>
  <c r="AR67" i="35" s="1"/>
  <c r="AZ47" i="4"/>
  <c r="AS25" i="35"/>
  <c r="AS60" i="35" s="1"/>
  <c r="BA25" i="4"/>
  <c r="F97" i="67"/>
  <c r="C97" i="67"/>
  <c r="C101" i="67"/>
  <c r="F101" i="67"/>
  <c r="C83" i="67"/>
  <c r="F83" i="67"/>
  <c r="AR42" i="4"/>
  <c r="AJ27" i="35"/>
  <c r="AJ62" i="35" s="1"/>
  <c r="W36" i="33"/>
  <c r="AS24" i="4"/>
  <c r="AK24" i="35"/>
  <c r="AK59" i="35" s="1"/>
  <c r="AK55" i="4"/>
  <c r="BV69" i="38"/>
  <c r="W20" i="33"/>
  <c r="W37" i="33"/>
  <c r="W37" i="38" s="1"/>
  <c r="W72" i="38" s="1"/>
  <c r="BN66" i="38"/>
  <c r="BN62" i="38"/>
  <c r="BN58" i="38"/>
  <c r="BN69" i="38"/>
  <c r="BN60" i="38"/>
  <c r="BN65" i="38"/>
  <c r="BN56" i="38"/>
  <c r="BN57" i="38"/>
  <c r="BN68" i="38"/>
  <c r="AU66" i="43"/>
  <c r="N40" i="2"/>
  <c r="N43" i="2" s="1"/>
  <c r="N37" i="2"/>
  <c r="AU67" i="43" s="1"/>
  <c r="BN59" i="38"/>
  <c r="W27" i="33"/>
  <c r="W27" i="38" s="1"/>
  <c r="W62" i="38" s="1"/>
  <c r="N226" i="67"/>
  <c r="J84" i="67"/>
  <c r="AJ21" i="38"/>
  <c r="AJ56" i="38" s="1"/>
  <c r="AR21" i="33"/>
  <c r="V28" i="39"/>
  <c r="H50" i="3"/>
  <c r="H47" i="3"/>
  <c r="H44" i="3"/>
  <c r="AR31" i="35"/>
  <c r="AR66" i="35" s="1"/>
  <c r="AZ46" i="4"/>
  <c r="Z226" i="67"/>
  <c r="K96" i="67" s="1"/>
  <c r="J96" i="67"/>
  <c r="F81" i="67"/>
  <c r="C81" i="67"/>
  <c r="J99" i="67"/>
  <c r="AC226" i="67"/>
  <c r="K99" i="67" s="1"/>
  <c r="H56" i="4"/>
  <c r="H41" i="35" s="1"/>
  <c r="H76" i="35" s="1"/>
  <c r="AP75" i="35"/>
  <c r="AP82" i="35" s="1"/>
  <c r="AP87" i="35"/>
  <c r="BH21" i="4"/>
  <c r="AZ21" i="35"/>
  <c r="AZ56" i="35" s="1"/>
  <c r="C98" i="67"/>
  <c r="F98" i="67"/>
  <c r="AR24" i="38"/>
  <c r="AR59" i="38" s="1"/>
  <c r="AZ24" i="33"/>
  <c r="V226" i="67"/>
  <c r="J92" i="67"/>
  <c r="D35" i="36"/>
  <c r="H33" i="36"/>
  <c r="F23" i="36"/>
  <c r="J21" i="36"/>
  <c r="H34" i="36"/>
  <c r="F22" i="36"/>
  <c r="G34" i="36"/>
  <c r="L23" i="36"/>
  <c r="E22" i="36"/>
  <c r="F34" i="36"/>
  <c r="K23" i="36"/>
  <c r="D22" i="36"/>
  <c r="E35" i="36"/>
  <c r="D33" i="36"/>
  <c r="H23" i="36"/>
  <c r="G21" i="36"/>
  <c r="G23" i="36"/>
  <c r="F21" i="36"/>
  <c r="L34" i="36"/>
  <c r="E23" i="36"/>
  <c r="E21" i="36"/>
  <c r="J35" i="36"/>
  <c r="F33" i="36"/>
  <c r="J22" i="36"/>
  <c r="I35" i="36"/>
  <c r="E33" i="36"/>
  <c r="I22" i="36"/>
  <c r="H35" i="36"/>
  <c r="H22" i="36"/>
  <c r="F35" i="36"/>
  <c r="J23" i="36"/>
  <c r="K34" i="36"/>
  <c r="I23" i="36"/>
  <c r="J34" i="36"/>
  <c r="D23" i="36"/>
  <c r="D34" i="36"/>
  <c r="H21" i="36"/>
  <c r="D21" i="36"/>
  <c r="L33" i="36"/>
  <c r="K33" i="36"/>
  <c r="J33" i="36"/>
  <c r="I33" i="36"/>
  <c r="L22" i="36"/>
  <c r="G33" i="36"/>
  <c r="K22" i="36"/>
  <c r="G22" i="36"/>
  <c r="K21" i="36"/>
  <c r="I21" i="36"/>
  <c r="G35" i="36"/>
  <c r="I34" i="36"/>
  <c r="E34" i="36"/>
  <c r="L35" i="36"/>
  <c r="K35" i="36"/>
  <c r="L21" i="36"/>
  <c r="S6" i="36"/>
  <c r="AD22" i="4"/>
  <c r="AD22" i="35" s="1"/>
  <c r="AD57" i="35" s="1"/>
  <c r="AC28" i="38"/>
  <c r="AC63" i="38" s="1"/>
  <c r="AK28" i="33"/>
  <c r="AS31" i="35"/>
  <c r="AS66" i="35" s="1"/>
  <c r="BA46" i="4"/>
  <c r="AJ55" i="35"/>
  <c r="BN67" i="38"/>
  <c r="AB28" i="38"/>
  <c r="AB63" i="38" s="1"/>
  <c r="AJ28" i="33"/>
  <c r="J94" i="67"/>
  <c r="X226" i="67"/>
  <c r="K94" i="67" s="1"/>
  <c r="J90" i="67"/>
  <c r="T226" i="67"/>
  <c r="K90" i="67" s="1"/>
  <c r="AT14" i="39"/>
  <c r="O16" i="39"/>
  <c r="N12" i="39"/>
  <c r="AS14" i="39" s="1"/>
  <c r="AB27" i="38"/>
  <c r="AB62" i="38" s="1"/>
  <c r="AJ27" i="33"/>
  <c r="AS22" i="35"/>
  <c r="AS57" i="35" s="1"/>
  <c r="BA22" i="4"/>
  <c r="AR25" i="33"/>
  <c r="AJ25" i="38"/>
  <c r="AJ60" i="38" s="1"/>
  <c r="BV55" i="38"/>
  <c r="J66" i="38"/>
  <c r="J57" i="38"/>
  <c r="J69" i="38"/>
  <c r="J55" i="38"/>
  <c r="J58" i="38"/>
  <c r="J60" i="38"/>
  <c r="J67" i="38"/>
  <c r="J56" i="38"/>
  <c r="J68" i="38"/>
  <c r="J61" i="38"/>
  <c r="J64" i="38"/>
  <c r="AC30" i="38"/>
  <c r="AC65" i="38" s="1"/>
  <c r="AK30" i="33"/>
  <c r="W22" i="33"/>
  <c r="W22" i="38" s="1"/>
  <c r="W57" i="38" s="1"/>
  <c r="AX75" i="35"/>
  <c r="AX82" i="35" s="1"/>
  <c r="AX87" i="35"/>
  <c r="AJ22" i="35"/>
  <c r="AJ57" i="35" s="1"/>
  <c r="AR22" i="4"/>
  <c r="J78" i="67"/>
  <c r="H226" i="67"/>
  <c r="BW127" i="43"/>
  <c r="T77" i="3"/>
  <c r="BW131" i="43" s="1"/>
  <c r="AC23" i="38"/>
  <c r="AC58" i="38" s="1"/>
  <c r="AK23" i="33"/>
  <c r="AC36" i="38"/>
  <c r="AC71" i="38" s="1"/>
  <c r="AK36" i="33"/>
  <c r="AC20" i="38"/>
  <c r="AC55" i="38" s="1"/>
  <c r="AC40" i="33"/>
  <c r="AE27" i="33" s="1"/>
  <c r="AE27" i="38" s="1"/>
  <c r="AE62" i="38" s="1"/>
  <c r="AK20" i="33"/>
  <c r="BA48" i="4"/>
  <c r="AS33" i="35"/>
  <c r="AS68" i="35" s="1"/>
  <c r="C92" i="67"/>
  <c r="F92" i="67"/>
  <c r="R40" i="33"/>
  <c r="P41" i="33" s="1"/>
  <c r="P41" i="38" s="1"/>
  <c r="P76" i="38" s="1"/>
  <c r="C88" i="67"/>
  <c r="F88" i="67"/>
  <c r="AD42" i="4"/>
  <c r="AD27" i="35" s="1"/>
  <c r="AD62" i="35" s="1"/>
  <c r="V55" i="4"/>
  <c r="V20" i="35"/>
  <c r="AC40" i="35"/>
  <c r="AJ26" i="35"/>
  <c r="AJ61" i="35" s="1"/>
  <c r="AR41" i="4"/>
  <c r="BN64" i="38"/>
  <c r="AK32" i="35"/>
  <c r="AK67" i="35" s="1"/>
  <c r="AS47" i="4"/>
  <c r="AZ22" i="33"/>
  <c r="AR22" i="38"/>
  <c r="AR57" i="38" s="1"/>
  <c r="BV64" i="38"/>
  <c r="F102" i="67"/>
  <c r="C102" i="67"/>
  <c r="N13" i="39"/>
  <c r="AS13" i="39" s="1"/>
  <c r="AT13" i="39"/>
  <c r="AJ21" i="43"/>
  <c r="AJ40" i="43" s="1"/>
  <c r="D7" i="36"/>
  <c r="M40" i="43"/>
  <c r="AJ31" i="38"/>
  <c r="AJ66" i="38" s="1"/>
  <c r="AR31" i="33"/>
  <c r="F85" i="67"/>
  <c r="C85" i="67"/>
  <c r="BV60" i="38"/>
  <c r="AC22" i="38"/>
  <c r="AC57" i="38" s="1"/>
  <c r="AK22" i="33"/>
  <c r="T26" i="3"/>
  <c r="BW99" i="43" s="1"/>
  <c r="BN55" i="38"/>
  <c r="Y221" i="67"/>
  <c r="Y207" i="67"/>
  <c r="Y193" i="67"/>
  <c r="AP40" i="35"/>
  <c r="AN60" i="4"/>
  <c r="AS29" i="35"/>
  <c r="AS64" i="35" s="1"/>
  <c r="BA44" i="4"/>
  <c r="X28" i="39"/>
  <c r="W28" i="33"/>
  <c r="W28" i="38" s="1"/>
  <c r="W63" i="38" s="1"/>
  <c r="L51" i="3"/>
  <c r="K66" i="3"/>
  <c r="K62" i="3"/>
  <c r="K67" i="3"/>
  <c r="K52" i="3"/>
  <c r="BF75" i="35"/>
  <c r="BF82" i="35" s="1"/>
  <c r="BF87" i="35"/>
  <c r="AK28" i="35"/>
  <c r="AK63" i="35" s="1"/>
  <c r="AS43" i="4"/>
  <c r="AZ48" i="4"/>
  <c r="AR33" i="35"/>
  <c r="AR68" i="35" s="1"/>
  <c r="W55" i="4"/>
  <c r="W20" i="35"/>
  <c r="J93" i="67"/>
  <c r="W226" i="67"/>
  <c r="C100" i="67"/>
  <c r="AD198" i="67" s="1"/>
  <c r="F100" i="67"/>
  <c r="AD212" i="67" s="1"/>
  <c r="BQ96" i="43"/>
  <c r="BV96" i="43"/>
  <c r="Q25" i="3"/>
  <c r="Q26" i="3" s="1"/>
  <c r="V21" i="3"/>
  <c r="V22" i="3" s="1"/>
  <c r="BY97" i="43" s="1"/>
  <c r="Q73" i="3"/>
  <c r="AB40" i="33"/>
  <c r="AD27" i="33" s="1"/>
  <c r="AD27" i="38" s="1"/>
  <c r="AD62" i="38" s="1"/>
  <c r="AE53" i="4"/>
  <c r="AE38" i="35" s="1"/>
  <c r="AE73" i="35" s="1"/>
  <c r="X62" i="4"/>
  <c r="X47" i="35" s="1"/>
  <c r="AE23" i="4"/>
  <c r="AE23" i="35" s="1"/>
  <c r="AE58" i="35" s="1"/>
  <c r="AE20" i="4"/>
  <c r="AF59" i="4"/>
  <c r="AE21" i="4"/>
  <c r="AE21" i="35" s="1"/>
  <c r="AE56" i="35" s="1"/>
  <c r="AE42" i="4"/>
  <c r="AE27" i="35" s="1"/>
  <c r="AE62" i="35" s="1"/>
  <c r="AE41" i="4"/>
  <c r="AE26" i="35" s="1"/>
  <c r="AE61" i="35" s="1"/>
  <c r="AE48" i="4"/>
  <c r="AE33" i="35" s="1"/>
  <c r="AE68" i="35" s="1"/>
  <c r="AE46" i="4"/>
  <c r="AE31" i="35" s="1"/>
  <c r="AE66" i="35" s="1"/>
  <c r="AE44" i="4"/>
  <c r="AE29" i="35" s="1"/>
  <c r="AE64" i="35" s="1"/>
  <c r="AE25" i="4"/>
  <c r="AE25" i="35" s="1"/>
  <c r="AE60" i="35" s="1"/>
  <c r="AE22" i="4"/>
  <c r="AE22" i="35" s="1"/>
  <c r="AE57" i="35" s="1"/>
  <c r="AE45" i="4"/>
  <c r="AE30" i="35" s="1"/>
  <c r="AE65" i="35" s="1"/>
  <c r="H77" i="3"/>
  <c r="CC27" i="38"/>
  <c r="CC62" i="38" s="1"/>
  <c r="BN61" i="38"/>
  <c r="W44" i="43"/>
  <c r="Y44" i="43" s="1"/>
  <c r="AV45" i="35"/>
  <c r="AK36" i="35"/>
  <c r="AK71" i="35" s="1"/>
  <c r="AS51" i="4"/>
  <c r="E62" i="39"/>
  <c r="E54" i="36"/>
  <c r="E27" i="36"/>
  <c r="E31" i="36" s="1"/>
  <c r="E32" i="36" s="1"/>
  <c r="T40" i="38"/>
  <c r="V22" i="33"/>
  <c r="V22" i="38" s="1"/>
  <c r="V57" i="38" s="1"/>
  <c r="V33" i="33"/>
  <c r="V33" i="38" s="1"/>
  <c r="V68" i="38" s="1"/>
  <c r="V30" i="33"/>
  <c r="V30" i="38" s="1"/>
  <c r="V65" i="38" s="1"/>
  <c r="V24" i="33"/>
  <c r="V24" i="38" s="1"/>
  <c r="V59" i="38" s="1"/>
  <c r="V20" i="33"/>
  <c r="V23" i="33"/>
  <c r="V23" i="38" s="1"/>
  <c r="V58" i="38" s="1"/>
  <c r="V26" i="33"/>
  <c r="V26" i="38" s="1"/>
  <c r="V61" i="38" s="1"/>
  <c r="V32" i="33"/>
  <c r="V32" i="38" s="1"/>
  <c r="V67" i="38" s="1"/>
  <c r="V21" i="33"/>
  <c r="V21" i="38" s="1"/>
  <c r="V56" i="38" s="1"/>
  <c r="V31" i="33"/>
  <c r="V31" i="38" s="1"/>
  <c r="V66" i="38" s="1"/>
  <c r="V25" i="33"/>
  <c r="V25" i="38" s="1"/>
  <c r="V60" i="38" s="1"/>
  <c r="AE43" i="4"/>
  <c r="AE28" i="35" s="1"/>
  <c r="AE63" i="35" s="1"/>
  <c r="AK21" i="38"/>
  <c r="AK56" i="38" s="1"/>
  <c r="AS21" i="33"/>
  <c r="V40" i="43"/>
  <c r="W198" i="67"/>
  <c r="D93" i="67"/>
  <c r="U226" i="67"/>
  <c r="J91" i="67"/>
  <c r="J87" i="67"/>
  <c r="Q226" i="67"/>
  <c r="C90" i="67"/>
  <c r="F90" i="67"/>
  <c r="F80" i="67"/>
  <c r="C80" i="67"/>
  <c r="BV75" i="35"/>
  <c r="BV82" i="35" s="1"/>
  <c r="BV87" i="35"/>
  <c r="BP98" i="43"/>
  <c r="P29" i="3"/>
  <c r="BP102" i="43" s="1"/>
  <c r="P31" i="3"/>
  <c r="P41" i="3"/>
  <c r="BP108" i="43" s="1"/>
  <c r="AR30" i="38"/>
  <c r="AR65" i="38" s="1"/>
  <c r="AZ30" i="33"/>
  <c r="N55" i="35"/>
  <c r="N75" i="35" s="1"/>
  <c r="N40" i="35"/>
  <c r="AD23" i="4"/>
  <c r="AD23" i="35" s="1"/>
  <c r="AD58" i="35" s="1"/>
  <c r="AD44" i="4"/>
  <c r="AD29" i="35" s="1"/>
  <c r="AD64" i="35" s="1"/>
  <c r="AD21" i="4"/>
  <c r="AD21" i="35" s="1"/>
  <c r="AD56" i="35" s="1"/>
  <c r="AD20" i="4"/>
  <c r="AD45" i="4"/>
  <c r="AD30" i="35" s="1"/>
  <c r="AD65" i="35" s="1"/>
  <c r="AD47" i="4"/>
  <c r="AD32" i="35" s="1"/>
  <c r="AD67" i="35" s="1"/>
  <c r="AD25" i="4"/>
  <c r="AD25" i="35" s="1"/>
  <c r="AD60" i="35" s="1"/>
  <c r="AD48" i="4"/>
  <c r="AD33" i="35" s="1"/>
  <c r="AD68" i="35" s="1"/>
  <c r="AD46" i="4"/>
  <c r="AD31" i="35" s="1"/>
  <c r="AD66" i="35" s="1"/>
  <c r="I226" i="67"/>
  <c r="J79" i="67"/>
  <c r="F95" i="67"/>
  <c r="C95" i="67"/>
  <c r="AB34" i="38"/>
  <c r="AB69" i="38" s="1"/>
  <c r="AJ34" i="33"/>
  <c r="AJ24" i="35"/>
  <c r="AJ59" i="35" s="1"/>
  <c r="AR24" i="4"/>
  <c r="AD49" i="4"/>
  <c r="AD34" i="35" s="1"/>
  <c r="AD69" i="35" s="1"/>
  <c r="AK37" i="35"/>
  <c r="AK72" i="35" s="1"/>
  <c r="AS52" i="4"/>
  <c r="J95" i="67"/>
  <c r="Y226" i="67"/>
  <c r="BR89" i="43"/>
  <c r="R21" i="3"/>
  <c r="R22" i="3" s="1"/>
  <c r="BR97" i="43" s="1"/>
  <c r="X21" i="39"/>
  <c r="V21" i="39"/>
  <c r="W29" i="33"/>
  <c r="W29" i="38" s="1"/>
  <c r="W64" i="38" s="1"/>
  <c r="AH75" i="38"/>
  <c r="AH82" i="38" s="1"/>
  <c r="AH87" i="38"/>
  <c r="AK25" i="38"/>
  <c r="AK60" i="38" s="1"/>
  <c r="AS25" i="33"/>
  <c r="K59" i="67"/>
  <c r="K63" i="67"/>
  <c r="AB29" i="38"/>
  <c r="AB64" i="38" s="1"/>
  <c r="AJ29" i="33"/>
  <c r="BN63" i="38"/>
  <c r="C94" i="67"/>
  <c r="F94" i="67"/>
  <c r="Q22" i="3"/>
  <c r="CC33" i="38"/>
  <c r="CC68" i="38" s="1"/>
  <c r="P26" i="3"/>
  <c r="BP99" i="43" s="1"/>
  <c r="AS31" i="33"/>
  <c r="AK31" i="38"/>
  <c r="AK66" i="38" s="1"/>
  <c r="O55" i="35"/>
  <c r="O75" i="35" s="1"/>
  <c r="O40" i="35"/>
  <c r="BC60" i="43"/>
  <c r="T36" i="2"/>
  <c r="BV67" i="38"/>
  <c r="BV56" i="38"/>
  <c r="BN40" i="35"/>
  <c r="BL60" i="4"/>
  <c r="AF185" i="67"/>
  <c r="I77" i="67"/>
  <c r="AB226" i="67"/>
  <c r="J98" i="67"/>
  <c r="P226" i="67"/>
  <c r="J86" i="67"/>
  <c r="F91" i="67"/>
  <c r="C91" i="67"/>
  <c r="J89" i="67"/>
  <c r="S226" i="67"/>
  <c r="CC22" i="38"/>
  <c r="CC57" i="38" s="1"/>
  <c r="AS32" i="33"/>
  <c r="AK32" i="38"/>
  <c r="AK67" i="38" s="1"/>
  <c r="BN104" i="43"/>
  <c r="N43" i="3"/>
  <c r="O40" i="33"/>
  <c r="O40" i="38" s="1"/>
  <c r="O20" i="38"/>
  <c r="O55" i="38" s="1"/>
  <c r="O75" i="38" s="1"/>
  <c r="AK33" i="38"/>
  <c r="AK68" i="38" s="1"/>
  <c r="AS33" i="33"/>
  <c r="L226" i="67"/>
  <c r="J82" i="67"/>
  <c r="AJ20" i="38"/>
  <c r="AJ55" i="38" s="1"/>
  <c r="AR20" i="33"/>
  <c r="AC29" i="38"/>
  <c r="AC64" i="38" s="1"/>
  <c r="AK29" i="33"/>
  <c r="AP40" i="33"/>
  <c r="U22" i="3"/>
  <c r="BX97" i="43" s="1"/>
  <c r="BP127" i="43"/>
  <c r="P77" i="3"/>
  <c r="BP131" i="43" s="1"/>
  <c r="CC30" i="38"/>
  <c r="CC65" i="38" s="1"/>
  <c r="AJ32" i="38"/>
  <c r="AJ67" i="38" s="1"/>
  <c r="AR32" i="33"/>
  <c r="BV63" i="38"/>
  <c r="J185" i="67"/>
  <c r="F77" i="67"/>
  <c r="C77" i="67"/>
  <c r="F84" i="67"/>
  <c r="C84" i="67"/>
  <c r="R226" i="67"/>
  <c r="J88" i="67"/>
  <c r="J226" i="67"/>
  <c r="J80" i="67"/>
  <c r="E42" i="36" l="1"/>
  <c r="D10" i="36"/>
  <c r="X45" i="33"/>
  <c r="X45" i="38" s="1"/>
  <c r="AM26" i="4"/>
  <c r="AM34" i="4"/>
  <c r="AM30" i="4"/>
  <c r="AM38" i="4"/>
  <c r="AM29" i="4"/>
  <c r="AM33" i="4"/>
  <c r="AM36" i="4"/>
  <c r="AM37" i="4"/>
  <c r="AM40" i="4"/>
  <c r="AM27" i="4"/>
  <c r="AM35" i="4"/>
  <c r="AM32" i="4"/>
  <c r="AM39" i="4"/>
  <c r="AM28" i="4"/>
  <c r="AM31" i="4"/>
  <c r="AL26" i="4"/>
  <c r="AL30" i="4"/>
  <c r="AL38" i="4"/>
  <c r="AL34" i="4"/>
  <c r="AL29" i="4"/>
  <c r="AL33" i="4"/>
  <c r="AL37" i="4"/>
  <c r="AL40" i="4"/>
  <c r="AL31" i="4"/>
  <c r="AL36" i="4"/>
  <c r="AL35" i="4"/>
  <c r="AL27" i="4"/>
  <c r="AL39" i="4"/>
  <c r="AL28" i="4"/>
  <c r="AL32" i="4"/>
  <c r="D63" i="67"/>
  <c r="D65" i="67"/>
  <c r="AM49" i="4"/>
  <c r="AM34" i="35" s="1"/>
  <c r="AM69" i="35" s="1"/>
  <c r="I71" i="67"/>
  <c r="AL23" i="4"/>
  <c r="AL23" i="35" s="1"/>
  <c r="AL58" i="35" s="1"/>
  <c r="C250" i="67"/>
  <c r="E65" i="67" s="1"/>
  <c r="D60" i="67"/>
  <c r="H63" i="67"/>
  <c r="G71" i="67"/>
  <c r="AZ45" i="4"/>
  <c r="BH45" i="4" s="1"/>
  <c r="AD29" i="33"/>
  <c r="AD29" i="38" s="1"/>
  <c r="AD64" i="38" s="1"/>
  <c r="AZ25" i="4"/>
  <c r="AZ25" i="35" s="1"/>
  <c r="AZ60" i="35" s="1"/>
  <c r="C256" i="67"/>
  <c r="E64" i="67" s="1"/>
  <c r="AL22" i="4"/>
  <c r="AL22" i="35" s="1"/>
  <c r="AL57" i="35" s="1"/>
  <c r="AZ33" i="38"/>
  <c r="AZ68" i="38" s="1"/>
  <c r="AR20" i="35"/>
  <c r="AR55" i="35" s="1"/>
  <c r="J58" i="67"/>
  <c r="J71" i="67" s="1"/>
  <c r="C247" i="67"/>
  <c r="E61" i="67" s="1"/>
  <c r="D61" i="67"/>
  <c r="D57" i="67"/>
  <c r="C235" i="67"/>
  <c r="AR23" i="33"/>
  <c r="AR23" i="38" s="1"/>
  <c r="AR58" i="38" s="1"/>
  <c r="D59" i="67"/>
  <c r="Q44" i="43"/>
  <c r="S44" i="43" s="1"/>
  <c r="AE29" i="33"/>
  <c r="AE29" i="38" s="1"/>
  <c r="AE64" i="38" s="1"/>
  <c r="AM52" i="4"/>
  <c r="AM37" i="35" s="1"/>
  <c r="AM72" i="35" s="1"/>
  <c r="AL42" i="4"/>
  <c r="AL27" i="35" s="1"/>
  <c r="AL62" i="35" s="1"/>
  <c r="AH40" i="38"/>
  <c r="AL44" i="4"/>
  <c r="AL29" i="35" s="1"/>
  <c r="AL64" i="35" s="1"/>
  <c r="AL49" i="4"/>
  <c r="AL34" i="35" s="1"/>
  <c r="AL69" i="35" s="1"/>
  <c r="AZ44" i="4"/>
  <c r="AR29" i="35"/>
  <c r="AR64" i="35" s="1"/>
  <c r="AE37" i="33"/>
  <c r="AE37" i="38" s="1"/>
  <c r="AE72" i="38" s="1"/>
  <c r="AL45" i="4"/>
  <c r="AL30" i="35" s="1"/>
  <c r="AL65" i="35" s="1"/>
  <c r="AL41" i="4"/>
  <c r="AL26" i="35" s="1"/>
  <c r="AL61" i="35" s="1"/>
  <c r="AL47" i="4"/>
  <c r="AL32" i="35" s="1"/>
  <c r="AL67" i="35" s="1"/>
  <c r="AL25" i="4"/>
  <c r="AL25" i="35" s="1"/>
  <c r="AL60" i="35" s="1"/>
  <c r="AL48" i="4"/>
  <c r="AL33" i="35" s="1"/>
  <c r="AL68" i="35" s="1"/>
  <c r="AL43" i="4"/>
  <c r="AL28" i="35" s="1"/>
  <c r="AL63" i="35" s="1"/>
  <c r="AL21" i="4"/>
  <c r="AL21" i="35" s="1"/>
  <c r="AL56" i="35" s="1"/>
  <c r="AL46" i="4"/>
  <c r="AL31" i="35" s="1"/>
  <c r="AL66" i="35" s="1"/>
  <c r="AL20" i="4"/>
  <c r="AL20" i="35" s="1"/>
  <c r="AL24" i="4"/>
  <c r="AL24" i="35" s="1"/>
  <c r="AL59" i="35" s="1"/>
  <c r="AS21" i="35"/>
  <c r="AS56" i="35" s="1"/>
  <c r="BA21" i="4"/>
  <c r="BT45" i="33"/>
  <c r="BT45" i="38" s="1"/>
  <c r="BI42" i="4"/>
  <c r="BA27" i="35"/>
  <c r="BA62" i="35" s="1"/>
  <c r="BL45" i="33"/>
  <c r="BL45" i="38" s="1"/>
  <c r="BA20" i="4"/>
  <c r="AS20" i="35"/>
  <c r="AS55" i="35" s="1"/>
  <c r="AR23" i="35"/>
  <c r="AR58" i="35" s="1"/>
  <c r="AZ23" i="4"/>
  <c r="AR55" i="4"/>
  <c r="AB75" i="38"/>
  <c r="BA23" i="4"/>
  <c r="AS23" i="35"/>
  <c r="AS58" i="35" s="1"/>
  <c r="AK75" i="35"/>
  <c r="AX75" i="38"/>
  <c r="AX82" i="38" s="1"/>
  <c r="AE22" i="33"/>
  <c r="AE22" i="38" s="1"/>
  <c r="AE57" i="38" s="1"/>
  <c r="AD28" i="33"/>
  <c r="AD28" i="38" s="1"/>
  <c r="AD63" i="38" s="1"/>
  <c r="AS55" i="4"/>
  <c r="BD45" i="33"/>
  <c r="BD45" i="38" s="1"/>
  <c r="BF40" i="38"/>
  <c r="AE30" i="33"/>
  <c r="AE30" i="38" s="1"/>
  <c r="AE65" i="38" s="1"/>
  <c r="AU69" i="43"/>
  <c r="N60" i="2"/>
  <c r="AU80" i="43" s="1"/>
  <c r="P44" i="2"/>
  <c r="AW70" i="43" s="1"/>
  <c r="N55" i="2"/>
  <c r="AU75" i="43" s="1"/>
  <c r="N45" i="2"/>
  <c r="AU71" i="43" s="1"/>
  <c r="N59" i="2"/>
  <c r="AU79" i="43" s="1"/>
  <c r="N44" i="2"/>
  <c r="AU70" i="43" s="1"/>
  <c r="BV99" i="43"/>
  <c r="BQ99" i="43"/>
  <c r="J51" i="3"/>
  <c r="H67" i="3"/>
  <c r="H52" i="3"/>
  <c r="H62" i="3"/>
  <c r="H66" i="3"/>
  <c r="H51" i="3"/>
  <c r="AK22" i="38"/>
  <c r="AK57" i="38" s="1"/>
  <c r="AS22" i="33"/>
  <c r="AZ32" i="35"/>
  <c r="AZ67" i="35" s="1"/>
  <c r="BH47" i="4"/>
  <c r="G95" i="67"/>
  <c r="Y212" i="67"/>
  <c r="BD75" i="43"/>
  <c r="U69" i="2"/>
  <c r="U62" i="2"/>
  <c r="AS32" i="38"/>
  <c r="AS67" i="38" s="1"/>
  <c r="BA32" i="33"/>
  <c r="BA52" i="4"/>
  <c r="AS37" i="35"/>
  <c r="AS72" i="35" s="1"/>
  <c r="Q43" i="43"/>
  <c r="S43" i="43" s="1"/>
  <c r="AF61" i="4"/>
  <c r="AF44" i="35"/>
  <c r="AR26" i="35"/>
  <c r="AR61" i="35" s="1"/>
  <c r="AZ41" i="4"/>
  <c r="BH20" i="4"/>
  <c r="AZ20" i="35"/>
  <c r="AZ30" i="38"/>
  <c r="AZ65" i="38" s="1"/>
  <c r="BH30" i="33"/>
  <c r="V40" i="33"/>
  <c r="V40" i="38" s="1"/>
  <c r="V20" i="38"/>
  <c r="V55" i="38" s="1"/>
  <c r="V75" i="38" s="1"/>
  <c r="AE20" i="35"/>
  <c r="AE55" i="4"/>
  <c r="D85" i="67"/>
  <c r="O198" i="67"/>
  <c r="AK20" i="38"/>
  <c r="AK55" i="38" s="1"/>
  <c r="AS20" i="33"/>
  <c r="AK40" i="33"/>
  <c r="AM22" i="33" s="1"/>
  <c r="AM22" i="38" s="1"/>
  <c r="AM57" i="38" s="1"/>
  <c r="AJ28" i="38"/>
  <c r="AJ63" i="38" s="1"/>
  <c r="AR28" i="33"/>
  <c r="BA34" i="38"/>
  <c r="BA69" i="38" s="1"/>
  <c r="BI34" i="33"/>
  <c r="BH33" i="38"/>
  <c r="BH68" i="38" s="1"/>
  <c r="BP33" i="33"/>
  <c r="AS26" i="38"/>
  <c r="AS61" i="38" s="1"/>
  <c r="BA26" i="33"/>
  <c r="AS25" i="38"/>
  <c r="AS60" i="38" s="1"/>
  <c r="BA25" i="33"/>
  <c r="AR27" i="35"/>
  <c r="AR62" i="35" s="1"/>
  <c r="AZ42" i="4"/>
  <c r="AK24" i="38"/>
  <c r="AK59" i="38" s="1"/>
  <c r="AS24" i="33"/>
  <c r="D81" i="67"/>
  <c r="K198" i="67"/>
  <c r="D78" i="67"/>
  <c r="H198" i="67"/>
  <c r="AF44" i="43"/>
  <c r="BT45" i="35"/>
  <c r="AE24" i="33"/>
  <c r="AE24" i="38" s="1"/>
  <c r="AE59" i="38" s="1"/>
  <c r="N212" i="67"/>
  <c r="G84" i="67"/>
  <c r="G91" i="67"/>
  <c r="U212" i="67"/>
  <c r="V40" i="35"/>
  <c r="V55" i="35"/>
  <c r="V75" i="35" s="1"/>
  <c r="G81" i="67"/>
  <c r="K212" i="67"/>
  <c r="G78" i="67"/>
  <c r="H212" i="67"/>
  <c r="AT12" i="39"/>
  <c r="N14" i="39"/>
  <c r="AS12" i="39" s="1"/>
  <c r="AS31" i="38"/>
  <c r="AS66" i="38" s="1"/>
  <c r="BA31" i="33"/>
  <c r="BP104" i="43"/>
  <c r="P43" i="3"/>
  <c r="AM43" i="4"/>
  <c r="AM28" i="35" s="1"/>
  <c r="AM63" i="35" s="1"/>
  <c r="AZ22" i="38"/>
  <c r="AZ57" i="38" s="1"/>
  <c r="BH22" i="33"/>
  <c r="AK36" i="38"/>
  <c r="AK71" i="38" s="1"/>
  <c r="AS36" i="33"/>
  <c r="J75" i="38"/>
  <c r="J87" i="38"/>
  <c r="AJ27" i="38"/>
  <c r="AJ62" i="38" s="1"/>
  <c r="AR27" i="33"/>
  <c r="AJ75" i="35"/>
  <c r="D83" i="67"/>
  <c r="M198" i="67"/>
  <c r="AR26" i="38"/>
  <c r="AR61" i="38" s="1"/>
  <c r="AZ26" i="33"/>
  <c r="Z198" i="67"/>
  <c r="E96" i="67" s="1"/>
  <c r="D96" i="67"/>
  <c r="BX127" i="43"/>
  <c r="BW104" i="43"/>
  <c r="T43" i="3"/>
  <c r="AR32" i="38"/>
  <c r="AR67" i="38" s="1"/>
  <c r="AZ32" i="33"/>
  <c r="AN45" i="33"/>
  <c r="AN45" i="38" s="1"/>
  <c r="AP40" i="38"/>
  <c r="G90" i="67"/>
  <c r="T212" i="67"/>
  <c r="H90" i="67" s="1"/>
  <c r="AS29" i="33"/>
  <c r="AK29" i="38"/>
  <c r="AK64" i="38" s="1"/>
  <c r="AR29" i="33"/>
  <c r="AJ29" i="38"/>
  <c r="AJ64" i="38" s="1"/>
  <c r="Y198" i="67"/>
  <c r="D95" i="67"/>
  <c r="BP21" i="4"/>
  <c r="BH21" i="35"/>
  <c r="BH56" i="35" s="1"/>
  <c r="D6" i="36"/>
  <c r="CC40" i="35"/>
  <c r="J40" i="38"/>
  <c r="CC40" i="33"/>
  <c r="CC40" i="38" s="1"/>
  <c r="H45" i="33"/>
  <c r="H45" i="38" s="1"/>
  <c r="BC66" i="43"/>
  <c r="T40" i="2"/>
  <c r="T43" i="2" s="1"/>
  <c r="T37" i="2"/>
  <c r="BC67" i="43" s="1"/>
  <c r="BI48" i="4"/>
  <c r="BA33" i="35"/>
  <c r="BA68" i="35" s="1"/>
  <c r="AR20" i="38"/>
  <c r="AR55" i="38" s="1"/>
  <c r="AZ20" i="33"/>
  <c r="W40" i="35"/>
  <c r="W55" i="35"/>
  <c r="W75" i="35" s="1"/>
  <c r="BI41" i="4"/>
  <c r="BA26" i="35"/>
  <c r="BA61" i="35" s="1"/>
  <c r="AR28" i="35"/>
  <c r="AR63" i="35" s="1"/>
  <c r="AZ43" i="4"/>
  <c r="BI44" i="4"/>
  <c r="BA29" i="35"/>
  <c r="BA64" i="35" s="1"/>
  <c r="O212" i="67"/>
  <c r="G85" i="67"/>
  <c r="AC40" i="38"/>
  <c r="AF44" i="33"/>
  <c r="X47" i="33"/>
  <c r="X47" i="38" s="1"/>
  <c r="AE34" i="33"/>
  <c r="AE34" i="38" s="1"/>
  <c r="AE69" i="38" s="1"/>
  <c r="AE38" i="33"/>
  <c r="AE38" i="38" s="1"/>
  <c r="AE73" i="38" s="1"/>
  <c r="AE31" i="33"/>
  <c r="AE31" i="38" s="1"/>
  <c r="AE66" i="38" s="1"/>
  <c r="AE26" i="33"/>
  <c r="AE26" i="38" s="1"/>
  <c r="AE61" i="38" s="1"/>
  <c r="AE33" i="33"/>
  <c r="AE33" i="38" s="1"/>
  <c r="AE68" i="38" s="1"/>
  <c r="AE32" i="33"/>
  <c r="AE32" i="38" s="1"/>
  <c r="AE67" i="38" s="1"/>
  <c r="AE25" i="33"/>
  <c r="AE25" i="38" s="1"/>
  <c r="AE60" i="38" s="1"/>
  <c r="AE21" i="33"/>
  <c r="AE21" i="38" s="1"/>
  <c r="AE56" i="38" s="1"/>
  <c r="AJ40" i="33"/>
  <c r="AL28" i="33" s="1"/>
  <c r="AL28" i="38" s="1"/>
  <c r="AL63" i="38" s="1"/>
  <c r="AC75" i="38"/>
  <c r="BA22" i="35"/>
  <c r="BA57" i="35" s="1"/>
  <c r="BI22" i="4"/>
  <c r="D89" i="67"/>
  <c r="S198" i="67"/>
  <c r="N198" i="67"/>
  <c r="D84" i="67"/>
  <c r="D91" i="67"/>
  <c r="U198" i="67"/>
  <c r="AR31" i="38"/>
  <c r="AR66" i="38" s="1"/>
  <c r="AZ31" i="33"/>
  <c r="AE20" i="33"/>
  <c r="G89" i="67"/>
  <c r="S212" i="67"/>
  <c r="AB40" i="38"/>
  <c r="AD33" i="33"/>
  <c r="AD33" i="38" s="1"/>
  <c r="AD68" i="38" s="1"/>
  <c r="AD24" i="33"/>
  <c r="AD24" i="38" s="1"/>
  <c r="AD59" i="38" s="1"/>
  <c r="AD30" i="33"/>
  <c r="AD30" i="38" s="1"/>
  <c r="AD65" i="38" s="1"/>
  <c r="AD22" i="33"/>
  <c r="AD22" i="38" s="1"/>
  <c r="AD57" i="38" s="1"/>
  <c r="AD20" i="33"/>
  <c r="AD32" i="33"/>
  <c r="AD32" i="38" s="1"/>
  <c r="AD67" i="38" s="1"/>
  <c r="AD25" i="33"/>
  <c r="AD25" i="38" s="1"/>
  <c r="AD60" i="38" s="1"/>
  <c r="AD31" i="33"/>
  <c r="AD31" i="38" s="1"/>
  <c r="AD66" i="38" s="1"/>
  <c r="AD26" i="33"/>
  <c r="AD26" i="38" s="1"/>
  <c r="AD61" i="38" s="1"/>
  <c r="AD21" i="33"/>
  <c r="AD21" i="38" s="1"/>
  <c r="AD56" i="38" s="1"/>
  <c r="AD23" i="33"/>
  <c r="AD23" i="38" s="1"/>
  <c r="AD58" i="38" s="1"/>
  <c r="BH48" i="4"/>
  <c r="AZ33" i="35"/>
  <c r="AZ68" i="35" s="1"/>
  <c r="T44" i="43"/>
  <c r="V44" i="43" s="1"/>
  <c r="AN45" i="35"/>
  <c r="AE36" i="33"/>
  <c r="AJ40" i="35"/>
  <c r="G83" i="67"/>
  <c r="M212" i="67"/>
  <c r="AK27" i="38"/>
  <c r="AK62" i="38" s="1"/>
  <c r="AS27" i="33"/>
  <c r="BX98" i="43"/>
  <c r="R34" i="39"/>
  <c r="R49" i="39"/>
  <c r="U31" i="3"/>
  <c r="U29" i="3"/>
  <c r="BX102" i="43" s="1"/>
  <c r="U41" i="3"/>
  <c r="BX108" i="43" s="1"/>
  <c r="D77" i="67"/>
  <c r="C105" i="67"/>
  <c r="G198" i="67"/>
  <c r="G212" i="67"/>
  <c r="F105" i="67"/>
  <c r="G77" i="67"/>
  <c r="BA21" i="33"/>
  <c r="AS21" i="38"/>
  <c r="AS56" i="38" s="1"/>
  <c r="BQ127" i="43"/>
  <c r="BV127" i="43"/>
  <c r="AS28" i="35"/>
  <c r="AS63" i="35" s="1"/>
  <c r="BA43" i="4"/>
  <c r="AM47" i="4"/>
  <c r="AM32" i="35" s="1"/>
  <c r="AM67" i="35" s="1"/>
  <c r="AZ22" i="4"/>
  <c r="AR22" i="35"/>
  <c r="AR57" i="35" s="1"/>
  <c r="BA31" i="35"/>
  <c r="BA66" i="35" s="1"/>
  <c r="BI46" i="4"/>
  <c r="AZ24" i="38"/>
  <c r="AZ59" i="38" s="1"/>
  <c r="BH24" i="33"/>
  <c r="P212" i="67"/>
  <c r="G86" i="67"/>
  <c r="G96" i="67"/>
  <c r="Z212" i="67"/>
  <c r="H96" i="67" s="1"/>
  <c r="AS37" i="33"/>
  <c r="AK37" i="38"/>
  <c r="AK72" i="38" s="1"/>
  <c r="AS36" i="35"/>
  <c r="AS71" i="35" s="1"/>
  <c r="BA51" i="4"/>
  <c r="D92" i="67"/>
  <c r="V198" i="67"/>
  <c r="T198" i="67"/>
  <c r="E90" i="67" s="1"/>
  <c r="D90" i="67"/>
  <c r="BA47" i="4"/>
  <c r="AS32" i="35"/>
  <c r="AS67" i="35" s="1"/>
  <c r="G88" i="67"/>
  <c r="R212" i="67"/>
  <c r="P198" i="67"/>
  <c r="D86" i="67"/>
  <c r="AS34" i="35"/>
  <c r="AS69" i="35" s="1"/>
  <c r="BA49" i="4"/>
  <c r="AD20" i="35"/>
  <c r="AD55" i="4"/>
  <c r="AT10" i="39"/>
  <c r="N16" i="39"/>
  <c r="AS10" i="39" s="1"/>
  <c r="CC82" i="35"/>
  <c r="E67" i="36"/>
  <c r="E56" i="36"/>
  <c r="BR96" i="43"/>
  <c r="W21" i="3"/>
  <c r="R73" i="3"/>
  <c r="R25" i="3"/>
  <c r="P45" i="33"/>
  <c r="R40" i="38"/>
  <c r="BA25" i="35"/>
  <c r="BA60" i="35" s="1"/>
  <c r="BI25" i="4"/>
  <c r="BV75" i="38"/>
  <c r="BV82" i="38" s="1"/>
  <c r="BV87" i="38"/>
  <c r="BA24" i="4"/>
  <c r="AS24" i="35"/>
  <c r="AZ21" i="33"/>
  <c r="AR21" i="38"/>
  <c r="AR56" i="38" s="1"/>
  <c r="U44" i="33"/>
  <c r="U44" i="38" s="1"/>
  <c r="W36" i="38"/>
  <c r="W71" i="38" s="1"/>
  <c r="H44" i="43"/>
  <c r="J44" i="43" s="1"/>
  <c r="H45" i="35"/>
  <c r="AR25" i="38"/>
  <c r="AR60" i="38" s="1"/>
  <c r="AZ25" i="33"/>
  <c r="AS33" i="38"/>
  <c r="AS68" i="38" s="1"/>
  <c r="BA33" i="33"/>
  <c r="AZ24" i="4"/>
  <c r="AR24" i="35"/>
  <c r="AR59" i="35" s="1"/>
  <c r="BY96" i="43"/>
  <c r="V25" i="3"/>
  <c r="V26" i="3" s="1"/>
  <c r="BY99" i="43" s="1"/>
  <c r="V73" i="3"/>
  <c r="W22" i="3"/>
  <c r="BZ97" i="43" s="1"/>
  <c r="AZ31" i="35"/>
  <c r="AZ66" i="35" s="1"/>
  <c r="BH46" i="4"/>
  <c r="F56" i="36"/>
  <c r="F67" i="36"/>
  <c r="AK40" i="35"/>
  <c r="BV97" i="43"/>
  <c r="BQ97" i="43"/>
  <c r="CC87" i="35"/>
  <c r="E44" i="36" s="1"/>
  <c r="BV98" i="43"/>
  <c r="BQ98" i="43"/>
  <c r="Q29" i="3"/>
  <c r="Q31" i="3"/>
  <c r="R26" i="3"/>
  <c r="BR99" i="43" s="1"/>
  <c r="Q41" i="3"/>
  <c r="R198" i="67"/>
  <c r="D88" i="67"/>
  <c r="W40" i="33"/>
  <c r="W40" i="38" s="1"/>
  <c r="W20" i="38"/>
  <c r="W55" i="38" s="1"/>
  <c r="W75" i="38" s="1"/>
  <c r="AA198" i="67"/>
  <c r="D97" i="67"/>
  <c r="N45" i="43"/>
  <c r="P45" i="43" s="1"/>
  <c r="X46" i="35"/>
  <c r="J77" i="67"/>
  <c r="J105" i="67" s="1"/>
  <c r="I105" i="67"/>
  <c r="G226" i="67"/>
  <c r="AK23" i="38"/>
  <c r="AK58" i="38" s="1"/>
  <c r="AS23" i="33"/>
  <c r="AK28" i="38"/>
  <c r="AK63" i="38" s="1"/>
  <c r="AS28" i="33"/>
  <c r="AB212" i="67"/>
  <c r="G98" i="67"/>
  <c r="G97" i="67"/>
  <c r="AA212" i="67"/>
  <c r="G79" i="67"/>
  <c r="I212" i="67"/>
  <c r="X212" i="67"/>
  <c r="H94" i="67" s="1"/>
  <c r="G94" i="67"/>
  <c r="AJ34" i="38"/>
  <c r="AJ69" i="38" s="1"/>
  <c r="AR34" i="33"/>
  <c r="J198" i="67"/>
  <c r="D80" i="67"/>
  <c r="BN75" i="38"/>
  <c r="BN82" i="38" s="1"/>
  <c r="BN87" i="38"/>
  <c r="AE23" i="33"/>
  <c r="AE23" i="38" s="1"/>
  <c r="AE58" i="38" s="1"/>
  <c r="AB198" i="67"/>
  <c r="D98" i="67"/>
  <c r="AF62" i="4"/>
  <c r="AF47" i="35" s="1"/>
  <c r="AM23" i="4"/>
  <c r="AM23" i="35" s="1"/>
  <c r="AM58" i="35" s="1"/>
  <c r="AN59" i="4"/>
  <c r="AM42" i="4"/>
  <c r="AM27" i="35" s="1"/>
  <c r="AM62" i="35" s="1"/>
  <c r="AM53" i="4"/>
  <c r="AM38" i="35" s="1"/>
  <c r="AM73" i="35" s="1"/>
  <c r="AM20" i="4"/>
  <c r="AM21" i="4"/>
  <c r="AM21" i="35" s="1"/>
  <c r="AM56" i="35" s="1"/>
  <c r="AM44" i="4"/>
  <c r="AM29" i="35" s="1"/>
  <c r="AM64" i="35" s="1"/>
  <c r="AM46" i="4"/>
  <c r="AM31" i="35" s="1"/>
  <c r="AM66" i="35" s="1"/>
  <c r="AM22" i="4"/>
  <c r="AM22" i="35" s="1"/>
  <c r="AM57" i="35" s="1"/>
  <c r="AM48" i="4"/>
  <c r="AM33" i="35" s="1"/>
  <c r="AM68" i="35" s="1"/>
  <c r="AM41" i="4"/>
  <c r="AM26" i="35" s="1"/>
  <c r="AM61" i="35" s="1"/>
  <c r="AM25" i="4"/>
  <c r="AM25" i="35" s="1"/>
  <c r="AM60" i="35" s="1"/>
  <c r="AM45" i="4"/>
  <c r="AM30" i="35" s="1"/>
  <c r="AM65" i="35" s="1"/>
  <c r="D99" i="67"/>
  <c r="AC198" i="67"/>
  <c r="E99" i="67" s="1"/>
  <c r="E11" i="33"/>
  <c r="E11" i="38" s="1"/>
  <c r="E10" i="38"/>
  <c r="I198" i="67"/>
  <c r="D79" i="67"/>
  <c r="BN110" i="43"/>
  <c r="N47" i="3"/>
  <c r="N50" i="3" s="1"/>
  <c r="N44" i="3"/>
  <c r="BN111" i="43" s="1"/>
  <c r="AC44" i="43"/>
  <c r="AE44" i="43" s="1"/>
  <c r="BL45" i="35"/>
  <c r="D94" i="67"/>
  <c r="X198" i="67"/>
  <c r="E94" i="67" s="1"/>
  <c r="AD34" i="33"/>
  <c r="AD34" i="38" s="1"/>
  <c r="AD69" i="38" s="1"/>
  <c r="J212" i="67"/>
  <c r="G80" i="67"/>
  <c r="AM51" i="4"/>
  <c r="AM36" i="35" s="1"/>
  <c r="AM71" i="35" s="1"/>
  <c r="AZ30" i="35"/>
  <c r="AZ65" i="35" s="1"/>
  <c r="G92" i="67"/>
  <c r="V212" i="67"/>
  <c r="AK30" i="38"/>
  <c r="AK65" i="38" s="1"/>
  <c r="AS30" i="33"/>
  <c r="AE28" i="33"/>
  <c r="AE28" i="38" s="1"/>
  <c r="AE63" i="38" s="1"/>
  <c r="AM24" i="4"/>
  <c r="AM24" i="35" s="1"/>
  <c r="AM59" i="35" s="1"/>
  <c r="AC212" i="67"/>
  <c r="H99" i="67" s="1"/>
  <c r="G99" i="67"/>
  <c r="K44" i="43"/>
  <c r="M44" i="43" s="1"/>
  <c r="P45" i="35"/>
  <c r="P61" i="4"/>
  <c r="P62" i="4"/>
  <c r="P47" i="35" s="1"/>
  <c r="K98" i="67"/>
  <c r="K97" i="67"/>
  <c r="X44" i="38"/>
  <c r="X46" i="33"/>
  <c r="X46" i="38" s="1"/>
  <c r="AZ49" i="4"/>
  <c r="AR34" i="35"/>
  <c r="AR69" i="35" s="1"/>
  <c r="BI45" i="4"/>
  <c r="BA30" i="35"/>
  <c r="BA65" i="35" s="1"/>
  <c r="E41" i="36" l="1"/>
  <c r="D9" i="36"/>
  <c r="AU30" i="4"/>
  <c r="AU26" i="4"/>
  <c r="AU34" i="4"/>
  <c r="AU38" i="4"/>
  <c r="AU29" i="4"/>
  <c r="AU33" i="4"/>
  <c r="AU40" i="4"/>
  <c r="AU36" i="4"/>
  <c r="AU37" i="4"/>
  <c r="AU27" i="4"/>
  <c r="AU32" i="4"/>
  <c r="AU35" i="4"/>
  <c r="AU28" i="4"/>
  <c r="AU39" i="4"/>
  <c r="AU31" i="4"/>
  <c r="AT26" i="4"/>
  <c r="AT34" i="4"/>
  <c r="AT30" i="4"/>
  <c r="AT38" i="4"/>
  <c r="AT33" i="4"/>
  <c r="AT29" i="4"/>
  <c r="AT37" i="4"/>
  <c r="AT40" i="4"/>
  <c r="AT27" i="4"/>
  <c r="AT36" i="4"/>
  <c r="AT35" i="4"/>
  <c r="AT31" i="4"/>
  <c r="AT39" i="4"/>
  <c r="AT32" i="4"/>
  <c r="AT28" i="4"/>
  <c r="AU46" i="4"/>
  <c r="AU31" i="35" s="1"/>
  <c r="AU66" i="35" s="1"/>
  <c r="BH25" i="4"/>
  <c r="BH25" i="35" s="1"/>
  <c r="BH60" i="35" s="1"/>
  <c r="E62" i="67"/>
  <c r="AT44" i="4"/>
  <c r="AT29" i="35" s="1"/>
  <c r="AT64" i="35" s="1"/>
  <c r="D71" i="67"/>
  <c r="AZ23" i="33"/>
  <c r="AT41" i="4"/>
  <c r="AT26" i="35" s="1"/>
  <c r="AT61" i="35" s="1"/>
  <c r="AU53" i="4"/>
  <c r="AU38" i="35" s="1"/>
  <c r="AU73" i="35" s="1"/>
  <c r="AT25" i="4"/>
  <c r="AT25" i="35" s="1"/>
  <c r="AT60" i="35" s="1"/>
  <c r="AL55" i="4"/>
  <c r="AU42" i="4"/>
  <c r="AU27" i="35" s="1"/>
  <c r="AU62" i="35" s="1"/>
  <c r="AU23" i="4"/>
  <c r="AU23" i="35" s="1"/>
  <c r="AU58" i="35" s="1"/>
  <c r="AV59" i="4"/>
  <c r="W43" i="43" s="1"/>
  <c r="Y43" i="43" s="1"/>
  <c r="BH44" i="4"/>
  <c r="AZ29" i="35"/>
  <c r="AZ64" i="35" s="1"/>
  <c r="BA21" i="35"/>
  <c r="BA56" i="35" s="1"/>
  <c r="BI21" i="4"/>
  <c r="AU24" i="4"/>
  <c r="AU24" i="35" s="1"/>
  <c r="AU59" i="35" s="1"/>
  <c r="AT49" i="4"/>
  <c r="AT34" i="35" s="1"/>
  <c r="AT69" i="35" s="1"/>
  <c r="BI23" i="4"/>
  <c r="BA23" i="35"/>
  <c r="BA58" i="35" s="1"/>
  <c r="AU52" i="4"/>
  <c r="AU37" i="35" s="1"/>
  <c r="AU72" i="35" s="1"/>
  <c r="AT45" i="4"/>
  <c r="AT30" i="35" s="1"/>
  <c r="AT65" i="35" s="1"/>
  <c r="AT20" i="4"/>
  <c r="AT20" i="35" s="1"/>
  <c r="AT24" i="4"/>
  <c r="AT24" i="35" s="1"/>
  <c r="AT59" i="35" s="1"/>
  <c r="AT43" i="4"/>
  <c r="AT28" i="35" s="1"/>
  <c r="AT63" i="35" s="1"/>
  <c r="AU22" i="4"/>
  <c r="AU22" i="35" s="1"/>
  <c r="AU57" i="35" s="1"/>
  <c r="AT47" i="4"/>
  <c r="AT32" i="35" s="1"/>
  <c r="AT67" i="35" s="1"/>
  <c r="BI20" i="4"/>
  <c r="BA20" i="35"/>
  <c r="BA55" i="35" s="1"/>
  <c r="AU25" i="4"/>
  <c r="AU25" i="35" s="1"/>
  <c r="AU60" i="35" s="1"/>
  <c r="AT46" i="4"/>
  <c r="AT31" i="35" s="1"/>
  <c r="AT66" i="35" s="1"/>
  <c r="AT48" i="4"/>
  <c r="AT33" i="35" s="1"/>
  <c r="AT68" i="35" s="1"/>
  <c r="AT22" i="4"/>
  <c r="AT22" i="35" s="1"/>
  <c r="AT57" i="35" s="1"/>
  <c r="AU45" i="4"/>
  <c r="AU30" i="35" s="1"/>
  <c r="AU65" i="35" s="1"/>
  <c r="AT23" i="4"/>
  <c r="AT23" i="35" s="1"/>
  <c r="AT58" i="35" s="1"/>
  <c r="AU47" i="4"/>
  <c r="AU32" i="35" s="1"/>
  <c r="AU67" i="35" s="1"/>
  <c r="AT42" i="4"/>
  <c r="AT27" i="35" s="1"/>
  <c r="AT62" i="35" s="1"/>
  <c r="AU20" i="4"/>
  <c r="AU55" i="4" s="1"/>
  <c r="AT21" i="4"/>
  <c r="AT21" i="35" s="1"/>
  <c r="AT56" i="35" s="1"/>
  <c r="BQ42" i="4"/>
  <c r="BI27" i="35"/>
  <c r="BI62" i="35" s="1"/>
  <c r="L223" i="67"/>
  <c r="L209" i="67"/>
  <c r="L195" i="67"/>
  <c r="AZ23" i="35"/>
  <c r="AZ58" i="35" s="1"/>
  <c r="BH23" i="4"/>
  <c r="AJ75" i="38"/>
  <c r="AU21" i="4"/>
  <c r="AU21" i="35" s="1"/>
  <c r="AU56" i="35" s="1"/>
  <c r="AM27" i="33"/>
  <c r="AM27" i="38" s="1"/>
  <c r="AM62" i="38" s="1"/>
  <c r="AL27" i="33"/>
  <c r="AL27" i="38" s="1"/>
  <c r="AL62" i="38" s="1"/>
  <c r="AM36" i="33"/>
  <c r="AM36" i="38" s="1"/>
  <c r="AM71" i="38" s="1"/>
  <c r="AL34" i="33"/>
  <c r="AL34" i="38" s="1"/>
  <c r="AL69" i="38" s="1"/>
  <c r="AU51" i="4"/>
  <c r="AU36" i="35" s="1"/>
  <c r="AU71" i="35" s="1"/>
  <c r="AU41" i="4"/>
  <c r="AU26" i="35" s="1"/>
  <c r="AU61" i="35" s="1"/>
  <c r="AU49" i="4"/>
  <c r="AU34" i="35" s="1"/>
  <c r="AU69" i="35" s="1"/>
  <c r="AU44" i="4"/>
  <c r="AU29" i="35" s="1"/>
  <c r="AU64" i="35" s="1"/>
  <c r="AM29" i="33"/>
  <c r="AM29" i="38" s="1"/>
  <c r="AM64" i="38" s="1"/>
  <c r="AU43" i="4"/>
  <c r="AU28" i="35" s="1"/>
  <c r="AU63" i="35" s="1"/>
  <c r="AU48" i="4"/>
  <c r="AU33" i="35" s="1"/>
  <c r="AU68" i="35" s="1"/>
  <c r="BN113" i="43"/>
  <c r="N62" i="3"/>
  <c r="BN119" i="43" s="1"/>
  <c r="N67" i="3"/>
  <c r="BN124" i="43" s="1"/>
  <c r="N52" i="3"/>
  <c r="BN115" i="43" s="1"/>
  <c r="N66" i="3"/>
  <c r="BN123" i="43" s="1"/>
  <c r="N51" i="3"/>
  <c r="BN114" i="43" s="1"/>
  <c r="BC69" i="43"/>
  <c r="T59" i="2"/>
  <c r="BC79" i="43" s="1"/>
  <c r="T55" i="2"/>
  <c r="BC75" i="43" s="1"/>
  <c r="T45" i="2"/>
  <c r="BC71" i="43" s="1"/>
  <c r="U44" i="2"/>
  <c r="BD70" i="43" s="1"/>
  <c r="T60" i="2"/>
  <c r="BC80" i="43" s="1"/>
  <c r="T44" i="2"/>
  <c r="BC70" i="43" s="1"/>
  <c r="AS23" i="38"/>
  <c r="AS58" i="38" s="1"/>
  <c r="BA23" i="33"/>
  <c r="P45" i="38"/>
  <c r="P47" i="33"/>
  <c r="P47" i="38" s="1"/>
  <c r="P46" i="33"/>
  <c r="P46" i="38" s="1"/>
  <c r="AR27" i="38"/>
  <c r="AR62" i="38" s="1"/>
  <c r="AZ27" i="33"/>
  <c r="BI52" i="4"/>
  <c r="BA37" i="35"/>
  <c r="BA72" i="35" s="1"/>
  <c r="BY127" i="43"/>
  <c r="V77" i="3"/>
  <c r="BY131" i="43" s="1"/>
  <c r="D105" i="67"/>
  <c r="AF46" i="33"/>
  <c r="AF46" i="38" s="1"/>
  <c r="AF44" i="38"/>
  <c r="AZ34" i="35"/>
  <c r="AZ69" i="35" s="1"/>
  <c r="BH49" i="4"/>
  <c r="AR34" i="38"/>
  <c r="AR69" i="38" s="1"/>
  <c r="AZ34" i="33"/>
  <c r="BQ104" i="43"/>
  <c r="BV104" i="43"/>
  <c r="Q43" i="3"/>
  <c r="AZ20" i="38"/>
  <c r="AZ55" i="38" s="1"/>
  <c r="BH20" i="33"/>
  <c r="BV102" i="43"/>
  <c r="BQ102" i="43"/>
  <c r="AZ21" i="38"/>
  <c r="AZ56" i="38" s="1"/>
  <c r="BH21" i="33"/>
  <c r="BZ96" i="43"/>
  <c r="R36" i="39"/>
  <c r="W73" i="3"/>
  <c r="W25" i="3"/>
  <c r="AM55" i="4"/>
  <c r="AM20" i="35"/>
  <c r="BH33" i="35"/>
  <c r="BH68" i="35" s="1"/>
  <c r="BP48" i="4"/>
  <c r="CC75" i="38"/>
  <c r="J82" i="38"/>
  <c r="CC82" i="38" s="1"/>
  <c r="BA25" i="38"/>
  <c r="BA60" i="38" s="1"/>
  <c r="BI25" i="33"/>
  <c r="AR28" i="38"/>
  <c r="AR63" i="38" s="1"/>
  <c r="AZ28" i="33"/>
  <c r="AZ55" i="35"/>
  <c r="BP45" i="4"/>
  <c r="BH30" i="35"/>
  <c r="BH65" i="35" s="1"/>
  <c r="AS59" i="35"/>
  <c r="AS75" i="35" s="1"/>
  <c r="AS40" i="35"/>
  <c r="BA32" i="35"/>
  <c r="BA67" i="35" s="1"/>
  <c r="BI47" i="4"/>
  <c r="BH24" i="38"/>
  <c r="BH59" i="38" s="1"/>
  <c r="BP24" i="33"/>
  <c r="Q77" i="3"/>
  <c r="BX104" i="43"/>
  <c r="U43" i="3"/>
  <c r="AE20" i="38"/>
  <c r="AE55" i="38" s="1"/>
  <c r="AE75" i="38" s="1"/>
  <c r="AE40" i="33"/>
  <c r="AE40" i="38" s="1"/>
  <c r="U77" i="3"/>
  <c r="BX131" i="43" s="1"/>
  <c r="BH20" i="35"/>
  <c r="BP20" i="4"/>
  <c r="BH24" i="4"/>
  <c r="AZ24" i="35"/>
  <c r="AZ59" i="35" s="1"/>
  <c r="BA24" i="35"/>
  <c r="BA59" i="35" s="1"/>
  <c r="BI24" i="4"/>
  <c r="BA55" i="4"/>
  <c r="E58" i="36"/>
  <c r="V49" i="39"/>
  <c r="M40" i="39" s="1"/>
  <c r="AR36" i="39" s="1"/>
  <c r="X49" i="39"/>
  <c r="O40" i="39" s="1"/>
  <c r="AZ31" i="38"/>
  <c r="AZ66" i="38" s="1"/>
  <c r="BH31" i="33"/>
  <c r="BI29" i="35"/>
  <c r="BI64" i="35" s="1"/>
  <c r="BQ44" i="4"/>
  <c r="R209" i="67"/>
  <c r="R195" i="67"/>
  <c r="R223" i="67"/>
  <c r="BQ48" i="4"/>
  <c r="BI33" i="35"/>
  <c r="BI68" i="35" s="1"/>
  <c r="AS36" i="38"/>
  <c r="AS71" i="38" s="1"/>
  <c r="BA36" i="33"/>
  <c r="AZ55" i="4"/>
  <c r="BB41" i="4" s="1"/>
  <c r="BB26" i="35" s="1"/>
  <c r="BB61" i="35" s="1"/>
  <c r="T43" i="43"/>
  <c r="V43" i="43" s="1"/>
  <c r="AN44" i="35"/>
  <c r="AN61" i="4"/>
  <c r="CC87" i="38"/>
  <c r="E69" i="36"/>
  <c r="V34" i="39"/>
  <c r="X34" i="39"/>
  <c r="R39" i="39"/>
  <c r="AJ40" i="38"/>
  <c r="AL33" i="33"/>
  <c r="AL33" i="38" s="1"/>
  <c r="AL68" i="38" s="1"/>
  <c r="AL30" i="33"/>
  <c r="AL30" i="38" s="1"/>
  <c r="AL65" i="38" s="1"/>
  <c r="AL24" i="33"/>
  <c r="AL24" i="38" s="1"/>
  <c r="AL59" i="38" s="1"/>
  <c r="AL22" i="33"/>
  <c r="AL22" i="38" s="1"/>
  <c r="AL57" i="38" s="1"/>
  <c r="AL26" i="33"/>
  <c r="AL26" i="38" s="1"/>
  <c r="AL61" i="38" s="1"/>
  <c r="AL32" i="33"/>
  <c r="AL32" i="38" s="1"/>
  <c r="AL67" i="38" s="1"/>
  <c r="AL31" i="33"/>
  <c r="AL31" i="38" s="1"/>
  <c r="AL66" i="38" s="1"/>
  <c r="AL23" i="33"/>
  <c r="AL23" i="38" s="1"/>
  <c r="AL58" i="38" s="1"/>
  <c r="AL20" i="33"/>
  <c r="AL21" i="33"/>
  <c r="AL21" i="38" s="1"/>
  <c r="AL56" i="38" s="1"/>
  <c r="AL25" i="33"/>
  <c r="AL25" i="38" s="1"/>
  <c r="AL60" i="38" s="1"/>
  <c r="AL29" i="33"/>
  <c r="AL29" i="38" s="1"/>
  <c r="AL64" i="38" s="1"/>
  <c r="AK40" i="38"/>
  <c r="AF47" i="33"/>
  <c r="AF47" i="38" s="1"/>
  <c r="AM38" i="33"/>
  <c r="AM38" i="38" s="1"/>
  <c r="AM73" i="38" s="1"/>
  <c r="AN44" i="33"/>
  <c r="AM34" i="33"/>
  <c r="AM34" i="38" s="1"/>
  <c r="AM69" i="38" s="1"/>
  <c r="AM21" i="33"/>
  <c r="AM21" i="38" s="1"/>
  <c r="AM56" i="38" s="1"/>
  <c r="AM33" i="33"/>
  <c r="AM33" i="38" s="1"/>
  <c r="AM68" i="38" s="1"/>
  <c r="AM25" i="33"/>
  <c r="AM25" i="38" s="1"/>
  <c r="AM60" i="38" s="1"/>
  <c r="AM31" i="33"/>
  <c r="AM31" i="38" s="1"/>
  <c r="AM66" i="38" s="1"/>
  <c r="AM26" i="33"/>
  <c r="AM26" i="38" s="1"/>
  <c r="AM61" i="38" s="1"/>
  <c r="AM32" i="33"/>
  <c r="AM32" i="38" s="1"/>
  <c r="AM67" i="38" s="1"/>
  <c r="K45" i="43"/>
  <c r="M45" i="43" s="1"/>
  <c r="P46" i="35"/>
  <c r="H98" i="67"/>
  <c r="H97" i="67"/>
  <c r="BA33" i="38"/>
  <c r="BA68" i="38" s="1"/>
  <c r="BI33" i="33"/>
  <c r="G17" i="36"/>
  <c r="AZ29" i="33"/>
  <c r="AR29" i="38"/>
  <c r="AR64" i="38" s="1"/>
  <c r="AS20" i="38"/>
  <c r="AS55" i="38" s="1"/>
  <c r="BA20" i="33"/>
  <c r="AS40" i="33"/>
  <c r="AU29" i="33" s="1"/>
  <c r="AU29" i="38" s="1"/>
  <c r="AU64" i="38" s="1"/>
  <c r="AZ26" i="35"/>
  <c r="AZ61" i="35" s="1"/>
  <c r="BH41" i="4"/>
  <c r="J223" i="67"/>
  <c r="J195" i="67"/>
  <c r="BQ25" i="4"/>
  <c r="BI25" i="35"/>
  <c r="BI60" i="35" s="1"/>
  <c r="J209" i="67"/>
  <c r="P223" i="67"/>
  <c r="P195" i="67"/>
  <c r="BQ46" i="4"/>
  <c r="P209" i="67"/>
  <c r="BI31" i="35"/>
  <c r="BI66" i="35" s="1"/>
  <c r="AS27" i="38"/>
  <c r="AS62" i="38" s="1"/>
  <c r="BA27" i="33"/>
  <c r="BH43" i="4"/>
  <c r="AZ28" i="35"/>
  <c r="AZ63" i="35" s="1"/>
  <c r="BP22" i="33"/>
  <c r="BH22" i="38"/>
  <c r="BH57" i="38" s="1"/>
  <c r="AM20" i="33"/>
  <c r="AM28" i="33"/>
  <c r="AM28" i="38" s="1"/>
  <c r="AM63" i="38" s="1"/>
  <c r="AZ22" i="35"/>
  <c r="AZ57" i="35" s="1"/>
  <c r="BH22" i="4"/>
  <c r="K223" i="67"/>
  <c r="K195" i="67"/>
  <c r="K209" i="67"/>
  <c r="BI26" i="35"/>
  <c r="BI61" i="35" s="1"/>
  <c r="BQ41" i="4"/>
  <c r="AR40" i="35"/>
  <c r="AN62" i="4"/>
  <c r="AN47" i="35" s="1"/>
  <c r="BA22" i="33"/>
  <c r="AS22" i="38"/>
  <c r="AS57" i="38" s="1"/>
  <c r="BP46" i="4"/>
  <c r="BH31" i="35"/>
  <c r="BH66" i="35" s="1"/>
  <c r="BA34" i="35"/>
  <c r="BA69" i="35" s="1"/>
  <c r="BI49" i="4"/>
  <c r="AM37" i="33"/>
  <c r="AM37" i="38" s="1"/>
  <c r="AM72" i="38" s="1"/>
  <c r="AM24" i="33"/>
  <c r="AM24" i="38" s="1"/>
  <c r="AM59" i="38" s="1"/>
  <c r="AE55" i="35"/>
  <c r="AE75" i="35" s="1"/>
  <c r="AE40" i="35"/>
  <c r="BH32" i="35"/>
  <c r="BH67" i="35" s="1"/>
  <c r="BP47" i="4"/>
  <c r="AS30" i="38"/>
  <c r="AS65" i="38" s="1"/>
  <c r="BA30" i="33"/>
  <c r="BV108" i="43"/>
  <c r="BQ108" i="43"/>
  <c r="AS37" i="38"/>
  <c r="AS72" i="38" s="1"/>
  <c r="BA37" i="33"/>
  <c r="G223" i="67"/>
  <c r="G209" i="67"/>
  <c r="G195" i="67"/>
  <c r="BI22" i="35"/>
  <c r="BI57" i="35" s="1"/>
  <c r="BQ22" i="4"/>
  <c r="BR98" i="43"/>
  <c r="R31" i="3"/>
  <c r="R29" i="3"/>
  <c r="BR102" i="43" s="1"/>
  <c r="R41" i="3"/>
  <c r="BR108" i="43" s="1"/>
  <c r="AR40" i="33"/>
  <c r="AT34" i="33" s="1"/>
  <c r="AT34" i="38" s="1"/>
  <c r="AT69" i="38" s="1"/>
  <c r="AZ32" i="38"/>
  <c r="AZ67" i="38" s="1"/>
  <c r="BH32" i="33"/>
  <c r="BH30" i="38"/>
  <c r="BH65" i="38" s="1"/>
  <c r="BP30" i="33"/>
  <c r="BY98" i="43"/>
  <c r="R35" i="39"/>
  <c r="R50" i="39"/>
  <c r="V31" i="3"/>
  <c r="V29" i="3"/>
  <c r="BY102" i="43" s="1"/>
  <c r="W26" i="3"/>
  <c r="BZ99" i="43" s="1"/>
  <c r="V41" i="3"/>
  <c r="BY108" i="43" s="1"/>
  <c r="BR127" i="43"/>
  <c r="R77" i="3"/>
  <c r="BR131" i="43" s="1"/>
  <c r="AL55" i="35"/>
  <c r="AL75" i="35" s="1"/>
  <c r="AL40" i="35"/>
  <c r="AZ27" i="35"/>
  <c r="AZ62" i="35" s="1"/>
  <c r="BH42" i="4"/>
  <c r="BQ34" i="33"/>
  <c r="BI34" i="38"/>
  <c r="BI69" i="38" s="1"/>
  <c r="BI32" i="33"/>
  <c r="BA32" i="38"/>
  <c r="BA67" i="38" s="1"/>
  <c r="BI43" i="4"/>
  <c r="BA28" i="35"/>
  <c r="BA63" i="35" s="1"/>
  <c r="BP21" i="35"/>
  <c r="BP56" i="35" s="1"/>
  <c r="BX21" i="4"/>
  <c r="BW110" i="43"/>
  <c r="T44" i="3"/>
  <c r="BW111" i="43" s="1"/>
  <c r="T50" i="3"/>
  <c r="T47" i="3"/>
  <c r="BH25" i="33"/>
  <c r="AZ25" i="38"/>
  <c r="AZ60" i="38" s="1"/>
  <c r="AZ26" i="38"/>
  <c r="AZ61" i="38" s="1"/>
  <c r="BH26" i="33"/>
  <c r="AK75" i="38"/>
  <c r="E97" i="67"/>
  <c r="E98" i="67"/>
  <c r="F69" i="36"/>
  <c r="BA36" i="35"/>
  <c r="BA71" i="35" s="1"/>
  <c r="BI51" i="4"/>
  <c r="BA21" i="38"/>
  <c r="BA56" i="38" s="1"/>
  <c r="BI21" i="33"/>
  <c r="AD20" i="38"/>
  <c r="AD55" i="38" s="1"/>
  <c r="AD75" i="38" s="1"/>
  <c r="AD40" i="33"/>
  <c r="AD40" i="38" s="1"/>
  <c r="BA29" i="33"/>
  <c r="AS29" i="38"/>
  <c r="AS64" i="38" s="1"/>
  <c r="BA26" i="38"/>
  <c r="BA61" i="38" s="1"/>
  <c r="BI26" i="33"/>
  <c r="AS28" i="38"/>
  <c r="AS63" i="38" s="1"/>
  <c r="BA28" i="33"/>
  <c r="F58" i="36"/>
  <c r="AD40" i="35"/>
  <c r="AD55" i="35"/>
  <c r="AD75" i="35" s="1"/>
  <c r="G105" i="67"/>
  <c r="BP110" i="43"/>
  <c r="P44" i="3"/>
  <c r="BP111" i="43" s="1"/>
  <c r="P47" i="3"/>
  <c r="P50" i="3" s="1"/>
  <c r="Q45" i="43"/>
  <c r="S45" i="43" s="1"/>
  <c r="AF46" i="35"/>
  <c r="AR75" i="35"/>
  <c r="O195" i="67"/>
  <c r="O223" i="67"/>
  <c r="BI30" i="35"/>
  <c r="BI65" i="35" s="1"/>
  <c r="O209" i="67"/>
  <c r="BQ45" i="4"/>
  <c r="AM30" i="33"/>
  <c r="AM30" i="38" s="1"/>
  <c r="AM65" i="38" s="1"/>
  <c r="AM23" i="33"/>
  <c r="AM23" i="38" s="1"/>
  <c r="AM58" i="38" s="1"/>
  <c r="AZ23" i="38"/>
  <c r="AZ58" i="38" s="1"/>
  <c r="BH23" i="33"/>
  <c r="AE36" i="38"/>
  <c r="AE71" i="38" s="1"/>
  <c r="AC44" i="33"/>
  <c r="AC44" i="38" s="1"/>
  <c r="BA31" i="38"/>
  <c r="BA66" i="38" s="1"/>
  <c r="BI31" i="33"/>
  <c r="AS24" i="38"/>
  <c r="AS59" i="38" s="1"/>
  <c r="BA24" i="33"/>
  <c r="BP33" i="38"/>
  <c r="BP68" i="38" s="1"/>
  <c r="BX33" i="33"/>
  <c r="AZ40" i="33" l="1"/>
  <c r="BC34" i="4"/>
  <c r="BC26" i="4"/>
  <c r="BC30" i="4"/>
  <c r="BC38" i="4"/>
  <c r="BC29" i="4"/>
  <c r="BC33" i="4"/>
  <c r="BC36" i="4"/>
  <c r="BC37" i="4"/>
  <c r="BC40" i="4"/>
  <c r="BC32" i="4"/>
  <c r="BC35" i="4"/>
  <c r="BC27" i="4"/>
  <c r="BC39" i="4"/>
  <c r="BC31" i="4"/>
  <c r="BC28" i="4"/>
  <c r="BB38" i="4"/>
  <c r="BB34" i="4"/>
  <c r="BB30" i="4"/>
  <c r="BB26" i="4"/>
  <c r="BB29" i="4"/>
  <c r="BB33" i="4"/>
  <c r="BB37" i="4"/>
  <c r="BB35" i="4"/>
  <c r="BB27" i="4"/>
  <c r="BB40" i="4"/>
  <c r="BB31" i="4"/>
  <c r="BB36" i="4"/>
  <c r="BB39" i="4"/>
  <c r="BB32" i="4"/>
  <c r="BB28" i="4"/>
  <c r="BC51" i="4"/>
  <c r="BC36" i="35" s="1"/>
  <c r="BC71" i="35" s="1"/>
  <c r="BP25" i="4"/>
  <c r="BX25" i="4" s="1"/>
  <c r="BB24" i="4"/>
  <c r="BB24" i="35" s="1"/>
  <c r="BB59" i="35" s="1"/>
  <c r="BB42" i="4"/>
  <c r="BB27" i="35" s="1"/>
  <c r="BB62" i="35" s="1"/>
  <c r="BB43" i="4"/>
  <c r="BB28" i="35" s="1"/>
  <c r="BB63" i="35" s="1"/>
  <c r="AK44" i="33"/>
  <c r="AK44" i="38" s="1"/>
  <c r="AV44" i="35"/>
  <c r="AV61" i="4"/>
  <c r="W45" i="43" s="1"/>
  <c r="Y45" i="43" s="1"/>
  <c r="BB21" i="33"/>
  <c r="BB21" i="38" s="1"/>
  <c r="BB56" i="38" s="1"/>
  <c r="BB20" i="33"/>
  <c r="BB40" i="33" s="1"/>
  <c r="BB40" i="38" s="1"/>
  <c r="AU28" i="33"/>
  <c r="AU28" i="38" s="1"/>
  <c r="AU63" i="38" s="1"/>
  <c r="AU22" i="33"/>
  <c r="AU22" i="38" s="1"/>
  <c r="AU57" i="38" s="1"/>
  <c r="BH29" i="35"/>
  <c r="BH64" i="35" s="1"/>
  <c r="BP44" i="4"/>
  <c r="AU20" i="35"/>
  <c r="AU40" i="35" s="1"/>
  <c r="BI21" i="35"/>
  <c r="BI56" i="35" s="1"/>
  <c r="BQ21" i="4"/>
  <c r="BB22" i="4"/>
  <c r="BB22" i="35" s="1"/>
  <c r="BB57" i="35" s="1"/>
  <c r="BQ20" i="4"/>
  <c r="BI20" i="35"/>
  <c r="BI55" i="35" s="1"/>
  <c r="AT55" i="4"/>
  <c r="AU30" i="33"/>
  <c r="AU30" i="38" s="1"/>
  <c r="AU65" i="38" s="1"/>
  <c r="BY42" i="4"/>
  <c r="BQ27" i="35"/>
  <c r="BQ62" i="35" s="1"/>
  <c r="AU36" i="33"/>
  <c r="AU36" i="38" s="1"/>
  <c r="AU71" i="38" s="1"/>
  <c r="BI23" i="35"/>
  <c r="BI58" i="35" s="1"/>
  <c r="H223" i="67"/>
  <c r="H209" i="67"/>
  <c r="BQ23" i="4"/>
  <c r="H195" i="67"/>
  <c r="BP23" i="4"/>
  <c r="BH23" i="35"/>
  <c r="BH58" i="35" s="1"/>
  <c r="AR75" i="38"/>
  <c r="BA75" i="35"/>
  <c r="AU24" i="33"/>
  <c r="AU24" i="38" s="1"/>
  <c r="AU59" i="38" s="1"/>
  <c r="BB32" i="33"/>
  <c r="BB32" i="38" s="1"/>
  <c r="BB67" i="38" s="1"/>
  <c r="BP113" i="43"/>
  <c r="P67" i="3"/>
  <c r="BP124" i="43" s="1"/>
  <c r="P52" i="3"/>
  <c r="BP115" i="43" s="1"/>
  <c r="P62" i="3"/>
  <c r="P66" i="3"/>
  <c r="BP123" i="43" s="1"/>
  <c r="P51" i="3"/>
  <c r="BP114" i="43" s="1"/>
  <c r="BX21" i="35"/>
  <c r="BX56" i="35" s="1"/>
  <c r="BX21" i="38"/>
  <c r="BX56" i="38" s="1"/>
  <c r="BH26" i="35"/>
  <c r="BH61" i="35" s="1"/>
  <c r="BP41" i="4"/>
  <c r="BY46" i="4"/>
  <c r="BQ31" i="35"/>
  <c r="BQ66" i="35" s="1"/>
  <c r="AZ75" i="35"/>
  <c r="X39" i="39"/>
  <c r="O38" i="39" s="1"/>
  <c r="V39" i="39"/>
  <c r="M38" i="39" s="1"/>
  <c r="AR38" i="39" s="1"/>
  <c r="R44" i="39"/>
  <c r="BR104" i="43"/>
  <c r="R43" i="3"/>
  <c r="AV62" i="4"/>
  <c r="AV47" i="35" s="1"/>
  <c r="BD59" i="4"/>
  <c r="BC53" i="4"/>
  <c r="BC38" i="35" s="1"/>
  <c r="BC73" i="35" s="1"/>
  <c r="BC23" i="4"/>
  <c r="BC23" i="35" s="1"/>
  <c r="BC58" i="35" s="1"/>
  <c r="BC42" i="4"/>
  <c r="BC27" i="35" s="1"/>
  <c r="BC62" i="35" s="1"/>
  <c r="BC21" i="4"/>
  <c r="BC21" i="35" s="1"/>
  <c r="BC56" i="35" s="1"/>
  <c r="BC20" i="4"/>
  <c r="BC41" i="4"/>
  <c r="BC26" i="35" s="1"/>
  <c r="BC61" i="35" s="1"/>
  <c r="BC25" i="4"/>
  <c r="BC25" i="35" s="1"/>
  <c r="BC60" i="35" s="1"/>
  <c r="BC22" i="4"/>
  <c r="BC22" i="35" s="1"/>
  <c r="BC57" i="35" s="1"/>
  <c r="BC45" i="4"/>
  <c r="BC30" i="35" s="1"/>
  <c r="BC65" i="35" s="1"/>
  <c r="BC46" i="4"/>
  <c r="BC31" i="35" s="1"/>
  <c r="BC66" i="35" s="1"/>
  <c r="BC44" i="4"/>
  <c r="BC29" i="35" s="1"/>
  <c r="BC64" i="35" s="1"/>
  <c r="BC48" i="4"/>
  <c r="BC33" i="35" s="1"/>
  <c r="BC68" i="35" s="1"/>
  <c r="AT28" i="33"/>
  <c r="AT28" i="38" s="1"/>
  <c r="AT63" i="38" s="1"/>
  <c r="AS75" i="38"/>
  <c r="I209" i="67"/>
  <c r="I195" i="67"/>
  <c r="I223" i="67"/>
  <c r="BI24" i="35"/>
  <c r="BQ24" i="4"/>
  <c r="BI55" i="4"/>
  <c r="BP23" i="33"/>
  <c r="BH23" i="38"/>
  <c r="BH58" i="38" s="1"/>
  <c r="BY104" i="43"/>
  <c r="V43" i="3"/>
  <c r="BX24" i="33"/>
  <c r="BP24" i="38"/>
  <c r="BP59" i="38" s="1"/>
  <c r="BB27" i="33"/>
  <c r="BB27" i="38" s="1"/>
  <c r="BB62" i="38" s="1"/>
  <c r="AZ27" i="38"/>
  <c r="AZ62" i="38" s="1"/>
  <c r="BH27" i="33"/>
  <c r="BB23" i="33"/>
  <c r="BB23" i="38" s="1"/>
  <c r="BB58" i="38" s="1"/>
  <c r="BI32" i="38"/>
  <c r="BI67" i="38" s="1"/>
  <c r="BQ32" i="33"/>
  <c r="X35" i="39"/>
  <c r="V35" i="39"/>
  <c r="R40" i="39"/>
  <c r="AT29" i="33"/>
  <c r="AT29" i="38" s="1"/>
  <c r="AT64" i="38" s="1"/>
  <c r="AL20" i="38"/>
  <c r="AL55" i="38" s="1"/>
  <c r="AL75" i="38" s="1"/>
  <c r="AL40" i="33"/>
  <c r="AL40" i="38" s="1"/>
  <c r="T45" i="43"/>
  <c r="V45" i="43" s="1"/>
  <c r="AN46" i="35"/>
  <c r="BZ127" i="43"/>
  <c r="AZ34" i="38"/>
  <c r="AZ69" i="38" s="1"/>
  <c r="BH34" i="33"/>
  <c r="BB34" i="33"/>
  <c r="BB34" i="38" s="1"/>
  <c r="BB69" i="38" s="1"/>
  <c r="BQ26" i="35"/>
  <c r="BQ61" i="35" s="1"/>
  <c r="BY41" i="4"/>
  <c r="AZ29" i="38"/>
  <c r="AZ64" i="38" s="1"/>
  <c r="BH29" i="33"/>
  <c r="BB29" i="33"/>
  <c r="BB29" i="38" s="1"/>
  <c r="BB64" i="38" s="1"/>
  <c r="BY44" i="4"/>
  <c r="BQ29" i="35"/>
  <c r="BQ64" i="35" s="1"/>
  <c r="BH24" i="35"/>
  <c r="BH59" i="35" s="1"/>
  <c r="BP24" i="4"/>
  <c r="Q223" i="67"/>
  <c r="Q195" i="67"/>
  <c r="Q209" i="67"/>
  <c r="BQ47" i="4"/>
  <c r="BI32" i="35"/>
  <c r="BI67" i="35" s="1"/>
  <c r="R41" i="39"/>
  <c r="V36" i="39"/>
  <c r="X36" i="39"/>
  <c r="BH27" i="35"/>
  <c r="BH62" i="35" s="1"/>
  <c r="BP42" i="4"/>
  <c r="BH32" i="38"/>
  <c r="BH67" i="38" s="1"/>
  <c r="BP32" i="33"/>
  <c r="BH31" i="38"/>
  <c r="BH66" i="38" s="1"/>
  <c r="BP31" i="33"/>
  <c r="AN47" i="33"/>
  <c r="AN47" i="38" s="1"/>
  <c r="AS40" i="38"/>
  <c r="AV44" i="33"/>
  <c r="AU38" i="33"/>
  <c r="AU38" i="38" s="1"/>
  <c r="AU73" i="38" s="1"/>
  <c r="AU34" i="33"/>
  <c r="AU34" i="38" s="1"/>
  <c r="AU69" i="38" s="1"/>
  <c r="AU26" i="33"/>
  <c r="AU26" i="38" s="1"/>
  <c r="AU61" i="38" s="1"/>
  <c r="AU21" i="33"/>
  <c r="AU21" i="38" s="1"/>
  <c r="AU56" i="38" s="1"/>
  <c r="AU32" i="33"/>
  <c r="AU32" i="38" s="1"/>
  <c r="AU67" i="38" s="1"/>
  <c r="AU31" i="33"/>
  <c r="AU31" i="38" s="1"/>
  <c r="AU66" i="38" s="1"/>
  <c r="AU33" i="33"/>
  <c r="AU33" i="38" s="1"/>
  <c r="AU68" i="38" s="1"/>
  <c r="AU25" i="33"/>
  <c r="AU25" i="38" s="1"/>
  <c r="AU60" i="38" s="1"/>
  <c r="O37" i="39"/>
  <c r="BC43" i="4"/>
  <c r="BC28" i="35" s="1"/>
  <c r="BC63" i="35" s="1"/>
  <c r="M37" i="39"/>
  <c r="BC52" i="4"/>
  <c r="BC37" i="35" s="1"/>
  <c r="BC72" i="35" s="1"/>
  <c r="BV131" i="43"/>
  <c r="BQ131" i="43"/>
  <c r="BP26" i="33"/>
  <c r="BH26" i="38"/>
  <c r="BH61" i="38" s="1"/>
  <c r="AT40" i="35"/>
  <c r="AT55" i="35"/>
  <c r="AT75" i="35" s="1"/>
  <c r="BI33" i="38"/>
  <c r="BI68" i="38" s="1"/>
  <c r="BQ33" i="33"/>
  <c r="BI24" i="33"/>
  <c r="BA24" i="38"/>
  <c r="BA59" i="38" s="1"/>
  <c r="U209" i="67"/>
  <c r="U223" i="67"/>
  <c r="U195" i="67"/>
  <c r="BI36" i="35"/>
  <c r="BI71" i="35" s="1"/>
  <c r="BQ51" i="4"/>
  <c r="BH22" i="35"/>
  <c r="BH57" i="35" s="1"/>
  <c r="BP22" i="4"/>
  <c r="N40" i="39"/>
  <c r="AS36" i="39" s="1"/>
  <c r="AT36" i="39"/>
  <c r="BI30" i="33"/>
  <c r="BA30" i="38"/>
  <c r="BA65" i="38" s="1"/>
  <c r="BH20" i="38"/>
  <c r="BH55" i="38" s="1"/>
  <c r="BP20" i="33"/>
  <c r="BA36" i="38"/>
  <c r="BA71" i="38" s="1"/>
  <c r="BI36" i="33"/>
  <c r="BI31" i="38"/>
  <c r="BI66" i="38" s="1"/>
  <c r="BQ31" i="33"/>
  <c r="F65" i="39"/>
  <c r="F71" i="36"/>
  <c r="BA22" i="38"/>
  <c r="BA57" i="38" s="1"/>
  <c r="BI22" i="33"/>
  <c r="AM40" i="33"/>
  <c r="AM40" i="38" s="1"/>
  <c r="AM20" i="38"/>
  <c r="AM55" i="38" s="1"/>
  <c r="AM75" i="38" s="1"/>
  <c r="AZ40" i="35"/>
  <c r="BA40" i="33"/>
  <c r="BC36" i="33" s="1"/>
  <c r="BI20" i="33"/>
  <c r="BA20" i="38"/>
  <c r="BA55" i="38" s="1"/>
  <c r="BX110" i="43"/>
  <c r="U44" i="3"/>
  <c r="BX111" i="43" s="1"/>
  <c r="U47" i="3"/>
  <c r="U50" i="3"/>
  <c r="V209" i="67"/>
  <c r="V223" i="67"/>
  <c r="V195" i="67"/>
  <c r="BQ52" i="4"/>
  <c r="BI37" i="35"/>
  <c r="BI72" i="35" s="1"/>
  <c r="BP32" i="35"/>
  <c r="BP67" i="35" s="1"/>
  <c r="BX47" i="4"/>
  <c r="AU20" i="33"/>
  <c r="BA40" i="35"/>
  <c r="AM55" i="35"/>
  <c r="AM75" i="35" s="1"/>
  <c r="AM40" i="35"/>
  <c r="N195" i="67"/>
  <c r="M195" i="67"/>
  <c r="M223" i="67"/>
  <c r="N209" i="67"/>
  <c r="M209" i="67"/>
  <c r="BI28" i="35"/>
  <c r="BI63" i="35" s="1"/>
  <c r="N223" i="67"/>
  <c r="BQ43" i="4"/>
  <c r="AT27" i="33"/>
  <c r="AT27" i="38" s="1"/>
  <c r="AT62" i="38" s="1"/>
  <c r="BY22" i="4"/>
  <c r="BQ22" i="35"/>
  <c r="BQ57" i="35" s="1"/>
  <c r="BA29" i="38"/>
  <c r="BA64" i="38" s="1"/>
  <c r="BI29" i="33"/>
  <c r="BP22" i="38"/>
  <c r="BP57" i="38" s="1"/>
  <c r="BX22" i="33"/>
  <c r="BI25" i="38"/>
  <c r="BI60" i="38" s="1"/>
  <c r="BQ25" i="33"/>
  <c r="R51" i="39"/>
  <c r="BZ98" i="43"/>
  <c r="W31" i="3"/>
  <c r="W29" i="3"/>
  <c r="BZ102" i="43" s="1"/>
  <c r="W41" i="3"/>
  <c r="BZ108" i="43" s="1"/>
  <c r="BB25" i="33"/>
  <c r="BB25" i="38" s="1"/>
  <c r="BB60" i="38" s="1"/>
  <c r="BP30" i="38"/>
  <c r="BP65" i="38" s="1"/>
  <c r="BX30" i="33"/>
  <c r="BH28" i="35"/>
  <c r="BH63" i="35" s="1"/>
  <c r="BP43" i="4"/>
  <c r="G62" i="39"/>
  <c r="G54" i="36"/>
  <c r="G19" i="36"/>
  <c r="G27" i="36"/>
  <c r="G31" i="36" s="1"/>
  <c r="G32" i="36" s="1"/>
  <c r="BC47" i="4"/>
  <c r="BC32" i="35" s="1"/>
  <c r="BC67" i="35" s="1"/>
  <c r="BQ30" i="35"/>
  <c r="BQ65" i="35" s="1"/>
  <c r="BY45" i="4"/>
  <c r="BI21" i="38"/>
  <c r="BI56" i="38" s="1"/>
  <c r="BQ21" i="33"/>
  <c r="BH25" i="38"/>
  <c r="BH60" i="38" s="1"/>
  <c r="BP25" i="33"/>
  <c r="BQ34" i="38"/>
  <c r="BQ69" i="38" s="1"/>
  <c r="BY34" i="33"/>
  <c r="AU37" i="33"/>
  <c r="AU37" i="38" s="1"/>
  <c r="AU72" i="38" s="1"/>
  <c r="BC49" i="4"/>
  <c r="BC34" i="35" s="1"/>
  <c r="BC69" i="35" s="1"/>
  <c r="AU27" i="33"/>
  <c r="AU27" i="38" s="1"/>
  <c r="AU62" i="38" s="1"/>
  <c r="F16" i="67"/>
  <c r="D19" i="36"/>
  <c r="I16" i="67"/>
  <c r="C16" i="67"/>
  <c r="H17" i="36"/>
  <c r="G18" i="36" s="1"/>
  <c r="E43" i="36"/>
  <c r="E19" i="36"/>
  <c r="F19" i="36"/>
  <c r="BB44" i="4"/>
  <c r="BB29" i="35" s="1"/>
  <c r="BB64" i="35" s="1"/>
  <c r="BB21" i="4"/>
  <c r="BB21" i="35" s="1"/>
  <c r="BB56" i="35" s="1"/>
  <c r="BB23" i="4"/>
  <c r="BB23" i="35" s="1"/>
  <c r="BB58" i="35" s="1"/>
  <c r="BB47" i="4"/>
  <c r="BB32" i="35" s="1"/>
  <c r="BB67" i="35" s="1"/>
  <c r="BB46" i="4"/>
  <c r="BB31" i="35" s="1"/>
  <c r="BB66" i="35" s="1"/>
  <c r="BB25" i="4"/>
  <c r="BB25" i="35" s="1"/>
  <c r="BB60" i="35" s="1"/>
  <c r="BB20" i="4"/>
  <c r="BB45" i="4"/>
  <c r="BB30" i="35" s="1"/>
  <c r="BB65" i="35" s="1"/>
  <c r="BB48" i="4"/>
  <c r="BB33" i="35" s="1"/>
  <c r="BB68" i="35" s="1"/>
  <c r="BH55" i="4"/>
  <c r="BJ22" i="4" s="1"/>
  <c r="BJ22" i="35" s="1"/>
  <c r="BJ57" i="35" s="1"/>
  <c r="BB49" i="4"/>
  <c r="BB34" i="35" s="1"/>
  <c r="BB69" i="35" s="1"/>
  <c r="BA23" i="38"/>
  <c r="BA58" i="38" s="1"/>
  <c r="BI23" i="33"/>
  <c r="BI28" i="33"/>
  <c r="BA28" i="38"/>
  <c r="BA63" i="38" s="1"/>
  <c r="BW113" i="43"/>
  <c r="U51" i="3"/>
  <c r="BX114" i="43" s="1"/>
  <c r="T66" i="3"/>
  <c r="BW123" i="43" s="1"/>
  <c r="T62" i="3"/>
  <c r="BW119" i="43" s="1"/>
  <c r="T52" i="3"/>
  <c r="BW115" i="43" s="1"/>
  <c r="T67" i="3"/>
  <c r="BW124" i="43" s="1"/>
  <c r="T51" i="3"/>
  <c r="BW114" i="43" s="1"/>
  <c r="AN44" i="38"/>
  <c r="AN46" i="33"/>
  <c r="AN46" i="38" s="1"/>
  <c r="BP33" i="35"/>
  <c r="BP68" i="35" s="1"/>
  <c r="BX48" i="4"/>
  <c r="BP31" i="35"/>
  <c r="BP66" i="35" s="1"/>
  <c r="BX46" i="4"/>
  <c r="AR40" i="38"/>
  <c r="AT33" i="33"/>
  <c r="AT33" i="38" s="1"/>
  <c r="AT68" i="38" s="1"/>
  <c r="AT24" i="33"/>
  <c r="AT24" i="38" s="1"/>
  <c r="AT59" i="38" s="1"/>
  <c r="AT22" i="33"/>
  <c r="AT22" i="38" s="1"/>
  <c r="AT57" i="38" s="1"/>
  <c r="AT30" i="33"/>
  <c r="AT30" i="38" s="1"/>
  <c r="AT65" i="38" s="1"/>
  <c r="AT25" i="33"/>
  <c r="AT25" i="38" s="1"/>
  <c r="AT60" i="38" s="1"/>
  <c r="AT26" i="33"/>
  <c r="AT26" i="38" s="1"/>
  <c r="AT61" i="38" s="1"/>
  <c r="AT31" i="33"/>
  <c r="AT31" i="38" s="1"/>
  <c r="AT66" i="38" s="1"/>
  <c r="AT21" i="33"/>
  <c r="AT21" i="38" s="1"/>
  <c r="AT56" i="38" s="1"/>
  <c r="AT32" i="33"/>
  <c r="AT32" i="38" s="1"/>
  <c r="AT67" i="38" s="1"/>
  <c r="AT20" i="33"/>
  <c r="AT23" i="33"/>
  <c r="AT23" i="38" s="1"/>
  <c r="AT58" i="38" s="1"/>
  <c r="BP30" i="35"/>
  <c r="BP65" i="35" s="1"/>
  <c r="BX45" i="4"/>
  <c r="AZ40" i="38"/>
  <c r="BB33" i="33"/>
  <c r="BB33" i="38" s="1"/>
  <c r="BB68" i="38" s="1"/>
  <c r="BB30" i="33"/>
  <c r="BB30" i="38" s="1"/>
  <c r="BB65" i="38" s="1"/>
  <c r="BB22" i="33"/>
  <c r="BB22" i="38" s="1"/>
  <c r="BB57" i="38" s="1"/>
  <c r="BB24" i="33"/>
  <c r="BB24" i="38" s="1"/>
  <c r="BB59" i="38" s="1"/>
  <c r="BQ26" i="33"/>
  <c r="BI26" i="38"/>
  <c r="BI61" i="38" s="1"/>
  <c r="BC24" i="4"/>
  <c r="BC24" i="35" s="1"/>
  <c r="BC59" i="35" s="1"/>
  <c r="AZ28" i="38"/>
  <c r="AZ63" i="38" s="1"/>
  <c r="BB28" i="33"/>
  <c r="BB28" i="38" s="1"/>
  <c r="BB63" i="38" s="1"/>
  <c r="BH28" i="33"/>
  <c r="BQ110" i="43"/>
  <c r="BV110" i="43"/>
  <c r="Q50" i="3"/>
  <c r="Q51" i="3" s="1"/>
  <c r="Q44" i="3"/>
  <c r="Q47" i="3"/>
  <c r="E65" i="39"/>
  <c r="E71" i="36"/>
  <c r="BQ33" i="35"/>
  <c r="BQ68" i="35" s="1"/>
  <c r="BY48" i="4"/>
  <c r="BB26" i="33"/>
  <c r="BB26" i="38" s="1"/>
  <c r="BB61" i="38" s="1"/>
  <c r="X50" i="39"/>
  <c r="V50" i="39"/>
  <c r="BY25" i="4"/>
  <c r="BQ25" i="35"/>
  <c r="BQ60" i="35" s="1"/>
  <c r="S209" i="67"/>
  <c r="S195" i="67"/>
  <c r="BI34" i="35"/>
  <c r="BI69" i="35" s="1"/>
  <c r="S223" i="67"/>
  <c r="BQ49" i="4"/>
  <c r="BP20" i="35"/>
  <c r="BX20" i="4"/>
  <c r="BP49" i="4"/>
  <c r="BH34" i="35"/>
  <c r="BH69" i="35" s="1"/>
  <c r="BI37" i="33"/>
  <c r="BA37" i="38"/>
  <c r="BA72" i="38" s="1"/>
  <c r="BA27" i="38"/>
  <c r="BA62" i="38" s="1"/>
  <c r="BI27" i="33"/>
  <c r="BB31" i="33"/>
  <c r="BB31" i="38" s="1"/>
  <c r="BB66" i="38" s="1"/>
  <c r="BH55" i="35"/>
  <c r="BH21" i="38"/>
  <c r="BH56" i="38" s="1"/>
  <c r="BP21" i="33"/>
  <c r="AU23" i="33"/>
  <c r="AU23" i="38" s="1"/>
  <c r="AU58" i="38" s="1"/>
  <c r="BK38" i="4" l="1"/>
  <c r="BK34" i="4"/>
  <c r="BK26" i="4"/>
  <c r="BK30" i="4"/>
  <c r="BK33" i="4"/>
  <c r="BK29" i="4"/>
  <c r="BK37" i="4"/>
  <c r="BK40" i="4"/>
  <c r="BK36" i="4"/>
  <c r="BK39" i="4"/>
  <c r="BK31" i="4"/>
  <c r="BK28" i="4"/>
  <c r="BK27" i="4"/>
  <c r="BK35" i="4"/>
  <c r="BK32" i="4"/>
  <c r="BJ26" i="4"/>
  <c r="BJ30" i="4"/>
  <c r="BJ34" i="4"/>
  <c r="BJ38" i="4"/>
  <c r="BJ33" i="4"/>
  <c r="BJ29" i="4"/>
  <c r="BJ37" i="4"/>
  <c r="BJ40" i="4"/>
  <c r="BJ27" i="4"/>
  <c r="BJ36" i="4"/>
  <c r="BJ35" i="4"/>
  <c r="BJ31" i="4"/>
  <c r="BJ32" i="4"/>
  <c r="BJ39" i="4"/>
  <c r="BJ28" i="4"/>
  <c r="BP25" i="35"/>
  <c r="BP60" i="35" s="1"/>
  <c r="BK52" i="4"/>
  <c r="BK37" i="35" s="1"/>
  <c r="BK72" i="35" s="1"/>
  <c r="BJ49" i="4"/>
  <c r="BJ34" i="35" s="1"/>
  <c r="BJ69" i="35" s="1"/>
  <c r="BB20" i="38"/>
  <c r="BB55" i="38" s="1"/>
  <c r="BB75" i="38" s="1"/>
  <c r="AV46" i="35"/>
  <c r="BJ43" i="4"/>
  <c r="BJ28" i="35" s="1"/>
  <c r="BJ63" i="35" s="1"/>
  <c r="AS44" i="33"/>
  <c r="AS44" i="38" s="1"/>
  <c r="AU55" i="35"/>
  <c r="AU75" i="35" s="1"/>
  <c r="BQ21" i="35"/>
  <c r="BQ56" i="35" s="1"/>
  <c r="BY21" i="4"/>
  <c r="BX44" i="4"/>
  <c r="BP29" i="35"/>
  <c r="BP64" i="35" s="1"/>
  <c r="BC30" i="33"/>
  <c r="BC30" i="38" s="1"/>
  <c r="BC65" i="38" s="1"/>
  <c r="BH40" i="33"/>
  <c r="BJ32" i="33" s="1"/>
  <c r="BJ32" i="38" s="1"/>
  <c r="BJ67" i="38" s="1"/>
  <c r="AZ75" i="38"/>
  <c r="BY23" i="4"/>
  <c r="BQ23" i="35"/>
  <c r="BQ58" i="35" s="1"/>
  <c r="BP55" i="4"/>
  <c r="BJ41" i="4"/>
  <c r="BJ26" i="35" s="1"/>
  <c r="BJ61" i="35" s="1"/>
  <c r="BC27" i="33"/>
  <c r="BC27" i="38" s="1"/>
  <c r="BC62" i="38" s="1"/>
  <c r="BY27" i="35"/>
  <c r="BY62" i="35" s="1"/>
  <c r="BY27" i="38"/>
  <c r="BY62" i="38" s="1"/>
  <c r="BJ42" i="4"/>
  <c r="BJ27" i="35" s="1"/>
  <c r="BJ62" i="35" s="1"/>
  <c r="BP23" i="35"/>
  <c r="BP58" i="35" s="1"/>
  <c r="BX23" i="4"/>
  <c r="BQ20" i="35"/>
  <c r="BQ55" i="35" s="1"/>
  <c r="BY20" i="4"/>
  <c r="BK47" i="4"/>
  <c r="BK32" i="35" s="1"/>
  <c r="BK67" i="35" s="1"/>
  <c r="BC22" i="33"/>
  <c r="BC22" i="38" s="1"/>
  <c r="BC57" i="38" s="1"/>
  <c r="BC28" i="33"/>
  <c r="BC28" i="38" s="1"/>
  <c r="BC63" i="38" s="1"/>
  <c r="BK43" i="4"/>
  <c r="BK28" i="35" s="1"/>
  <c r="BK63" i="35" s="1"/>
  <c r="BC23" i="33"/>
  <c r="BC23" i="38" s="1"/>
  <c r="BC58" i="38" s="1"/>
  <c r="G28" i="36"/>
  <c r="BC24" i="33"/>
  <c r="BC24" i="38" s="1"/>
  <c r="BC59" i="38" s="1"/>
  <c r="BC37" i="33"/>
  <c r="BC37" i="38" s="1"/>
  <c r="BC72" i="38" s="1"/>
  <c r="BC29" i="33"/>
  <c r="BC29" i="38" s="1"/>
  <c r="BC64" i="38" s="1"/>
  <c r="BC36" i="38"/>
  <c r="BC71" i="38" s="1"/>
  <c r="BA44" i="33"/>
  <c r="BA44" i="38" s="1"/>
  <c r="BR48" i="4"/>
  <c r="BR33" i="35" s="1"/>
  <c r="BR68" i="35" s="1"/>
  <c r="BV114" i="43"/>
  <c r="BQ114" i="43"/>
  <c r="BP20" i="38"/>
  <c r="BP55" i="38" s="1"/>
  <c r="BX20" i="33"/>
  <c r="BI37" i="38"/>
  <c r="BI72" i="38" s="1"/>
  <c r="BQ37" i="33"/>
  <c r="BY43" i="4"/>
  <c r="BQ28" i="35"/>
  <c r="BQ63" i="35" s="1"/>
  <c r="X51" i="39"/>
  <c r="V51" i="39"/>
  <c r="BI24" i="38"/>
  <c r="BI59" i="38" s="1"/>
  <c r="BQ24" i="33"/>
  <c r="BP27" i="35"/>
  <c r="BP62" i="35" s="1"/>
  <c r="BX42" i="4"/>
  <c r="G56" i="36"/>
  <c r="G67" i="36"/>
  <c r="G55" i="36"/>
  <c r="BX25" i="35"/>
  <c r="BX60" i="35" s="1"/>
  <c r="BX25" i="38"/>
  <c r="BX60" i="38" s="1"/>
  <c r="V41" i="39"/>
  <c r="R46" i="39"/>
  <c r="X41" i="39"/>
  <c r="R45" i="39"/>
  <c r="X40" i="39"/>
  <c r="V40" i="39"/>
  <c r="BY33" i="38"/>
  <c r="BY68" i="38" s="1"/>
  <c r="BY33" i="35"/>
  <c r="BY68" i="35" s="1"/>
  <c r="Y209" i="67"/>
  <c r="Y223" i="67"/>
  <c r="Y195" i="67"/>
  <c r="BK53" i="4"/>
  <c r="BK38" i="35" s="1"/>
  <c r="BK73" i="35" s="1"/>
  <c r="BL59" i="4"/>
  <c r="BD62" i="4"/>
  <c r="BD47" i="35" s="1"/>
  <c r="BK23" i="4"/>
  <c r="BK23" i="35" s="1"/>
  <c r="BK58" i="35" s="1"/>
  <c r="BK42" i="4"/>
  <c r="BK27" i="35" s="1"/>
  <c r="BK62" i="35" s="1"/>
  <c r="BK20" i="4"/>
  <c r="BK21" i="4"/>
  <c r="BK21" i="35" s="1"/>
  <c r="BK56" i="35" s="1"/>
  <c r="BK48" i="4"/>
  <c r="BK33" i="35" s="1"/>
  <c r="BK68" i="35" s="1"/>
  <c r="BK46" i="4"/>
  <c r="BK31" i="35" s="1"/>
  <c r="BK66" i="35" s="1"/>
  <c r="BK44" i="4"/>
  <c r="BK29" i="35" s="1"/>
  <c r="BK64" i="35" s="1"/>
  <c r="BK22" i="4"/>
  <c r="BK22" i="35" s="1"/>
  <c r="BK57" i="35" s="1"/>
  <c r="BK45" i="4"/>
  <c r="BK30" i="35" s="1"/>
  <c r="BK65" i="35" s="1"/>
  <c r="BK41" i="4"/>
  <c r="BK26" i="35" s="1"/>
  <c r="BK61" i="35" s="1"/>
  <c r="BK25" i="4"/>
  <c r="BK25" i="35" s="1"/>
  <c r="BK60" i="35" s="1"/>
  <c r="BP55" i="35"/>
  <c r="BK24" i="4"/>
  <c r="BK24" i="35" s="1"/>
  <c r="BK59" i="35" s="1"/>
  <c r="N38" i="39"/>
  <c r="AS38" i="39" s="1"/>
  <c r="AT38" i="39"/>
  <c r="BI27" i="38"/>
  <c r="BI62" i="38" s="1"/>
  <c r="BQ27" i="33"/>
  <c r="BQ34" i="35"/>
  <c r="BQ69" i="35" s="1"/>
  <c r="BY49" i="4"/>
  <c r="BI20" i="38"/>
  <c r="BI55" i="38" s="1"/>
  <c r="BI40" i="33"/>
  <c r="BK37" i="33" s="1"/>
  <c r="BK37" i="38" s="1"/>
  <c r="BK72" i="38" s="1"/>
  <c r="BQ20" i="33"/>
  <c r="BI36" i="38"/>
  <c r="BI71" i="38" s="1"/>
  <c r="BQ36" i="33"/>
  <c r="BQ36" i="35"/>
  <c r="BQ71" i="35" s="1"/>
  <c r="BY51" i="4"/>
  <c r="BX26" i="33"/>
  <c r="BP26" i="38"/>
  <c r="BP61" i="38" s="1"/>
  <c r="BP34" i="33"/>
  <c r="BH34" i="38"/>
  <c r="BH69" i="38" s="1"/>
  <c r="BQ32" i="38"/>
  <c r="BQ67" i="38" s="1"/>
  <c r="BY32" i="33"/>
  <c r="BQ24" i="35"/>
  <c r="BY24" i="4"/>
  <c r="BQ55" i="4"/>
  <c r="BC55" i="4"/>
  <c r="BC20" i="35"/>
  <c r="BP119" i="43"/>
  <c r="BZ104" i="43"/>
  <c r="W43" i="3"/>
  <c r="AR39" i="39"/>
  <c r="M42" i="39"/>
  <c r="M41" i="39"/>
  <c r="AR35" i="39" s="1"/>
  <c r="BY25" i="38"/>
  <c r="BY60" i="38" s="1"/>
  <c r="BY25" i="35"/>
  <c r="BY60" i="35" s="1"/>
  <c r="BQ22" i="33"/>
  <c r="BI22" i="38"/>
  <c r="BI57" i="38" s="1"/>
  <c r="O41" i="39"/>
  <c r="AT39" i="39"/>
  <c r="N37" i="39"/>
  <c r="AS39" i="39" s="1"/>
  <c r="BX31" i="35"/>
  <c r="BX66" i="35" s="1"/>
  <c r="BX31" i="38"/>
  <c r="BX66" i="38" s="1"/>
  <c r="BI28" i="38"/>
  <c r="BI63" i="38" s="1"/>
  <c r="BQ28" i="33"/>
  <c r="BI30" i="38"/>
  <c r="BI65" i="38" s="1"/>
  <c r="BQ30" i="33"/>
  <c r="BY110" i="43"/>
  <c r="V47" i="3"/>
  <c r="V44" i="3"/>
  <c r="BY111" i="43" s="1"/>
  <c r="V50" i="3"/>
  <c r="BP34" i="35"/>
  <c r="BP69" i="35" s="1"/>
  <c r="BX49" i="4"/>
  <c r="BX30" i="35"/>
  <c r="BX65" i="35" s="1"/>
  <c r="BX30" i="38"/>
  <c r="BX65" i="38" s="1"/>
  <c r="BX113" i="43"/>
  <c r="U66" i="3"/>
  <c r="BX123" i="43" s="1"/>
  <c r="V51" i="3"/>
  <c r="BY114" i="43" s="1"/>
  <c r="U52" i="3"/>
  <c r="BX115" i="43" s="1"/>
  <c r="U62" i="3"/>
  <c r="U67" i="3"/>
  <c r="BX124" i="43" s="1"/>
  <c r="BQ23" i="33"/>
  <c r="BI23" i="38"/>
  <c r="BI58" i="38" s="1"/>
  <c r="F63" i="39"/>
  <c r="F20" i="36"/>
  <c r="F59" i="36" s="1"/>
  <c r="F57" i="36"/>
  <c r="F64" i="36" s="1"/>
  <c r="BY26" i="38"/>
  <c r="BY61" i="38" s="1"/>
  <c r="BY26" i="35"/>
  <c r="BY61" i="35" s="1"/>
  <c r="E63" i="39"/>
  <c r="E20" i="36"/>
  <c r="E59" i="36" s="1"/>
  <c r="E57" i="36"/>
  <c r="E64" i="36" s="1"/>
  <c r="BX22" i="4"/>
  <c r="BP22" i="35"/>
  <c r="BP57" i="35" s="1"/>
  <c r="X44" i="39"/>
  <c r="O39" i="39" s="1"/>
  <c r="V44" i="39"/>
  <c r="M39" i="39" s="1"/>
  <c r="AR37" i="39" s="1"/>
  <c r="BH40" i="35"/>
  <c r="BQ32" i="35"/>
  <c r="BQ67" i="35" s="1"/>
  <c r="BY47" i="4"/>
  <c r="BQ26" i="38"/>
  <c r="BQ61" i="38" s="1"/>
  <c r="BY26" i="33"/>
  <c r="H62" i="39"/>
  <c r="H54" i="36"/>
  <c r="H18" i="36"/>
  <c r="D55" i="36"/>
  <c r="I17" i="36"/>
  <c r="H27" i="36"/>
  <c r="D18" i="36"/>
  <c r="H19" i="36"/>
  <c r="D68" i="36"/>
  <c r="D28" i="36"/>
  <c r="E18" i="36"/>
  <c r="F18" i="36"/>
  <c r="F28" i="36"/>
  <c r="F55" i="36"/>
  <c r="E28" i="36"/>
  <c r="E55" i="36"/>
  <c r="E68" i="36"/>
  <c r="F68" i="36"/>
  <c r="BQ21" i="38"/>
  <c r="BQ56" i="38" s="1"/>
  <c r="BY21" i="33"/>
  <c r="BI29" i="38"/>
  <c r="BI64" i="38" s="1"/>
  <c r="BQ29" i="33"/>
  <c r="BA75" i="38"/>
  <c r="BK51" i="4"/>
  <c r="BK36" i="35" s="1"/>
  <c r="BK71" i="35" s="1"/>
  <c r="BK49" i="4"/>
  <c r="BK34" i="35" s="1"/>
  <c r="BK69" i="35" s="1"/>
  <c r="AU20" i="38"/>
  <c r="AU55" i="38" s="1"/>
  <c r="AU75" i="38" s="1"/>
  <c r="AU40" i="33"/>
  <c r="AU40" i="38" s="1"/>
  <c r="BC20" i="33"/>
  <c r="BI59" i="35"/>
  <c r="BI75" i="35" s="1"/>
  <c r="BI40" i="35"/>
  <c r="AV44" i="38"/>
  <c r="AV46" i="33"/>
  <c r="AV46" i="38" s="1"/>
  <c r="Z43" i="43"/>
  <c r="AB43" i="43" s="1"/>
  <c r="BD44" i="35"/>
  <c r="BD61" i="4"/>
  <c r="BH28" i="38"/>
  <c r="BH63" i="38" s="1"/>
  <c r="BP28" i="33"/>
  <c r="BQ25" i="38"/>
  <c r="BQ60" i="38" s="1"/>
  <c r="BY25" i="33"/>
  <c r="BH29" i="38"/>
  <c r="BH64" i="38" s="1"/>
  <c r="BP29" i="33"/>
  <c r="BX43" i="4"/>
  <c r="BP28" i="35"/>
  <c r="BP63" i="35" s="1"/>
  <c r="BX20" i="35"/>
  <c r="BX20" i="38"/>
  <c r="BX55" i="38" s="1"/>
  <c r="BJ44" i="4"/>
  <c r="BJ29" i="35" s="1"/>
  <c r="BJ64" i="35" s="1"/>
  <c r="BJ23" i="4"/>
  <c r="BJ23" i="35" s="1"/>
  <c r="BJ58" i="35" s="1"/>
  <c r="BJ21" i="4"/>
  <c r="BJ21" i="35" s="1"/>
  <c r="BJ56" i="35" s="1"/>
  <c r="BJ48" i="4"/>
  <c r="BJ33" i="35" s="1"/>
  <c r="BJ68" i="35" s="1"/>
  <c r="BJ25" i="4"/>
  <c r="BJ25" i="35" s="1"/>
  <c r="BJ60" i="35" s="1"/>
  <c r="BJ47" i="4"/>
  <c r="BJ32" i="35" s="1"/>
  <c r="BJ67" i="35" s="1"/>
  <c r="BJ45" i="4"/>
  <c r="BJ30" i="35" s="1"/>
  <c r="BJ65" i="35" s="1"/>
  <c r="BJ20" i="4"/>
  <c r="BJ46" i="4"/>
  <c r="BJ31" i="35" s="1"/>
  <c r="BJ66" i="35" s="1"/>
  <c r="D63" i="39"/>
  <c r="D20" i="36"/>
  <c r="D59" i="36" s="1"/>
  <c r="D57" i="36"/>
  <c r="D64" i="36" s="1"/>
  <c r="BY30" i="38"/>
  <c r="BY65" i="38" s="1"/>
  <c r="BY30" i="35"/>
  <c r="BY65" i="35" s="1"/>
  <c r="BX32" i="35"/>
  <c r="BX67" i="35" s="1"/>
  <c r="BX32" i="38"/>
  <c r="BX67" i="38" s="1"/>
  <c r="BA40" i="38"/>
  <c r="AV47" i="33"/>
  <c r="AV47" i="38" s="1"/>
  <c r="BD44" i="33"/>
  <c r="BC38" i="33"/>
  <c r="BC38" i="38" s="1"/>
  <c r="BC73" i="38" s="1"/>
  <c r="BC34" i="33"/>
  <c r="BC34" i="38" s="1"/>
  <c r="BC69" i="38" s="1"/>
  <c r="BC21" i="33"/>
  <c r="BC21" i="38" s="1"/>
  <c r="BC56" i="38" s="1"/>
  <c r="BC32" i="33"/>
  <c r="BC32" i="38" s="1"/>
  <c r="BC67" i="38" s="1"/>
  <c r="BC26" i="33"/>
  <c r="BC26" i="38" s="1"/>
  <c r="BC61" i="38" s="1"/>
  <c r="BC25" i="33"/>
  <c r="BC25" i="38" s="1"/>
  <c r="BC60" i="38" s="1"/>
  <c r="BC31" i="33"/>
  <c r="BC31" i="38" s="1"/>
  <c r="BC66" i="38" s="1"/>
  <c r="BC33" i="33"/>
  <c r="BC33" i="38" s="1"/>
  <c r="BC68" i="38" s="1"/>
  <c r="BJ24" i="4"/>
  <c r="BJ24" i="35" s="1"/>
  <c r="BJ59" i="35" s="1"/>
  <c r="W77" i="3"/>
  <c r="BZ131" i="43" s="1"/>
  <c r="BY31" i="35"/>
  <c r="BY66" i="35" s="1"/>
  <c r="BY31" i="38"/>
  <c r="BY66" i="38" s="1"/>
  <c r="BV113" i="43"/>
  <c r="BQ113" i="43"/>
  <c r="Q62" i="3"/>
  <c r="Q66" i="3"/>
  <c r="Q67" i="3"/>
  <c r="Q52" i="3"/>
  <c r="BB20" i="35"/>
  <c r="BB55" i="4"/>
  <c r="BP26" i="35"/>
  <c r="BP61" i="35" s="1"/>
  <c r="BX41" i="4"/>
  <c r="G63" i="39"/>
  <c r="G20" i="36"/>
  <c r="BQ37" i="35"/>
  <c r="BQ72" i="35" s="1"/>
  <c r="BY52" i="4"/>
  <c r="BY29" i="35"/>
  <c r="BY64" i="35" s="1"/>
  <c r="BY29" i="38"/>
  <c r="BY64" i="38" s="1"/>
  <c r="BR110" i="43"/>
  <c r="R44" i="3"/>
  <c r="BR111" i="43" s="1"/>
  <c r="R47" i="3"/>
  <c r="R50" i="3" s="1"/>
  <c r="BQ33" i="38"/>
  <c r="BQ68" i="38" s="1"/>
  <c r="BY33" i="33"/>
  <c r="BP21" i="38"/>
  <c r="BP56" i="38" s="1"/>
  <c r="BX21" i="33"/>
  <c r="BX25" i="33"/>
  <c r="BP25" i="38"/>
  <c r="BP60" i="38" s="1"/>
  <c r="BP31" i="38"/>
  <c r="BP66" i="38" s="1"/>
  <c r="BX31" i="33"/>
  <c r="BH75" i="35"/>
  <c r="AT20" i="38"/>
  <c r="AT55" i="38" s="1"/>
  <c r="AT75" i="38" s="1"/>
  <c r="AT40" i="33"/>
  <c r="AT40" i="38" s="1"/>
  <c r="BX33" i="38"/>
  <c r="BX68" i="38" s="1"/>
  <c r="BX33" i="35"/>
  <c r="BX68" i="35" s="1"/>
  <c r="BY31" i="33"/>
  <c r="BQ31" i="38"/>
  <c r="BQ66" i="38" s="1"/>
  <c r="BP23" i="38"/>
  <c r="BP58" i="38" s="1"/>
  <c r="BX23" i="33"/>
  <c r="BQ111" i="43"/>
  <c r="BV111" i="43"/>
  <c r="BY22" i="38"/>
  <c r="BY57" i="38" s="1"/>
  <c r="BY22" i="35"/>
  <c r="BY57" i="35" s="1"/>
  <c r="BX32" i="33"/>
  <c r="BP32" i="38"/>
  <c r="BP67" i="38" s="1"/>
  <c r="BP24" i="35"/>
  <c r="BP59" i="35" s="1"/>
  <c r="BX24" i="4"/>
  <c r="BP27" i="33"/>
  <c r="BH27" i="38"/>
  <c r="BH62" i="38" s="1"/>
  <c r="H28" i="36" l="1"/>
  <c r="H31" i="36"/>
  <c r="H32" i="36" s="1"/>
  <c r="BJ20" i="33"/>
  <c r="BJ21" i="33"/>
  <c r="BJ21" i="38" s="1"/>
  <c r="BJ56" i="38" s="1"/>
  <c r="BR34" i="4"/>
  <c r="BR38" i="4"/>
  <c r="BR26" i="4"/>
  <c r="BR30" i="4"/>
  <c r="BR29" i="4"/>
  <c r="BR33" i="4"/>
  <c r="BR37" i="4"/>
  <c r="BR31" i="4"/>
  <c r="BR36" i="4"/>
  <c r="BR27" i="4"/>
  <c r="BR40" i="4"/>
  <c r="BR35" i="4"/>
  <c r="BR28" i="4"/>
  <c r="BR39" i="4"/>
  <c r="BR32" i="4"/>
  <c r="BS34" i="4"/>
  <c r="BS38" i="4"/>
  <c r="BS26" i="4"/>
  <c r="BS30" i="4"/>
  <c r="BS33" i="4"/>
  <c r="BS29" i="4"/>
  <c r="BS36" i="4"/>
  <c r="BS37" i="4"/>
  <c r="BS40" i="4"/>
  <c r="BS27" i="4"/>
  <c r="BS35" i="4"/>
  <c r="BS39" i="4"/>
  <c r="BS28" i="4"/>
  <c r="BS31" i="4"/>
  <c r="BS32" i="4"/>
  <c r="BR49" i="4"/>
  <c r="BR34" i="35" s="1"/>
  <c r="BR69" i="35" s="1"/>
  <c r="BS51" i="4"/>
  <c r="U210" i="67" s="1"/>
  <c r="H91" i="67" s="1"/>
  <c r="BS47" i="4"/>
  <c r="Q224" i="67" s="1"/>
  <c r="K87" i="67" s="1"/>
  <c r="BJ27" i="33"/>
  <c r="BJ27" i="38" s="1"/>
  <c r="BJ62" i="38" s="1"/>
  <c r="BS49" i="4"/>
  <c r="S210" i="67" s="1"/>
  <c r="BS24" i="4"/>
  <c r="I224" i="67" s="1"/>
  <c r="K79" i="67" s="1"/>
  <c r="BJ25" i="33"/>
  <c r="BJ25" i="38" s="1"/>
  <c r="BJ60" i="38" s="1"/>
  <c r="BR43" i="4"/>
  <c r="BR28" i="35" s="1"/>
  <c r="BR63" i="35" s="1"/>
  <c r="BJ23" i="33"/>
  <c r="BJ23" i="38" s="1"/>
  <c r="BJ58" i="38" s="1"/>
  <c r="BJ29" i="33"/>
  <c r="BJ29" i="38" s="1"/>
  <c r="BJ64" i="38" s="1"/>
  <c r="BJ30" i="33"/>
  <c r="BJ30" i="38" s="1"/>
  <c r="BJ65" i="38" s="1"/>
  <c r="BX29" i="35"/>
  <c r="BX64" i="35" s="1"/>
  <c r="BX29" i="38"/>
  <c r="BX64" i="38" s="1"/>
  <c r="BJ34" i="33"/>
  <c r="BJ34" i="38" s="1"/>
  <c r="BJ69" i="38" s="1"/>
  <c r="BJ22" i="33"/>
  <c r="BJ22" i="38" s="1"/>
  <c r="BJ57" i="38" s="1"/>
  <c r="BY21" i="35"/>
  <c r="BY56" i="35" s="1"/>
  <c r="BY21" i="38"/>
  <c r="BY56" i="38" s="1"/>
  <c r="BJ33" i="33"/>
  <c r="BJ33" i="38" s="1"/>
  <c r="BJ68" i="38" s="1"/>
  <c r="BJ24" i="33"/>
  <c r="BJ24" i="38" s="1"/>
  <c r="BJ59" i="38" s="1"/>
  <c r="BJ26" i="33"/>
  <c r="BJ26" i="38" s="1"/>
  <c r="BJ61" i="38" s="1"/>
  <c r="BJ31" i="33"/>
  <c r="BJ31" i="38" s="1"/>
  <c r="BJ66" i="38" s="1"/>
  <c r="BJ28" i="33"/>
  <c r="BJ28" i="38" s="1"/>
  <c r="BJ63" i="38" s="1"/>
  <c r="BS52" i="4"/>
  <c r="V196" i="67" s="1"/>
  <c r="E92" i="67" s="1"/>
  <c r="BH40" i="38"/>
  <c r="BK30" i="33"/>
  <c r="BK30" i="38" s="1"/>
  <c r="BK65" i="38" s="1"/>
  <c r="BR42" i="4"/>
  <c r="BR27" i="35" s="1"/>
  <c r="BR62" i="35" s="1"/>
  <c r="BR47" i="4"/>
  <c r="BR32" i="35" s="1"/>
  <c r="BR67" i="35" s="1"/>
  <c r="BY20" i="38"/>
  <c r="BY55" i="38" s="1"/>
  <c r="BY20" i="35"/>
  <c r="BY55" i="35" s="1"/>
  <c r="BR46" i="4"/>
  <c r="BR31" i="35" s="1"/>
  <c r="BR66" i="35" s="1"/>
  <c r="BR20" i="4"/>
  <c r="BR20" i="35" s="1"/>
  <c r="BX23" i="35"/>
  <c r="BX58" i="35" s="1"/>
  <c r="BX23" i="38"/>
  <c r="BX58" i="38" s="1"/>
  <c r="BH75" i="38"/>
  <c r="BR25" i="4"/>
  <c r="BR25" i="35" s="1"/>
  <c r="BR60" i="35" s="1"/>
  <c r="BR23" i="4"/>
  <c r="BR23" i="35" s="1"/>
  <c r="BR58" i="35" s="1"/>
  <c r="BR21" i="4"/>
  <c r="BR21" i="35" s="1"/>
  <c r="BR56" i="35" s="1"/>
  <c r="BR45" i="4"/>
  <c r="BR30" i="35" s="1"/>
  <c r="BR65" i="35" s="1"/>
  <c r="BR44" i="4"/>
  <c r="BR29" i="35" s="1"/>
  <c r="BR64" i="35" s="1"/>
  <c r="BR24" i="4"/>
  <c r="BR24" i="35" s="1"/>
  <c r="BR59" i="35" s="1"/>
  <c r="BR41" i="4"/>
  <c r="BR26" i="35" s="1"/>
  <c r="BR61" i="35" s="1"/>
  <c r="BR22" i="4"/>
  <c r="BR22" i="35" s="1"/>
  <c r="BR57" i="35" s="1"/>
  <c r="BY23" i="35"/>
  <c r="BY58" i="35" s="1"/>
  <c r="BY23" i="38"/>
  <c r="BY58" i="38" s="1"/>
  <c r="BS43" i="4"/>
  <c r="N224" i="67" s="1"/>
  <c r="K84" i="67" s="1"/>
  <c r="BK36" i="33"/>
  <c r="BI44" i="33" s="1"/>
  <c r="BI44" i="38" s="1"/>
  <c r="BR113" i="43"/>
  <c r="R62" i="3"/>
  <c r="R66" i="3"/>
  <c r="BR123" i="43" s="1"/>
  <c r="R52" i="3"/>
  <c r="BR115" i="43" s="1"/>
  <c r="R67" i="3"/>
  <c r="BR124" i="43" s="1"/>
  <c r="R51" i="3"/>
  <c r="BR114" i="43" s="1"/>
  <c r="BX24" i="38"/>
  <c r="BX59" i="38" s="1"/>
  <c r="BX24" i="35"/>
  <c r="BX59" i="35" s="1"/>
  <c r="BX22" i="35"/>
  <c r="BX57" i="35" s="1"/>
  <c r="BX22" i="38"/>
  <c r="BX57" i="38" s="1"/>
  <c r="BQ30" i="38"/>
  <c r="BQ65" i="38" s="1"/>
  <c r="BY30" i="33"/>
  <c r="BY24" i="35"/>
  <c r="BY59" i="35" s="1"/>
  <c r="BY24" i="38"/>
  <c r="BY59" i="38" s="1"/>
  <c r="AC43" i="43"/>
  <c r="AE43" i="43" s="1"/>
  <c r="BL44" i="35"/>
  <c r="BL61" i="4"/>
  <c r="BY37" i="35"/>
  <c r="BY72" i="35" s="1"/>
  <c r="BX29" i="33"/>
  <c r="BP29" i="38"/>
  <c r="BP64" i="38" s="1"/>
  <c r="BQ59" i="35"/>
  <c r="BQ75" i="35" s="1"/>
  <c r="BQ40" i="35"/>
  <c r="BQ20" i="38"/>
  <c r="BQ55" i="38" s="1"/>
  <c r="BY20" i="33"/>
  <c r="BQ40" i="33"/>
  <c r="BS28" i="33" s="1"/>
  <c r="BS28" i="38" s="1"/>
  <c r="BS63" i="38" s="1"/>
  <c r="BX26" i="38"/>
  <c r="BX61" i="38" s="1"/>
  <c r="BX26" i="35"/>
  <c r="BX61" i="35" s="1"/>
  <c r="G58" i="36"/>
  <c r="G59" i="36" s="1"/>
  <c r="G57" i="36"/>
  <c r="G64" i="36" s="1"/>
  <c r="BP28" i="38"/>
  <c r="BP63" i="38" s="1"/>
  <c r="BX28" i="33"/>
  <c r="BB55" i="35"/>
  <c r="BB75" i="35" s="1"/>
  <c r="BB40" i="35"/>
  <c r="X53" i="39"/>
  <c r="BY113" i="43"/>
  <c r="V66" i="3"/>
  <c r="BY123" i="43" s="1"/>
  <c r="V52" i="3"/>
  <c r="BY115" i="43" s="1"/>
  <c r="V62" i="3"/>
  <c r="BY119" i="43" s="1"/>
  <c r="V67" i="3"/>
  <c r="BY124" i="43" s="1"/>
  <c r="BY29" i="33"/>
  <c r="BQ29" i="38"/>
  <c r="BQ64" i="38" s="1"/>
  <c r="AT35" i="39"/>
  <c r="N41" i="39"/>
  <c r="AS35" i="39" s="1"/>
  <c r="BC55" i="35"/>
  <c r="BC75" i="35" s="1"/>
  <c r="BC40" i="35"/>
  <c r="BY24" i="33"/>
  <c r="BQ24" i="38"/>
  <c r="BQ59" i="38" s="1"/>
  <c r="BY55" i="4"/>
  <c r="BX119" i="43"/>
  <c r="BQ22" i="38"/>
  <c r="BQ57" i="38" s="1"/>
  <c r="BY22" i="33"/>
  <c r="BQ36" i="38"/>
  <c r="BQ71" i="38" s="1"/>
  <c r="BY36" i="33"/>
  <c r="BP40" i="35"/>
  <c r="H56" i="36"/>
  <c r="H67" i="36"/>
  <c r="H55" i="36"/>
  <c r="BQ28" i="38"/>
  <c r="BQ63" i="38" s="1"/>
  <c r="BY28" i="33"/>
  <c r="BI40" i="38"/>
  <c r="BD47" i="33"/>
  <c r="BD47" i="38" s="1"/>
  <c r="BK38" i="33"/>
  <c r="BK38" i="38" s="1"/>
  <c r="BK73" i="38" s="1"/>
  <c r="BL44" i="33"/>
  <c r="BK34" i="33"/>
  <c r="BK34" i="38" s="1"/>
  <c r="BK69" i="38" s="1"/>
  <c r="BK31" i="33"/>
  <c r="BK31" i="38" s="1"/>
  <c r="BK66" i="38" s="1"/>
  <c r="BK33" i="33"/>
  <c r="BK33" i="38" s="1"/>
  <c r="BK68" i="38" s="1"/>
  <c r="BK32" i="33"/>
  <c r="BK32" i="38" s="1"/>
  <c r="BK67" i="38" s="1"/>
  <c r="BK21" i="33"/>
  <c r="BK21" i="38" s="1"/>
  <c r="BK56" i="38" s="1"/>
  <c r="BK26" i="33"/>
  <c r="BK26" i="38" s="1"/>
  <c r="BK61" i="38" s="1"/>
  <c r="BK25" i="33"/>
  <c r="BK25" i="38" s="1"/>
  <c r="BK60" i="38" s="1"/>
  <c r="BK20" i="33"/>
  <c r="G68" i="36"/>
  <c r="G69" i="36"/>
  <c r="BX55" i="4"/>
  <c r="BZ110" i="43"/>
  <c r="W44" i="3"/>
  <c r="BZ111" i="43" s="1"/>
  <c r="W47" i="3"/>
  <c r="W50" i="3" s="1"/>
  <c r="BP34" i="38"/>
  <c r="BP69" i="38" s="1"/>
  <c r="BX34" i="33"/>
  <c r="BY34" i="38"/>
  <c r="BY69" i="38" s="1"/>
  <c r="BY34" i="35"/>
  <c r="BY69" i="35" s="1"/>
  <c r="BY28" i="35"/>
  <c r="BY63" i="35" s="1"/>
  <c r="BY28" i="38"/>
  <c r="BY63" i="38" s="1"/>
  <c r="BX27" i="38"/>
  <c r="BX62" i="38" s="1"/>
  <c r="BX27" i="35"/>
  <c r="BX62" i="35" s="1"/>
  <c r="BV124" i="43"/>
  <c r="BQ124" i="43"/>
  <c r="BK29" i="33"/>
  <c r="BK29" i="38" s="1"/>
  <c r="BK64" i="38" s="1"/>
  <c r="BK23" i="33"/>
  <c r="BK23" i="38" s="1"/>
  <c r="BK58" i="38" s="1"/>
  <c r="BQ27" i="38"/>
  <c r="BQ62" i="38" s="1"/>
  <c r="BY27" i="33"/>
  <c r="BK55" i="4"/>
  <c r="BK20" i="35"/>
  <c r="X45" i="39"/>
  <c r="V45" i="39"/>
  <c r="BK24" i="33"/>
  <c r="BK24" i="38" s="1"/>
  <c r="BK59" i="38" s="1"/>
  <c r="BQ123" i="43"/>
  <c r="BV123" i="43"/>
  <c r="BX28" i="35"/>
  <c r="BX63" i="35" s="1"/>
  <c r="BX28" i="38"/>
  <c r="BX63" i="38" s="1"/>
  <c r="H63" i="39"/>
  <c r="H20" i="36"/>
  <c r="BP27" i="38"/>
  <c r="BP62" i="38" s="1"/>
  <c r="BX27" i="33"/>
  <c r="AT37" i="39"/>
  <c r="N39" i="39"/>
  <c r="AS37" i="39" s="1"/>
  <c r="BQ23" i="38"/>
  <c r="BQ58" i="38" s="1"/>
  <c r="BY23" i="33"/>
  <c r="BY36" i="35"/>
  <c r="BY71" i="35" s="1"/>
  <c r="X46" i="39"/>
  <c r="V46" i="39"/>
  <c r="V53" i="39" s="1"/>
  <c r="BP40" i="33"/>
  <c r="BR27" i="33" s="1"/>
  <c r="BR27" i="38" s="1"/>
  <c r="BR62" i="38" s="1"/>
  <c r="I62" i="39"/>
  <c r="I54" i="36"/>
  <c r="I18" i="36"/>
  <c r="I27" i="36"/>
  <c r="I19" i="36"/>
  <c r="J17" i="36"/>
  <c r="BD44" i="38"/>
  <c r="BD46" i="33"/>
  <c r="BD46" i="38" s="1"/>
  <c r="BP75" i="35"/>
  <c r="BC40" i="33"/>
  <c r="BC40" i="38" s="1"/>
  <c r="BC20" i="38"/>
  <c r="BC55" i="38" s="1"/>
  <c r="BC75" i="38" s="1"/>
  <c r="BK28" i="33"/>
  <c r="BK28" i="38" s="1"/>
  <c r="BK63" i="38" s="1"/>
  <c r="BJ20" i="38"/>
  <c r="BJ55" i="38" s="1"/>
  <c r="BJ75" i="38" s="1"/>
  <c r="BJ40" i="33"/>
  <c r="BJ40" i="38" s="1"/>
  <c r="BI75" i="38"/>
  <c r="BY32" i="35"/>
  <c r="BY67" i="35" s="1"/>
  <c r="BY32" i="38"/>
  <c r="BY67" i="38" s="1"/>
  <c r="BX55" i="35"/>
  <c r="BX34" i="38"/>
  <c r="BX69" i="38" s="1"/>
  <c r="BX34" i="35"/>
  <c r="BX69" i="35" s="1"/>
  <c r="BQ37" i="38"/>
  <c r="BQ72" i="38" s="1"/>
  <c r="BY37" i="33"/>
  <c r="BQ115" i="43"/>
  <c r="BV115" i="43"/>
  <c r="Z45" i="43"/>
  <c r="AB45" i="43" s="1"/>
  <c r="BD46" i="35"/>
  <c r="BK27" i="33"/>
  <c r="BK27" i="38" s="1"/>
  <c r="BK62" i="38" s="1"/>
  <c r="BQ119" i="43"/>
  <c r="BV119" i="43"/>
  <c r="BJ20" i="35"/>
  <c r="BJ55" i="4"/>
  <c r="BK22" i="33"/>
  <c r="BK22" i="38" s="1"/>
  <c r="BK57" i="38" s="1"/>
  <c r="BL62" i="4"/>
  <c r="BL47" i="35" s="1"/>
  <c r="BS53" i="4"/>
  <c r="BT59" i="4"/>
  <c r="BS23" i="4"/>
  <c r="BS42" i="4"/>
  <c r="BS20" i="4"/>
  <c r="BS21" i="4"/>
  <c r="BS21" i="35" s="1"/>
  <c r="BS56" i="35" s="1"/>
  <c r="BS46" i="4"/>
  <c r="BS44" i="4"/>
  <c r="BS29" i="35" s="1"/>
  <c r="BS64" i="35" s="1"/>
  <c r="BS48" i="4"/>
  <c r="BS22" i="4"/>
  <c r="BS45" i="4"/>
  <c r="BS41" i="4"/>
  <c r="BS25" i="4"/>
  <c r="I28" i="36" l="1"/>
  <c r="I31" i="36"/>
  <c r="I32" i="36" s="1"/>
  <c r="S224" i="67"/>
  <c r="Q210" i="67"/>
  <c r="S196" i="67"/>
  <c r="E89" i="67" s="1"/>
  <c r="CA34" i="4"/>
  <c r="CA38" i="4"/>
  <c r="CA26" i="4"/>
  <c r="CA30" i="4"/>
  <c r="CA29" i="4"/>
  <c r="CA33" i="4"/>
  <c r="CA37" i="4"/>
  <c r="CA36" i="4"/>
  <c r="CA40" i="4"/>
  <c r="CA32" i="4"/>
  <c r="CA31" i="4"/>
  <c r="CA28" i="4"/>
  <c r="CA39" i="4"/>
  <c r="CA35" i="4"/>
  <c r="CA27" i="4"/>
  <c r="BZ38" i="4"/>
  <c r="BZ34" i="4"/>
  <c r="BZ30" i="4"/>
  <c r="BZ26" i="4"/>
  <c r="BZ33" i="4"/>
  <c r="BZ29" i="4"/>
  <c r="BZ37" i="4"/>
  <c r="BZ27" i="4"/>
  <c r="BZ35" i="4"/>
  <c r="BZ40" i="4"/>
  <c r="BZ31" i="4"/>
  <c r="BZ36" i="4"/>
  <c r="BZ28" i="4"/>
  <c r="BZ32" i="4"/>
  <c r="BZ39" i="4"/>
  <c r="Q196" i="67"/>
  <c r="E87" i="67" s="1"/>
  <c r="BS36" i="35"/>
  <c r="BS71" i="35" s="1"/>
  <c r="BS34" i="35"/>
  <c r="BS69" i="35" s="1"/>
  <c r="BS32" i="35"/>
  <c r="BS67" i="35" s="1"/>
  <c r="I196" i="67"/>
  <c r="E79" i="67" s="1"/>
  <c r="I210" i="67"/>
  <c r="H79" i="67" s="1"/>
  <c r="CA43" i="4"/>
  <c r="AM29" i="43" s="1"/>
  <c r="BZ43" i="4"/>
  <c r="BZ28" i="38" s="1"/>
  <c r="BZ63" i="38" s="1"/>
  <c r="U224" i="67"/>
  <c r="K91" i="67" s="1"/>
  <c r="U196" i="67"/>
  <c r="E91" i="67" s="1"/>
  <c r="BZ22" i="4"/>
  <c r="BZ22" i="35" s="1"/>
  <c r="BZ57" i="35" s="1"/>
  <c r="BS24" i="35"/>
  <c r="BS59" i="35" s="1"/>
  <c r="BS37" i="35"/>
  <c r="BS72" i="35" s="1"/>
  <c r="V224" i="67"/>
  <c r="K92" i="67" s="1"/>
  <c r="BR55" i="4"/>
  <c r="V210" i="67"/>
  <c r="H92" i="67" s="1"/>
  <c r="M224" i="67"/>
  <c r="K83" i="67" s="1"/>
  <c r="BX75" i="38"/>
  <c r="CA49" i="4"/>
  <c r="S197" i="67" s="1"/>
  <c r="M196" i="67"/>
  <c r="E83" i="67" s="1"/>
  <c r="N210" i="67"/>
  <c r="H84" i="67" s="1"/>
  <c r="N196" i="67"/>
  <c r="E84" i="67" s="1"/>
  <c r="M210" i="67"/>
  <c r="H83" i="67" s="1"/>
  <c r="BS28" i="35"/>
  <c r="BS63" i="35" s="1"/>
  <c r="CA51" i="4"/>
  <c r="U197" i="67" s="1"/>
  <c r="BK36" i="38"/>
  <c r="BK71" i="38" s="1"/>
  <c r="CA47" i="4"/>
  <c r="CA32" i="38" s="1"/>
  <c r="CA67" i="38" s="1"/>
  <c r="BS36" i="33"/>
  <c r="BQ44" i="33" s="1"/>
  <c r="BQ44" i="38" s="1"/>
  <c r="CA24" i="4"/>
  <c r="I211" i="67" s="1"/>
  <c r="BZ24" i="4"/>
  <c r="BZ24" i="38" s="1"/>
  <c r="BZ59" i="38" s="1"/>
  <c r="BY40" i="35"/>
  <c r="BY75" i="35"/>
  <c r="BP75" i="38"/>
  <c r="BS30" i="33"/>
  <c r="BS30" i="38" s="1"/>
  <c r="BS65" i="38" s="1"/>
  <c r="BZ42" i="4"/>
  <c r="AL28" i="43" s="1"/>
  <c r="BS29" i="33"/>
  <c r="BS29" i="38" s="1"/>
  <c r="BS64" i="38" s="1"/>
  <c r="BR34" i="33"/>
  <c r="BR34" i="38" s="1"/>
  <c r="BR69" i="38" s="1"/>
  <c r="BS27" i="33"/>
  <c r="BS27" i="38" s="1"/>
  <c r="BS62" i="38" s="1"/>
  <c r="BS20" i="33"/>
  <c r="BS20" i="38" s="1"/>
  <c r="BS55" i="38" s="1"/>
  <c r="BS75" i="38" s="1"/>
  <c r="BS37" i="33"/>
  <c r="BS37" i="38" s="1"/>
  <c r="BS72" i="38" s="1"/>
  <c r="BS22" i="33"/>
  <c r="BS22" i="38" s="1"/>
  <c r="BS57" i="38" s="1"/>
  <c r="BS24" i="33"/>
  <c r="BS24" i="38" s="1"/>
  <c r="BS59" i="38" s="1"/>
  <c r="BZ113" i="43"/>
  <c r="W67" i="3"/>
  <c r="BZ124" i="43" s="1"/>
  <c r="W66" i="3"/>
  <c r="BZ123" i="43" s="1"/>
  <c r="W62" i="3"/>
  <c r="W52" i="3"/>
  <c r="BZ115" i="43" s="1"/>
  <c r="W51" i="3"/>
  <c r="BZ114" i="43" s="1"/>
  <c r="I63" i="39"/>
  <c r="I20" i="36"/>
  <c r="BY36" i="38"/>
  <c r="BY71" i="38" s="1"/>
  <c r="P210" i="67"/>
  <c r="P196" i="67"/>
  <c r="P224" i="67"/>
  <c r="BS31" i="35"/>
  <c r="BS66" i="35" s="1"/>
  <c r="BP40" i="38"/>
  <c r="BR33" i="33"/>
  <c r="BR33" i="38" s="1"/>
  <c r="BR68" i="38" s="1"/>
  <c r="BR30" i="33"/>
  <c r="BR30" i="38" s="1"/>
  <c r="BR65" i="38" s="1"/>
  <c r="BR22" i="33"/>
  <c r="BR22" i="38" s="1"/>
  <c r="BR57" i="38" s="1"/>
  <c r="BR24" i="33"/>
  <c r="BR24" i="38" s="1"/>
  <c r="BR59" i="38" s="1"/>
  <c r="BR21" i="33"/>
  <c r="BR21" i="38" s="1"/>
  <c r="BR56" i="38" s="1"/>
  <c r="BR23" i="33"/>
  <c r="BR23" i="38" s="1"/>
  <c r="BR58" i="38" s="1"/>
  <c r="BR26" i="33"/>
  <c r="BR26" i="38" s="1"/>
  <c r="BR61" i="38" s="1"/>
  <c r="BR25" i="33"/>
  <c r="BR25" i="38" s="1"/>
  <c r="BR60" i="38" s="1"/>
  <c r="BR20" i="33"/>
  <c r="BR31" i="33"/>
  <c r="BR31" i="38" s="1"/>
  <c r="BR66" i="38" s="1"/>
  <c r="BR32" i="33"/>
  <c r="BR32" i="38" s="1"/>
  <c r="BR67" i="38" s="1"/>
  <c r="L210" i="67"/>
  <c r="H82" i="67" s="1"/>
  <c r="L224" i="67"/>
  <c r="K82" i="67" s="1"/>
  <c r="BS27" i="35"/>
  <c r="BS62" i="35" s="1"/>
  <c r="L196" i="67"/>
  <c r="E82" i="67" s="1"/>
  <c r="AF43" i="43"/>
  <c r="BT44" i="35"/>
  <c r="BT61" i="4"/>
  <c r="BZ44" i="4"/>
  <c r="BZ21" i="4"/>
  <c r="BZ23" i="4"/>
  <c r="BZ46" i="4"/>
  <c r="BZ20" i="4"/>
  <c r="BZ45" i="4"/>
  <c r="BZ47" i="4"/>
  <c r="BZ48" i="4"/>
  <c r="BZ25" i="4"/>
  <c r="W196" i="67"/>
  <c r="E93" i="67" s="1"/>
  <c r="W224" i="67"/>
  <c r="K93" i="67" s="1"/>
  <c r="W210" i="67"/>
  <c r="H93" i="67" s="1"/>
  <c r="BS38" i="35"/>
  <c r="BS73" i="35" s="1"/>
  <c r="BS23" i="33"/>
  <c r="BS23" i="38" s="1"/>
  <c r="BS58" i="38" s="1"/>
  <c r="G65" i="39"/>
  <c r="G71" i="36"/>
  <c r="BZ41" i="4"/>
  <c r="BZ49" i="4"/>
  <c r="K196" i="67"/>
  <c r="E81" i="67" s="1"/>
  <c r="K210" i="67"/>
  <c r="H81" i="67" s="1"/>
  <c r="K224" i="67"/>
  <c r="K81" i="67" s="1"/>
  <c r="BS26" i="35"/>
  <c r="BS61" i="35" s="1"/>
  <c r="H89" i="67"/>
  <c r="BY40" i="33"/>
  <c r="CA37" i="33" s="1"/>
  <c r="CA37" i="38" s="1"/>
  <c r="CA72" i="38" s="1"/>
  <c r="G196" i="67"/>
  <c r="G224" i="67"/>
  <c r="G210" i="67"/>
  <c r="BS22" i="35"/>
  <c r="BS57" i="35" s="1"/>
  <c r="R224" i="67"/>
  <c r="R210" i="67"/>
  <c r="R196" i="67"/>
  <c r="E88" i="67" s="1"/>
  <c r="BS33" i="35"/>
  <c r="BS68" i="35" s="1"/>
  <c r="BR55" i="35"/>
  <c r="BR75" i="35" s="1"/>
  <c r="BR40" i="35"/>
  <c r="BL44" i="38"/>
  <c r="BL46" i="33"/>
  <c r="BL46" i="38" s="1"/>
  <c r="BR28" i="33"/>
  <c r="BR28" i="38" s="1"/>
  <c r="BR63" i="38" s="1"/>
  <c r="BS55" i="4"/>
  <c r="BS20" i="35"/>
  <c r="BY37" i="38"/>
  <c r="BY72" i="38" s="1"/>
  <c r="H224" i="67"/>
  <c r="K78" i="67" s="1"/>
  <c r="H196" i="67"/>
  <c r="E78" i="67" s="1"/>
  <c r="H210" i="67"/>
  <c r="H78" i="67" s="1"/>
  <c r="BS23" i="35"/>
  <c r="BS58" i="35" s="1"/>
  <c r="BR29" i="33"/>
  <c r="BR29" i="38" s="1"/>
  <c r="BR64" i="38" s="1"/>
  <c r="BK20" i="38"/>
  <c r="BK55" i="38" s="1"/>
  <c r="BK75" i="38" s="1"/>
  <c r="BK40" i="33"/>
  <c r="BK40" i="38" s="1"/>
  <c r="H68" i="36"/>
  <c r="H69" i="36"/>
  <c r="L7" i="4"/>
  <c r="L8" i="35" s="1"/>
  <c r="N10" i="4"/>
  <c r="N11" i="35" s="1"/>
  <c r="N8" i="4"/>
  <c r="N9" i="35" s="1"/>
  <c r="L8" i="4"/>
  <c r="L9" i="35" s="1"/>
  <c r="BT62" i="4"/>
  <c r="BT47" i="35" s="1"/>
  <c r="CA53" i="4"/>
  <c r="L5" i="4"/>
  <c r="L6" i="35" s="1"/>
  <c r="L9" i="4"/>
  <c r="L10" i="35" s="1"/>
  <c r="N9" i="4"/>
  <c r="N10" i="35" s="1"/>
  <c r="N7" i="4"/>
  <c r="N8" i="35" s="1"/>
  <c r="L10" i="4"/>
  <c r="L11" i="35" s="1"/>
  <c r="N5" i="4"/>
  <c r="N6" i="35" s="1"/>
  <c r="L6" i="4"/>
  <c r="L7" i="35" s="1"/>
  <c r="N6" i="4"/>
  <c r="N7" i="35" s="1"/>
  <c r="CA23" i="4"/>
  <c r="CA42" i="4"/>
  <c r="CA20" i="4"/>
  <c r="CA21" i="4"/>
  <c r="CA41" i="4"/>
  <c r="CA44" i="4"/>
  <c r="CA46" i="4"/>
  <c r="CA25" i="4"/>
  <c r="CA48" i="4"/>
  <c r="CA45" i="4"/>
  <c r="CA22" i="4"/>
  <c r="CA52" i="4"/>
  <c r="BX75" i="35"/>
  <c r="AC45" i="43"/>
  <c r="AE45" i="43" s="1"/>
  <c r="BL46" i="35"/>
  <c r="BR119" i="43"/>
  <c r="P83" i="3"/>
  <c r="P69" i="3"/>
  <c r="O196" i="67"/>
  <c r="E85" i="67" s="1"/>
  <c r="O210" i="67"/>
  <c r="H85" i="67" s="1"/>
  <c r="O224" i="67"/>
  <c r="K85" i="67" s="1"/>
  <c r="BS30" i="35"/>
  <c r="BS65" i="35" s="1"/>
  <c r="BQ75" i="38"/>
  <c r="I56" i="36"/>
  <c r="I67" i="36"/>
  <c r="I55" i="36"/>
  <c r="BK55" i="35"/>
  <c r="BK75" i="35" s="1"/>
  <c r="BK40" i="35"/>
  <c r="H58" i="36"/>
  <c r="H59" i="36" s="1"/>
  <c r="H57" i="36"/>
  <c r="H64" i="36" s="1"/>
  <c r="J210" i="67"/>
  <c r="H80" i="67" s="1"/>
  <c r="J196" i="67"/>
  <c r="E80" i="67" s="1"/>
  <c r="J224" i="67"/>
  <c r="K80" i="67" s="1"/>
  <c r="BS25" i="35"/>
  <c r="BS60" i="35" s="1"/>
  <c r="BJ40" i="35"/>
  <c r="BJ55" i="35"/>
  <c r="BJ75" i="35" s="1"/>
  <c r="BX40" i="35"/>
  <c r="J62" i="39"/>
  <c r="J18" i="36"/>
  <c r="J19" i="36"/>
  <c r="J54" i="36"/>
  <c r="J27" i="36"/>
  <c r="K17" i="36"/>
  <c r="BX40" i="33"/>
  <c r="BZ27" i="33" s="1"/>
  <c r="BQ40" i="38"/>
  <c r="BL47" i="33"/>
  <c r="BL47" i="38" s="1"/>
  <c r="BS38" i="33"/>
  <c r="BS38" i="38" s="1"/>
  <c r="BS73" i="38" s="1"/>
  <c r="BT44" i="33"/>
  <c r="BS34" i="33"/>
  <c r="BS34" i="38" s="1"/>
  <c r="BS69" i="38" s="1"/>
  <c r="BS26" i="33"/>
  <c r="BS26" i="38" s="1"/>
  <c r="BS61" i="38" s="1"/>
  <c r="BS33" i="33"/>
  <c r="BS33" i="38" s="1"/>
  <c r="BS68" i="38" s="1"/>
  <c r="BS32" i="33"/>
  <c r="BS32" i="38" s="1"/>
  <c r="BS67" i="38" s="1"/>
  <c r="BS31" i="33"/>
  <c r="BS31" i="38" s="1"/>
  <c r="BS66" i="38" s="1"/>
  <c r="BS25" i="33"/>
  <c r="BS25" i="38" s="1"/>
  <c r="BS60" i="38" s="1"/>
  <c r="BS21" i="33"/>
  <c r="BS21" i="38" s="1"/>
  <c r="BS56" i="38" s="1"/>
  <c r="J28" i="36" l="1"/>
  <c r="J31" i="36"/>
  <c r="J32" i="36" s="1"/>
  <c r="CA28" i="35"/>
  <c r="CA63" i="35" s="1"/>
  <c r="M225" i="67"/>
  <c r="M197" i="67"/>
  <c r="CA28" i="38"/>
  <c r="CA63" i="38" s="1"/>
  <c r="M211" i="67"/>
  <c r="N197" i="67"/>
  <c r="N211" i="67"/>
  <c r="N225" i="67"/>
  <c r="BZ28" i="35"/>
  <c r="BZ63" i="35" s="1"/>
  <c r="AL23" i="43"/>
  <c r="BZ22" i="38"/>
  <c r="BZ57" i="38" s="1"/>
  <c r="AL29" i="43"/>
  <c r="CA34" i="35"/>
  <c r="CA69" i="35" s="1"/>
  <c r="CA34" i="38"/>
  <c r="CA69" i="38" s="1"/>
  <c r="S225" i="67"/>
  <c r="Q225" i="67"/>
  <c r="Q197" i="67"/>
  <c r="Q211" i="67"/>
  <c r="H87" i="67" s="1"/>
  <c r="AM33" i="43"/>
  <c r="CA36" i="35"/>
  <c r="CA71" i="35" s="1"/>
  <c r="S211" i="67"/>
  <c r="AM35" i="43"/>
  <c r="CA32" i="35"/>
  <c r="CA67" i="35" s="1"/>
  <c r="AM37" i="43"/>
  <c r="U211" i="67"/>
  <c r="U225" i="67"/>
  <c r="BZ24" i="35"/>
  <c r="BZ59" i="35" s="1"/>
  <c r="CA24" i="38"/>
  <c r="CA59" i="38" s="1"/>
  <c r="AL25" i="43"/>
  <c r="CA24" i="35"/>
  <c r="CA59" i="35" s="1"/>
  <c r="I225" i="67"/>
  <c r="I197" i="67"/>
  <c r="BS36" i="38"/>
  <c r="BS71" i="38" s="1"/>
  <c r="AM25" i="43"/>
  <c r="BS40" i="33"/>
  <c r="BS40" i="38" s="1"/>
  <c r="BY75" i="38"/>
  <c r="BZ27" i="38"/>
  <c r="BZ62" i="38" s="1"/>
  <c r="BZ27" i="35"/>
  <c r="BZ62" i="35" s="1"/>
  <c r="CA27" i="33"/>
  <c r="CA22" i="33"/>
  <c r="BZ34" i="33"/>
  <c r="BZ29" i="33"/>
  <c r="CA36" i="33"/>
  <c r="BY44" i="33" s="1"/>
  <c r="BY44" i="38" s="1"/>
  <c r="BZ28" i="33"/>
  <c r="CA30" i="33"/>
  <c r="CA28" i="33"/>
  <c r="CA23" i="33"/>
  <c r="BS55" i="35"/>
  <c r="BS75" i="35" s="1"/>
  <c r="BS40" i="35"/>
  <c r="AL33" i="43"/>
  <c r="BZ32" i="38"/>
  <c r="BZ67" i="38" s="1"/>
  <c r="BZ32" i="35"/>
  <c r="BZ67" i="35" s="1"/>
  <c r="AL31" i="43"/>
  <c r="BZ30" i="38"/>
  <c r="BZ65" i="38" s="1"/>
  <c r="BZ30" i="35"/>
  <c r="BZ65" i="35" s="1"/>
  <c r="BZ119" i="43"/>
  <c r="U83" i="3"/>
  <c r="U69" i="3"/>
  <c r="I68" i="36"/>
  <c r="I69" i="36"/>
  <c r="H88" i="67"/>
  <c r="K88" i="67"/>
  <c r="AL27" i="43"/>
  <c r="BZ26" i="35"/>
  <c r="BZ61" i="35" s="1"/>
  <c r="BZ26" i="38"/>
  <c r="BZ61" i="38" s="1"/>
  <c r="J63" i="39"/>
  <c r="J20" i="36"/>
  <c r="AM34" i="43"/>
  <c r="R225" i="67"/>
  <c r="R211" i="67"/>
  <c r="R197" i="67"/>
  <c r="CA33" i="35"/>
  <c r="CA68" i="35" s="1"/>
  <c r="CA33" i="38"/>
  <c r="CA68" i="38" s="1"/>
  <c r="BT46" i="33"/>
  <c r="BT46" i="38" s="1"/>
  <c r="BT44" i="38"/>
  <c r="AM26" i="43"/>
  <c r="J197" i="67"/>
  <c r="J225" i="67"/>
  <c r="J211" i="67"/>
  <c r="CA25" i="38"/>
  <c r="CA60" i="38" s="1"/>
  <c r="CA25" i="35"/>
  <c r="CA60" i="35" s="1"/>
  <c r="AF45" i="43"/>
  <c r="BT46" i="35"/>
  <c r="AM32" i="43"/>
  <c r="P211" i="67"/>
  <c r="H86" i="67" s="1"/>
  <c r="P225" i="67"/>
  <c r="K86" i="67" s="1"/>
  <c r="P197" i="67"/>
  <c r="E86" i="67" s="1"/>
  <c r="CA31" i="38"/>
  <c r="CA66" i="38" s="1"/>
  <c r="CA31" i="35"/>
  <c r="CA66" i="35" s="1"/>
  <c r="AM30" i="43"/>
  <c r="CA29" i="38"/>
  <c r="CA64" i="38" s="1"/>
  <c r="CA29" i="35"/>
  <c r="CA64" i="35" s="1"/>
  <c r="AM27" i="43"/>
  <c r="K211" i="67"/>
  <c r="K197" i="67"/>
  <c r="K225" i="67"/>
  <c r="CA26" i="35"/>
  <c r="CA61" i="35" s="1"/>
  <c r="CA26" i="38"/>
  <c r="CA61" i="38" s="1"/>
  <c r="CA29" i="33"/>
  <c r="BX40" i="38"/>
  <c r="BZ33" i="33"/>
  <c r="BZ30" i="33"/>
  <c r="BZ24" i="33"/>
  <c r="BZ22" i="33"/>
  <c r="BZ25" i="33"/>
  <c r="BZ20" i="33"/>
  <c r="BZ32" i="33"/>
  <c r="BZ26" i="33"/>
  <c r="BZ23" i="33"/>
  <c r="BZ31" i="33"/>
  <c r="BZ21" i="33"/>
  <c r="AM22" i="43"/>
  <c r="CA21" i="35"/>
  <c r="CA56" i="35" s="1"/>
  <c r="CA21" i="38"/>
  <c r="CA56" i="38" s="1"/>
  <c r="CA20" i="33"/>
  <c r="AM21" i="43"/>
  <c r="AM40" i="43" s="1"/>
  <c r="CA20" i="38"/>
  <c r="CA55" i="38" s="1"/>
  <c r="CA75" i="38" s="1"/>
  <c r="D12" i="36"/>
  <c r="CA20" i="35"/>
  <c r="CA55" i="4"/>
  <c r="AL34" i="43"/>
  <c r="BZ33" i="38"/>
  <c r="BZ68" i="38" s="1"/>
  <c r="BZ33" i="35"/>
  <c r="BZ68" i="35" s="1"/>
  <c r="Y210" i="67"/>
  <c r="Y224" i="67"/>
  <c r="Y196" i="67"/>
  <c r="J56" i="36"/>
  <c r="J67" i="36"/>
  <c r="J55" i="36"/>
  <c r="AM23" i="43"/>
  <c r="G211" i="67"/>
  <c r="G197" i="67"/>
  <c r="G225" i="67"/>
  <c r="CA22" i="38"/>
  <c r="CA57" i="38" s="1"/>
  <c r="CA22" i="35"/>
  <c r="CA57" i="35" s="1"/>
  <c r="AL22" i="43"/>
  <c r="BZ21" i="35"/>
  <c r="BZ56" i="35" s="1"/>
  <c r="BZ21" i="38"/>
  <c r="BZ56" i="38" s="1"/>
  <c r="I57" i="36"/>
  <c r="I64" i="36" s="1"/>
  <c r="I58" i="36"/>
  <c r="I59" i="36" s="1"/>
  <c r="AM31" i="43"/>
  <c r="O225" i="67"/>
  <c r="O197" i="67"/>
  <c r="O211" i="67"/>
  <c r="CA30" i="38"/>
  <c r="CA65" i="38" s="1"/>
  <c r="CA30" i="35"/>
  <c r="CA65" i="35" s="1"/>
  <c r="AL30" i="43"/>
  <c r="BZ29" i="35"/>
  <c r="BZ64" i="35" s="1"/>
  <c r="BZ29" i="38"/>
  <c r="BZ64" i="38" s="1"/>
  <c r="BR20" i="38"/>
  <c r="BR55" i="38" s="1"/>
  <c r="BR75" i="38" s="1"/>
  <c r="BR40" i="33"/>
  <c r="BR40" i="38" s="1"/>
  <c r="W211" i="67"/>
  <c r="W225" i="67"/>
  <c r="W197" i="67"/>
  <c r="CA38" i="35"/>
  <c r="CA73" i="35" s="1"/>
  <c r="BY40" i="38"/>
  <c r="BT47" i="33"/>
  <c r="BT47" i="38" s="1"/>
  <c r="L6" i="33"/>
  <c r="L6" i="38" s="1"/>
  <c r="N8" i="33"/>
  <c r="N8" i="38" s="1"/>
  <c r="L9" i="33"/>
  <c r="L9" i="38" s="1"/>
  <c r="N9" i="33"/>
  <c r="N9" i="38" s="1"/>
  <c r="N10" i="33"/>
  <c r="N10" i="38" s="1"/>
  <c r="L7" i="33"/>
  <c r="L7" i="38" s="1"/>
  <c r="N6" i="33"/>
  <c r="N6" i="38" s="1"/>
  <c r="N11" i="33"/>
  <c r="N11" i="38" s="1"/>
  <c r="L10" i="33"/>
  <c r="L10" i="38" s="1"/>
  <c r="L11" i="33"/>
  <c r="L11" i="38" s="1"/>
  <c r="L8" i="33"/>
  <c r="L8" i="38" s="1"/>
  <c r="CA38" i="33"/>
  <c r="CA38" i="38" s="1"/>
  <c r="CA73" i="38" s="1"/>
  <c r="N7" i="33"/>
  <c r="N7" i="38" s="1"/>
  <c r="CA34" i="33"/>
  <c r="CA33" i="33"/>
  <c r="CA21" i="33"/>
  <c r="CA32" i="33"/>
  <c r="CA31" i="33"/>
  <c r="CA25" i="33"/>
  <c r="CA26" i="33"/>
  <c r="CA24" i="33"/>
  <c r="AM28" i="43"/>
  <c r="L211" i="67"/>
  <c r="L225" i="67"/>
  <c r="L197" i="67"/>
  <c r="CA27" i="35"/>
  <c r="CA62" i="35" s="1"/>
  <c r="CA27" i="38"/>
  <c r="CA62" i="38" s="1"/>
  <c r="H65" i="39"/>
  <c r="H71" i="36"/>
  <c r="AL26" i="43"/>
  <c r="BZ25" i="35"/>
  <c r="BZ60" i="35" s="1"/>
  <c r="BZ25" i="38"/>
  <c r="BZ60" i="38" s="1"/>
  <c r="AM24" i="43"/>
  <c r="H211" i="67"/>
  <c r="H225" i="67"/>
  <c r="H197" i="67"/>
  <c r="CA23" i="35"/>
  <c r="CA58" i="35" s="1"/>
  <c r="CA23" i="38"/>
  <c r="CA58" i="38" s="1"/>
  <c r="AL35" i="43"/>
  <c r="BZ34" i="38"/>
  <c r="BZ69" i="38" s="1"/>
  <c r="BZ34" i="35"/>
  <c r="BZ69" i="35" s="1"/>
  <c r="AL21" i="43"/>
  <c r="AL40" i="43" s="1"/>
  <c r="D11" i="36"/>
  <c r="BZ20" i="38"/>
  <c r="BZ55" i="38" s="1"/>
  <c r="BZ75" i="38" s="1"/>
  <c r="BZ55" i="4"/>
  <c r="BZ20" i="35"/>
  <c r="K62" i="39"/>
  <c r="K54" i="36"/>
  <c r="K19" i="36"/>
  <c r="K27" i="36"/>
  <c r="L17" i="36"/>
  <c r="K18" i="36"/>
  <c r="AL32" i="43"/>
  <c r="BZ31" i="38"/>
  <c r="BZ66" i="38" s="1"/>
  <c r="BZ31" i="35"/>
  <c r="BZ66" i="35" s="1"/>
  <c r="AM38" i="43"/>
  <c r="V197" i="67"/>
  <c r="V211" i="67"/>
  <c r="V225" i="67"/>
  <c r="CA37" i="35"/>
  <c r="CA72" i="35" s="1"/>
  <c r="AL24" i="43"/>
  <c r="BZ23" i="35"/>
  <c r="BZ58" i="35" s="1"/>
  <c r="BZ23" i="38"/>
  <c r="BZ58" i="38" s="1"/>
  <c r="K28" i="36" l="1"/>
  <c r="K31" i="36"/>
  <c r="K32" i="36" s="1"/>
  <c r="CA36" i="38"/>
  <c r="CA71" i="38" s="1"/>
  <c r="Y197" i="67"/>
  <c r="Y225" i="67"/>
  <c r="Y211" i="67"/>
  <c r="K29" i="36"/>
  <c r="K30" i="36" s="1"/>
  <c r="J29" i="36"/>
  <c r="J30" i="36" s="1"/>
  <c r="I29" i="36"/>
  <c r="I30" i="36" s="1"/>
  <c r="H29" i="36"/>
  <c r="G29" i="36"/>
  <c r="F29" i="36"/>
  <c r="E29" i="36"/>
  <c r="D29" i="36"/>
  <c r="K63" i="39"/>
  <c r="K20" i="36"/>
  <c r="K95" i="67"/>
  <c r="H95" i="67"/>
  <c r="E95" i="67"/>
  <c r="I65" i="39"/>
  <c r="I71" i="36"/>
  <c r="D45" i="36"/>
  <c r="E45" i="36" s="1"/>
  <c r="BZ40" i="33"/>
  <c r="BZ40" i="38" s="1"/>
  <c r="CA40" i="35"/>
  <c r="CA55" i="35"/>
  <c r="CA75" i="35" s="1"/>
  <c r="L62" i="39"/>
  <c r="L19" i="36"/>
  <c r="L27" i="36"/>
  <c r="L54" i="36"/>
  <c r="L18" i="36"/>
  <c r="D46" i="36"/>
  <c r="E46" i="36" s="1"/>
  <c r="CA40" i="33"/>
  <c r="CA40" i="38" s="1"/>
  <c r="K56" i="36"/>
  <c r="K55" i="36"/>
  <c r="K67" i="36"/>
  <c r="J68" i="36"/>
  <c r="J69" i="36"/>
  <c r="BZ40" i="35"/>
  <c r="BZ55" i="35"/>
  <c r="BZ75" i="35" s="1"/>
  <c r="J57" i="36"/>
  <c r="J64" i="36" s="1"/>
  <c r="J58" i="36"/>
  <c r="J59" i="36" s="1"/>
  <c r="L28" i="36" l="1"/>
  <c r="L31" i="36"/>
  <c r="L32" i="36" s="1"/>
  <c r="I72" i="36"/>
  <c r="L29" i="36"/>
  <c r="L30" i="36" s="1"/>
  <c r="I70" i="36"/>
  <c r="I77" i="36" s="1"/>
  <c r="L56" i="36"/>
  <c r="L55" i="36"/>
  <c r="L67" i="36"/>
  <c r="D30" i="36"/>
  <c r="D72" i="36" s="1"/>
  <c r="D70" i="36"/>
  <c r="D77" i="36" s="1"/>
  <c r="E30" i="36"/>
  <c r="E72" i="36" s="1"/>
  <c r="E70" i="36"/>
  <c r="E77" i="36" s="1"/>
  <c r="L63" i="39"/>
  <c r="L20" i="36"/>
  <c r="F30" i="36"/>
  <c r="F72" i="36" s="1"/>
  <c r="F70" i="36"/>
  <c r="F77" i="36" s="1"/>
  <c r="G30" i="36"/>
  <c r="G72" i="36" s="1"/>
  <c r="G70" i="36"/>
  <c r="G77" i="36" s="1"/>
  <c r="H30" i="36"/>
  <c r="H72" i="36" s="1"/>
  <c r="H70" i="36"/>
  <c r="H77" i="36" s="1"/>
  <c r="J65" i="39"/>
  <c r="J71" i="36"/>
  <c r="J72" i="36" s="1"/>
  <c r="J70" i="36"/>
  <c r="J77" i="36" s="1"/>
  <c r="K68" i="36"/>
  <c r="K69" i="36"/>
  <c r="K58" i="36"/>
  <c r="K59" i="36" s="1"/>
  <c r="K57" i="36"/>
  <c r="K64" i="36" s="1"/>
  <c r="L58" i="36" l="1"/>
  <c r="L59" i="36" s="1"/>
  <c r="L57" i="36"/>
  <c r="L64" i="36" s="1"/>
  <c r="K65" i="39"/>
  <c r="K70" i="36"/>
  <c r="K77" i="36" s="1"/>
  <c r="K71" i="36"/>
  <c r="K72" i="36" s="1"/>
  <c r="L69" i="36"/>
  <c r="L68" i="36"/>
  <c r="L65" i="39" l="1"/>
  <c r="L70" i="36"/>
  <c r="L77" i="36" s="1"/>
  <c r="L71" i="36"/>
  <c r="L72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Bookey, Jack</author>
  </authors>
  <commentList>
    <comment ref="A1" authorId="0" shapeId="0" xr:uid="{CDD7AFFF-023C-48FC-8C54-4405FBB674DE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Timestamp="1756019270"&gt;&lt;FQL&gt;&lt;Q&gt;CRM^PROPER_NAME(0,,,"SECURITY","NAME")&lt;/Q&gt;&lt;R&gt;1&lt;/R&gt;&lt;C&gt;1&lt;/C&gt;&lt;D xsi:type="xsd:string"&gt;salesforce.com, inc.&lt;/D&gt;&lt;/FQL&gt;&lt;FQL&gt;&lt;Q&gt;NOW^PROPER_NAME(0,,,"SECURITY","NAME")&lt;/Q&gt;&lt;R&gt;1&lt;/R&gt;&lt;C&gt;1&lt;/C&gt;&lt;D xsi:type="xsd:string"&gt;ServiceNow, Inc.&lt;/D&gt;&lt;/FQL&gt;&lt;FQL&gt;&lt;Q&gt;WDAY^PROPER_NAME(0,,,"SECURITY","NAME")&lt;/Q&gt;&lt;R&gt;1&lt;/R&gt;&lt;C&gt;1&lt;/C&gt;&lt;D xsi:type="xsd:string"&gt;Workday, Inc. Class A&lt;/D&gt;&lt;/FQL&gt;&lt;FQL&gt;&lt;Q&gt;PFPT^PROPER_NAME(0,,,"SECURITY","NAME")&lt;/Q&gt;&lt;R&gt;1&lt;/R&gt;&lt;C&gt;1&lt;/C&gt;&lt;D xsi:type="xsd:string"&gt;Proofpoint, Inc.&lt;/D&gt;&lt;/FQL&gt;&lt;FQL&gt;&lt;Q&gt;CSOD^PROPER_NAME(0,,,"SECURITY","NAME")&lt;/Q&gt;&lt;R&gt;1&lt;/R&gt;&lt;C&gt;1&lt;/C&gt;&lt;D xsi:type="xsd:string"&gt;Cornerstone Ondemand, Inc.&lt;/D&gt;&lt;/FQL&gt;&lt;FQL&gt;&lt;Q&gt;CLDR^PROPER_NAME(0,,,"SECURITY","NAME")&lt;/Q&gt;&lt;R&gt;1&lt;/R&gt;&lt;C&gt;1&lt;/C&gt;&lt;D xsi:type="xsd:string"&gt;Cloudera, Inc.&lt;/D&gt;&lt;/FQL&gt;&lt;FQL&gt;&lt;Q&gt;CARB^PROPER_NAME(0,,,"SECURITY","NAME")&lt;/Q&gt;&lt;R&gt;1&lt;/R&gt;&lt;C&gt;1&lt;/C&gt;&lt;D xsi:type="xsd:string"&gt;Carbonite, Inc.&lt;/D&gt;&lt;/FQL&gt;&lt;FQL&gt;&lt;Q&gt;FB^FG_COMPANY_NAME&lt;/Q&gt;&lt;R&gt;1&lt;/R&gt;&lt;C&gt;1&lt;/C&gt;&lt;D xsi:type="xsd:string"&gt;Facebook, Inc. Class A&lt;/D&gt;&lt;/FQL&gt;&lt;FQL&gt;&lt;Q&gt;GOOG^FG_COMPANY_NAME&lt;/Q&gt;&lt;R&gt;1&lt;/R&gt;&lt;C&gt;1&lt;/C&gt;&lt;D xsi:type="xsd:string"&gt;Alphabet Inc. Class C&lt;/D&gt;&lt;/FQL&gt;&lt;FQL&gt;&lt;Q&gt;WMT^FG_COMPANY_NAME&lt;/Q&gt;&lt;R&gt;1&lt;/R&gt;&lt;C&gt;1&lt;/C&gt;&lt;D xsi:type="xsd:string"&gt;Walmart Inc.&lt;/D&gt;&lt;/FQL&gt;&lt;FQL&gt;&lt;Q&gt;SNAP^FG_COMPANY_NAME&lt;/Q&gt;&lt;R&gt;1&lt;/R&gt;&lt;C&gt;1&lt;/C&gt;&lt;D xsi:type="xsd:string"&gt;Snap, Inc. Class A&lt;/D&gt;&lt;/FQL&gt;&lt;FQL&gt;&lt;Q&gt;AMZN^FG_COMPANY_NAME&lt;/Q&gt;&lt;R&gt;1&lt;/R&gt;&lt;C&gt;1&lt;/C&gt;&lt;D xsi:type="xsd:string"&gt;Amazon.com, Inc.&lt;/D&gt;&lt;/FQL&gt;&lt;FQL&gt;&lt;Q&gt;AAPL^FG_COMPANY_NAME&lt;/Q&gt;&lt;R&gt;1&lt;/R&gt;&lt;C&gt;1&lt;/C&gt;&lt;D xsi:type="xsd:string"&gt;Apple Inc.&lt;/D&gt;&lt;/FQL&gt;&lt;FQL&gt;&lt;Q&gt;^FG_COMPANY_NAME&lt;/Q&gt;&lt;R&gt;0&lt;/R&gt;&lt;C&gt;0&lt;/C&gt;&lt;/FQL&gt;&lt;FQL&gt;&lt;Q&gt;FB^FG_PRICE(NOW)&lt;/Q&gt;&lt;R&gt;1&lt;/R&gt;&lt;C&gt;1&lt;/C&gt;&lt;D xsi:type="xsd:double"&gt;177.51&lt;/D&gt;&lt;/FQL&gt;&lt;FQL&gt;&lt;Q&gt;GOOG^FG_PRICE(NOW)&lt;/Q&gt;&lt;R&gt;1&lt;/R&gt;&lt;C&gt;1&lt;/C&gt;&lt;D xsi:type="xsd:double"&gt;1204.62&lt;/D&gt;&lt;/FQL&gt;&lt;FQL&gt;&lt;Q&gt;WMT^FG_PRICE(NOW)&lt;/Q&gt;&lt;R&gt;1&lt;/R&gt;&lt;C&gt;1&lt;/C&gt;&lt;D xsi:type="xsd:double"&gt;100.8&lt;/D&gt;&lt;/FQL&gt;&lt;FQL&gt;&lt;Q&gt;SNAP^FG_PRICE(NOW)&lt;/Q&gt;&lt;R&gt;1&lt;/R&gt;&lt;C&gt;1&lt;/C&gt;&lt;D xsi:type="xsd:double"&gt;11.9&lt;/D&gt;&lt;/FQL&gt;&lt;FQL&gt;&lt;Q&gt;AMZN^FG_PRICE(NOW)&lt;/Q&gt;&lt;R&gt;1&lt;/R&gt;&lt;C&gt;1&lt;/C&gt;&lt;D xsi:type="xsd:double"&gt;1844.07&lt;/D&gt;&lt;/FQL&gt;&lt;FQL&gt;&lt;Q&gt;AAPL^FG_PRICE(NOW)&lt;/Q&gt;&lt;R&gt;1&lt;/R&gt;&lt;C&gt;1&lt;/C&gt;&lt;D xsi:type="xsd:double"&gt;198.95&lt;/D&gt;&lt;/FQL&gt;&lt;FQL&gt;&lt;Q&gt;^FG_PRICE(NOW)&lt;/Q&gt;&lt;R&gt;0&lt;/R&gt;&lt;C&gt;0&lt;/C&gt;&lt;/FQL&gt;&lt;FQL&gt;&lt;Q&gt;FB^FG_MKT_VALUE(NOW)&lt;/Q&gt;&lt;R&gt;1&lt;/R&gt;&lt;C&gt;1&lt;/C&gt;&lt;D xsi:type="xsd:double"&gt;506611&lt;/D&gt;&lt;/FQL&gt;&lt;FQL&gt;&lt;Q&gt;FB^FF_ENTRPR_VAL_DAILY(NOW,,,,,"DIL")&lt;/Q&gt;&lt;R&gt;1&lt;/R&gt;&lt;C&gt;1&lt;/C&gt;&lt;D xsi:type="xsd:double"&gt;477882.71&lt;/D&gt;&lt;/FQL&gt;&lt;FQL&gt;&lt;Q&gt;GOOG^FG_MKT_VALUE(NOW)&lt;/Q&gt;&lt;R&gt;1&lt;/R&gt;&lt;C&gt;1&lt;/C&gt;&lt;D xsi:type="xsd:double"&gt;837556.6&lt;/D&gt;&lt;/FQL&gt;&lt;FQL&gt;&lt;Q&gt;GOOG^FF_ENTRPR_VAL_DAILY(NOW,,,,,"DIL")&lt;/Q&gt;&lt;R&gt;1&lt;/R&gt;&lt;C&gt;1&lt;/C&gt;&lt;D xsi:type="xsd:double"&gt;745558.50314999989&lt;/D&gt;&lt;/FQL&gt;&lt;FQL&gt;&lt;Q&gt;WMT^FG_MKT_VALUE(NOW)&lt;/Q&gt;&lt;R&gt;1&lt;/R&gt;&lt;C&gt;1&lt;/C&gt;&lt;D xsi:type="xsd:double"&gt;289263.75&lt;/D&gt;&lt;/FQL&gt;&lt;FQL&gt;&lt;Q&gt;WMT^FF_ENTRPR_VAL_DAILY(NOW,,,,,"DIL")&lt;/Q&gt;&lt;R&gt;1&lt;/R&gt;&lt;C&gt;1&lt;/C&gt;&lt;D xsi:type="xsd:double"&gt;354271&lt;/D&gt;&lt;/FQL&gt;&lt;FQL&gt;&lt;Q&gt;SNAP^FG_MKT_VALUE(NOW)&lt;/Q&gt;&lt;R&gt;1&lt;/R&gt;&lt;C&gt;1&lt;/C&gt;&lt;D xsi:type="xsd:double"&gt;16223.108&lt;/D&gt;&lt;/FQL&gt;&lt;FQL&gt;&lt;Q&gt;SNAP^FF_ENTRPR_VAL_DAILY(NOW,,,,,"DIL")&lt;/Q&gt;&lt;R&gt;1&lt;/R&gt;&lt;C&gt;1&lt;/C&gt;&lt;D xsi:type="xsd:double"&gt;14214.4962&lt;/D&gt;&lt;/FQL&gt;&lt;FQL&gt;&lt;Q&gt;AMZN^FG_MKT_VALUE(NOW)&lt;/Q&gt;&lt;R&gt;1&lt;/R&gt;&lt;C&gt;1&lt;/C&gt;&lt;D xsi:type="xsd:double"&gt;905812.7&lt;/D&gt;&lt;/FQL&gt;&lt;FQL&gt;&lt;Q&gt;AMZN^FF_ENTRPR_VAL_DAILY(NOW,,,,,"DIL")&lt;/Q&gt;&lt;R&gt;1&lt;/R&gt;&lt;C&gt;1&lt;/C&gt;&lt;D xsi:type="xsd:double"&gt;929648&lt;/D&gt;&lt;/FQL&gt;&lt;FQL&gt;&lt;Q&gt;AAPL^FG_MKT_VALUE(NOW)&lt;/Q&gt;&lt;R&gt;1&lt;/R&gt;&lt;C&gt;1&lt;/C&gt;&lt;D xsi:type="xsd:double"&gt;938104.9&lt;/D&gt;&lt;/FQL&gt;&lt;FQL&gt;&lt;Q&gt;AAPL^FF_ENTRPR_VAL_DAILY(NOW,,,,,"DIL")&lt;/Q&gt;&lt;R&gt;1&lt;/R&gt;&lt;C&gt;1&lt;/C&gt;&lt;D xsi:type="xsd:double"&gt;977941.4854&lt;/D&gt;&lt;/FQL&gt;&lt;FQL&gt;&lt;Q&gt;^FG_MKT_VALUE(NOW)&lt;/Q&gt;&lt;R&gt;0&lt;/R&gt;&lt;C&gt;0&lt;/C&gt;&lt;/FQL&gt;&lt;FQL&gt;&lt;Q&gt;^FF_ENTRPR_VAL_DAILY(NOW,,,,,"DIL")&lt;/Q&gt;&lt;R&gt;0&lt;/R&gt;&lt;C&gt;0&lt;/C&gt;&lt;/FQL&gt;&lt;FQL&gt;&lt;Q&gt;FB^FF_SALES(ANN_R,2017&lt;/Q&gt;&lt;R&gt;1&lt;/R&gt;&lt;C&gt;1&lt;/C&gt;&lt;D xsi:type="xsd:string"&gt;#NUM&lt;/D&gt;&lt;/FQL&gt;&lt;FQL&gt;&lt;Q&gt;CARB^P_PRICE_HIGH_PR(43566,,,USD,,,"PRICE","INTRA","52W")&lt;/Q&gt;&lt;R&gt;1&lt;/R&gt;&lt;C&gt;1&lt;/C&gt;&lt;D xsi:type="xsd:double"&gt;43.625&lt;/D&gt;&lt;/FQL&gt;&lt;FQL&gt;&lt;Q&gt;CLDR^P_PRICE_HIGH_PR(43566,,,USD,,,"PRICE","INTRA","52W")&lt;/Q&gt;&lt;R&gt;1&lt;/R&gt;&lt;C&gt;1&lt;/C&gt;&lt;D xsi:type="xsd:double"&gt;20.18&lt;/D&gt;&lt;/FQL&gt;&lt;FQL&gt;&lt;Q&gt;CSOD^P_PRICE_HIGH_PR(43566,,,USD,,,"PRICE","INTRA","52W")&lt;/Q&gt;&lt;R&gt;1&lt;/R&gt;&lt;C&gt;1&lt;/C&gt;&lt;D xsi:type="xsd:double"&gt;60.19&lt;/D&gt;&lt;/FQL&gt;&lt;FQL&gt;&lt;Q&gt;PFPT^P_PRICE_HIGH_PR(43566,,,USD,,,"PRICE","INTRA","52W")&lt;/Q&gt;&lt;R&gt;1&lt;/R&gt;&lt;C&gt;1&lt;/C&gt;&lt;D xsi:type="xsd:double"&gt;130.27&lt;/D&gt;&lt;/FQL&gt;&lt;FQL&gt;&lt;Q&gt;WDAY^P_PRICE_HIGH_PR(43566,,,USD,,,"PRICE","INTRA","52W")&lt;/Q&gt;&lt;R&gt;1&lt;/R&gt;&lt;C&gt;1&lt;/C&gt;&lt;D xsi:type="xsd:double"&gt;200&lt;/D&gt;&lt;/FQL&gt;&lt;FQL&gt;&lt;Q&gt;NOW^P_PRICE_HIGH_PR(43566,,,USD,,,"PRICE","INTRA","52W")&lt;/Q&gt;&lt;R&gt;1&lt;/R&gt;&lt;C&gt;1&lt;/C&gt;&lt;D xsi:type="xsd:double"&gt;251.65&lt;/D&gt;&lt;/FQL&gt;&lt;FQL&gt;&lt;Q&gt;CRM^P_PRICE_HIGH_PR(43566,,,USD,,,"PRICE","INTRA","52W")&lt;/Q&gt;&lt;R&gt;1&lt;/R&gt;&lt;C&gt;1&lt;/C&gt;&lt;D xsi:type="xsd:double"&gt;166.99&lt;/D&gt;&lt;/FQL&gt;&lt;FQL&gt;&lt;Q&gt;CARB^FF_ENTRPR_VAL_DAILY(43566,,,,USD,"DIL")&lt;/Q&gt;&lt;R&gt;1&lt;/R&gt;&lt;C&gt;1&lt;/C&gt;&lt;D xsi:type="xsd:double"&gt;767.08605289999991&lt;/D&gt;&lt;/FQL&gt;&lt;FQL&gt;&lt;Q&gt;CARB^FREF_MARKET_VALUE_COMPANY(43566,,,USD,,0,,"LEGACY")&lt;/Q&gt;&lt;R&gt;1&lt;/R&gt;&lt;C&gt;1&lt;/C&gt;&lt;D xsi:type="xsd:double"&gt;865.28570556640625&lt;/D&gt;&lt;/FQL&gt;&lt;FQL&gt;&lt;Q&gt;CLDR^FF_ENTRPR_VAL_DAILY(43566,,,,USD,"DIL")&lt;/Q&gt;&lt;R&gt;1&lt;/R&gt;&lt;C&gt;1&lt;/C&gt;&lt;D xsi:type="xsd:double"&gt;1347.61804&lt;/D&gt;&lt;/FQL&gt;&lt;FQL&gt;&lt;Q&gt;CLDR^FREF_MARKET_VALUE_COMPANY(43566,,,USD,,0,,"LEGACY")&lt;/Q&gt;&lt;R&gt;1&lt;/R&gt;&lt;C&gt;1&lt;/C&gt;&lt;D xsi:type="xsd:double"&gt;3076.650390625&lt;/D&gt;&lt;/FQL&gt;&lt;FQL&gt;&lt;Q&gt;CSOD^FF_ENTRPR_VAL_DAILY(43566,,,,USD,"DIL")&lt;/Q&gt;&lt;R&gt;1&lt;/R&gt;&lt;C&gt;1&lt;/C&gt;&lt;D xsi:type="xsd:double"&gt;3130.36266&lt;/D&gt;&lt;/FQL&gt;&lt;FQL&gt;&lt;Q&gt;CSOD^FREF_MARKET_VALUE_COMPANY(43566,,,USD,,0,,"LEGACY")&lt;/Q&gt;&lt;R&gt;1&lt;/R&gt;&lt;C&gt;1&lt;/C&gt;&lt;D xsi:type="xsd:double"&gt;3235.134033203125&lt;/D&gt;&lt;/FQL&gt;&lt;FQL&gt;&lt;Q&gt;PFPT^FF_ENTRPR_VAL_DAILY(43566,,,,USD,"DIL")&lt;/Q&gt;&lt;R&gt;1&lt;/R&gt;&lt;C&gt;1&lt;/C&gt;&lt;D xsi:type="xsd:double"&gt;6018.21134&lt;/D&gt;&lt;/FQL&gt;&lt;FQL&gt;&lt;Q&gt;PFPT^FREF_MARKET_VALUE_COMPANY(43566,,,USD,,0,,"LEGACY")&lt;/Q&gt;&lt;R&gt;1&lt;/R&gt;&lt;C&gt;1&lt;/C&gt;&lt;D xsi:type="xsd:double"&gt;6638.6787109375&lt;/D&gt;&lt;/FQL&gt;&lt;FQL&gt;&lt;Q&gt;WDAY^FF_ENTRPR_VAL_DAILY(43566,,,,USD,"DIL")&lt;/Q&gt;&lt;R&gt;1&lt;/R&gt;&lt;C&gt;1&lt;/C&gt;&lt;D xsi:type="xsd:double"&gt;41885.30243&lt;/D&gt;&lt;/FQL&gt;&lt;FQL&gt;&lt;Q&gt;WDAY^FREF_MARKET_VALUE_COMPANY(43566,,,USD,,0,,"LEGACY")&lt;/Q&gt;&lt;R&gt;1&lt;/R&gt;&lt;C&gt;1&lt;/C&gt;&lt;D xsi:type="xsd:double"&gt;30751.58984375&lt;/D&gt;&lt;/FQL&gt;&lt;FQL&gt;&lt;Q&gt;NOW^FF_ENTRPR_VAL_DAILY(43566,,,,USD,"DIL")&lt;/Q&gt;&lt;R&gt;1&lt;/R&gt;&lt;C&gt;1&lt;/C&gt;&lt;D xsi:type="xsd:double"&gt;42870.66807271&lt;/D&gt;&lt;/FQL&gt;&lt;FQL&gt;&lt;Q&gt;NOW^FREF_MARKET_VALUE_COMPANY(43566,,,USD,,0,,"LEGACY")&lt;/Q&gt;&lt;R&gt;1&lt;/R&gt;&lt;C&gt;1&lt;/C&gt;&lt;D xsi:type="xsd:double"&gt;44361.484375&lt;/D&gt;&lt;/FQL&gt;&lt;FQL&gt;&lt;Q&gt;CRM^FF_ENTRPR_VAL_DAILY(43566,,,,USD,"DIL")&lt;/Q&gt;&lt;R&gt;1&lt;/R&gt;&lt;C&gt;1&lt;/C&gt;&lt;D xsi:type="xsd:double"&gt;123599.75&lt;/D&gt;&lt;/FQL&gt;&lt;FQL&gt;&lt;Q&gt;CRM^FREF_MARKET_VALUE_COMPANY(43566,,,USD,,0,,"LEGACY")&lt;/Q&gt;&lt;R&gt;1&lt;/R&gt;&lt;C&gt;1&lt;/C&gt;&lt;D xsi:type="xsd:double"&gt;123922.828125&lt;/D&gt;&lt;/FQL&gt;&lt;FQL&gt;&lt;Q&gt;CARB^P_PRICE(43566,,,USD)&lt;/Q&gt;&lt;R&gt;1&lt;/R&gt;&lt;C&gt;1&lt;/C&gt;&lt;D xsi:type="xsd:double"&gt;25.15&lt;/D&gt;&lt;/FQL&gt;&lt;FQL&gt;&lt;Q&gt;CLDR^P_PRICE(43566,,,USD)&lt;/Q&gt;&lt;R&gt;1&lt;/R&gt;&lt;C&gt;1&lt;/C&gt;&lt;D xsi:type="xsd:double"&gt;11.44&lt;/D&gt;&lt;/FQL&gt;&lt;FQL&gt;&lt;Q&gt;CSOD^P_PRICE(43566,,,USD)&lt;/Q&gt;&lt;R&gt;1&lt;/R&gt;&lt;C&gt;1&lt;/C&gt;&lt;D xsi:type="xsd:double"&gt;54.74&lt;/D&gt;&lt;/FQL&gt;&lt;FQL&gt;&lt;Q&gt;PFPT^P_PRICE(43566,,,USD)&lt;/Q&gt;&lt;R&gt;1&lt;/R&gt;&lt;C&gt;1&lt;/C&gt;&lt;D xsi:type="xsd:double"&gt;119.94&lt;/D&gt;&lt;/FQL&gt;&lt;FQL&gt;&lt;Q&gt;WDAY^P_PRICE(43566,,,USD)&lt;/Q&gt;&lt;R&gt;1&lt;/R&gt;&lt;C&gt;1&lt;/C&gt;&lt;D xsi:type="xsd:double"&gt;195.87&lt;/D&gt;&lt;/FQL&gt;&lt;FQL&gt;&lt;Q&gt;NOW^P_PRICE(43566,,,USD)&lt;/Q&gt;&lt;R&gt;1&lt;/R&gt;&lt;C&gt;1&lt;/C&gt;&lt;D xsi:type="xsd:double"&gt;245.77&lt;/D&gt;&lt;/FQL&gt;&lt;FQL&gt;&lt;Q&gt;CRM^P_PRICE(43566,,,USD)&lt;/Q&gt;&lt;R&gt;1&lt;/R&gt;&lt;C&gt;1&lt;/C&gt;&lt;D xsi:type="xsd:double"&gt;160.73&lt;/D&gt;&lt;/FQL&gt;&lt;FQL&gt;&lt;Q&gt;DELL^FE_ESTIMATE(SALES,MEAN,ANN_ROLL,2017,NOW,,,'')&lt;/Q&gt;&lt;R&gt;1&lt;/R&gt;&lt;C&gt;1&lt;/C&gt;&lt;D xsi:type="xsd:double"&gt;78660&lt;/D&gt;&lt;/FQL&gt;&lt;FQL&gt;&lt;Q&gt;CARB^FE_ESTIMATE(SALES,MEAN,ANN_ROLL,2017,NOW,,,'')&lt;/Q&gt;&lt;R&gt;1&lt;/R&gt;&lt;C&gt;1&lt;/C&gt;&lt;D xsi:type="xsd:double"&gt;239.462&lt;/D&gt;&lt;/FQL&gt;&lt;FQL&gt;&lt;Q&gt;CLDR^FE_ESTIMATE(SALES,MEAN,ANN_ROLL,2017,NOW,,,'')&lt;/Q&gt;&lt;R&gt;1&lt;/R&gt;&lt;C&gt;1&lt;/C&gt;&lt;D xsi:type="xsd:double"&gt;367.443&lt;/D&gt;&lt;/FQL&gt;&lt;FQL&gt;&lt;Q&gt;CSOD^FE_ESTIMATE(SALES,MEAN,ANN_ROLL,2017,NOW,,,'')&lt;/Q&gt;&lt;R&gt;1&lt;/R&gt;&lt;C&gt;1&lt;/C&gt;&lt;D xsi:type="xsd:double"&gt;481.985&lt;/D&gt;&lt;/FQL&gt;&lt;FQL&gt;&lt;Q&gt;PFPT^FE_ESTIMATE(SALES,MEAN,ANN_ROLL,2017,NOW,,,'')&lt;/Q&gt;&lt;R&gt;1&lt;/R&gt;&lt;C&gt;1&lt;/C&gt;&lt;D xsi:type="xsd:double"&gt;515.289&lt;/D&gt;&lt;/FQL&gt;&lt;FQL&gt;&lt;Q&gt;WDAY^FE_ESTIMATE(SALES,MEAN,ANN_ROLL,2017,NOW,,,'')&lt;/Q&gt;&lt;R&gt;1&lt;/R&gt;&lt;C&gt;1&lt;/C&gt;&lt;D xsi:type="xsd:double"&gt;2143.05&lt;/D&gt;&lt;/FQL&gt;&lt;FQL&gt;&lt;Q&gt;NOW^FE_ESTIMATE(SALES,MEAN,ANN_ROLL,2017,NOW,,,'')&lt;/Q&gt;&lt;R&gt;1&lt;/R&gt;&lt;C&gt;1&lt;/C&gt;&lt;D xsi:type="xsd:double"&gt;1933.02&lt;/D&gt;&lt;/FQL&gt;&lt;FQL&gt;&lt;Q&gt;CRM^FE_ESTIMATE(SALES,MEAN,ANN_ROLL,2017,NOW,,,'')&lt;/Q&gt;&lt;R&gt;1&lt;/R&gt;&lt;C&gt;1&lt;/C&gt;&lt;D xsi:type="xsd:double"&gt;10480&lt;/D&gt;&lt;/FQL&gt;&lt;FQL&gt;&lt;Q&gt;CARB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246.09&lt;/D&gt;&lt;/FQL&gt;&lt;FQL&gt;&lt;Q&gt;CLDR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367.442993&lt;/D&gt;&lt;/FQL&gt;&lt;FQL&gt;&lt;Q&gt;CSOD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481.984985&lt;/D&gt;&lt;/FQL&gt;&lt;FQL&gt;&lt;Q&gt;PFPT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515.289001&lt;/D&gt;&lt;/FQL&gt;&lt;FQL&gt;&lt;Q&gt;WDAY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2143.050049&lt;/D&gt;&lt;/FQL&gt;&lt;FQL&gt;&lt;Q&gt;NOW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2314.588&lt;/D&gt;&lt;/FQL&gt;&lt;FQL&gt;&lt;Q&gt;CRM^IF(P_DATE(0,,,"DATEN")&amp;gt;FE_ESTIMATE_DATE(RPT_DATE,,ANN_ROLL,2017,'YYYYMMDD',0,,,''),AVAIL(AVAIL(FF_ADJ_SALES(ANN,2017),FF_ARPT_SERIES('RV','ANN',2017,,'M','IS')),FF_SALES(ANN,2017)),FE_ESTIMATE(SALES,MEAN,ANN_ROLL,2017,NOW,,,''))&lt;/Q&gt;&lt;R&gt;1&lt;/R&gt;&lt;C&gt;1&lt;/C&gt;&lt;D xsi:type="xsd:double"&gt;10480.011719&lt;/D&gt;&lt;/FQL&gt;&lt;FQL&gt;&lt;Q&gt;DELL^IF(FE_ACTUAL(FLAG,SALES,ANN_ROLL,2017,,,,'')!=3,FE_ACTUAL(ACTUAL,SALES,ANN_ROLL,2017,,,,''),FLOAT_NA)&lt;/Q&gt;&lt;R&gt;1&lt;/R&gt;&lt;C&gt;1&lt;/C&gt;&lt;D xsi:type="xsd:double"&gt;78660&lt;/D&gt;&lt;/FQL&gt;&lt;FQL&gt;&lt;Q&gt;CARB^IF(FE_ACTUAL(FLAG,SALES,ANN_ROLL,2017,,,,'')!=3,FE_ACTUAL(ACTUAL,SALES,ANN_ROLL,2017,,,,''),FLOAT_NA)&lt;/Q&gt;&lt;R&gt;1&lt;/R&gt;&lt;C&gt;1&lt;/C&gt;&lt;D xsi:type="xsd:double"&gt;239.462&lt;/D&gt;&lt;/FQL&gt;&lt;FQL&gt;&lt;Q&gt;CLDR^IF(FE_ACTUAL(FLAG,SALES,ANN_ROLL,2017,,,,'')!=3,FE_ACTUAL(ACTUAL,SALES,ANN_ROLL,2017,,,,''),FLOAT_NA)&lt;/Q&gt;&lt;R&gt;1&lt;/R&gt;&lt;C&gt;1&lt;/C&gt;&lt;D xsi:type="xsd:double"&gt;367.443&lt;/D&gt;&lt;/FQL&gt;&lt;FQL&gt;&lt;Q&gt;CSOD^IF(FE_ACTUAL(FLAG,SALES,ANN_ROLL,2017,,,,'')!=3,FE_ACTUAL(ACTUAL,SALES,ANN_ROLL,2017,,,,''),FLOAT_NA)&lt;/Q&gt;&lt;R&gt;1&lt;/R&gt;&lt;C&gt;1&lt;/C&gt;&lt;D xsi:type="xsd:double"&gt;481.985&lt;/D&gt;&lt;/FQL&gt;&lt;FQL&gt;&lt;Q&gt;PFPT^IF(FE_ACTUAL(FLAG,SALES,ANN_ROLL,2017,,,,'')!=3,FE_ACTUAL(ACTUAL,SALES,ANN_ROLL,2017,,,,''),FLOAT_NA)&lt;/Q&gt;&lt;R&gt;1&lt;/R&gt;&lt;C&gt;1&lt;/C&gt;&lt;D xsi:type="xsd:double"&gt;515.289&lt;/D&gt;&lt;/FQL&gt;&lt;FQL&gt;&lt;Q&gt;WDAY^IF(FE_ACTUAL(FLAG,SALES,ANN_ROLL,2017,,,,'')!=3,FE_ACTUAL(ACTUAL,SALES,ANN_ROLL,2017,,,,''),FLOAT_NA)&lt;/Q&gt;&lt;R&gt;1&lt;/R&gt;&lt;C&gt;1&lt;/C&gt;&lt;D xsi:type="xsd:double"&gt;2143.05&lt;/D&gt;&lt;/FQL&gt;&lt;FQL&gt;&lt;Q&gt;NOW^IF(FE_ACTUAL(FLAG,SALES,ANN_ROLL,2017,,,,'')!=3,FE_ACTUAL(ACTUAL,SALES,ANN_ROLL,2017,,,,''),FLOAT_NA)&lt;/Q&gt;&lt;R&gt;1&lt;/R&gt;&lt;C&gt;1&lt;/C&gt;&lt;D xsi:type="xsd:double"&gt;1933.02&lt;/D&gt;&lt;/FQL&gt;&lt;FQL&gt;&lt;Q&gt;CRM^IF(FE_ACTUAL(FLAG,SALES,ANN_ROLL,2017,,,,'')!=3,FE_ACTUAL(ACTUAL,SALES,ANN_ROLL,2017,,,,''),FLOAT_NA)&lt;/Q&gt;&lt;R&gt;1&lt;/R&gt;&lt;C&gt;1&lt;/C&gt;&lt;D xsi:type="xsd:double"&gt;10480&lt;/D&gt;&lt;/FQL&gt;&lt;FQL&gt;&lt;Q&gt;DELL^FF_SALES(ANN,2017)&lt;/Q&gt;&lt;R&gt;1&lt;/R&gt;&lt;C&gt;1&lt;/C&gt;&lt;D xsi:type="xsd:double"&gt;78737&lt;/D&gt;&lt;/FQL&gt;&lt;FQL&gt;&lt;Q&gt;CARB^FF_SALES(ANN,2017)&lt;/Q&gt;&lt;R&gt;1&lt;/R&gt;&lt;C&gt;1&lt;/C&gt;&lt;D xsi:type="xsd:double"&gt;239.462&lt;/D&gt;&lt;/FQL&gt;&lt;FQL&gt;&lt;Q&gt;CLDR^FF_SALES(ANN,2017)&lt;/Q&gt;&lt;R&gt;1&lt;/R&gt;&lt;C&gt;1&lt;/C&gt;&lt;D xsi:type="xsd:double"&gt;367.443&lt;/D&gt;&lt;/FQL&gt;&lt;FQL&gt;&lt;Q&gt;CSOD^FF_SALES(ANN,2017)&lt;/Q&gt;&lt;R&gt;1&lt;/R&gt;&lt;C&gt;1&lt;/C&gt;&lt;D xsi:type="xsd:double"&gt;481.985&lt;/D&gt;&lt;/FQL&gt;&lt;FQL&gt;&lt;Q&gt;PFPT^FF_SALES(ANN,2017)&lt;/Q&gt;&lt;R&gt;1&lt;/R&gt;&lt;C&gt;1&lt;/C&gt;&lt;D xsi:type="xsd:double"&gt;515.289&lt;/D&gt;&lt;/FQL&gt;&lt;FQL&gt;&lt;Q&gt;WDAY^FF_SALES(ANN,2017)&lt;/Q&gt;&lt;R&gt;1&lt;/R&gt;&lt;C&gt;1&lt;/C&gt;&lt;D xsi:type="xsd:double"&gt;2141.541&lt;/D&gt;&lt;/FQL&gt;&lt;FQL&gt;&lt;Q&gt;NOW^FF_SALES(ANN,2017)&lt;/Q&gt;&lt;R&gt;1&lt;/R&gt;&lt;C&gt;1&lt;/C&gt;&lt;D xsi:type="xsd:double"&gt;1933.026&lt;/D&gt;&lt;/FQL&gt;&lt;FQL&gt;&lt;Q&gt;CRM^FF_SALES(ANN,2017)&lt;/Q&gt;&lt;R&gt;1&lt;/R&gt;&lt;C&gt;1&lt;/C&gt;&lt;D xsi:type="xsd:double"&gt;10480.012&lt;/D&gt;&lt;/FQL&gt;&lt;FQL&gt;&lt;Q&gt;DELL^FF_ARPT_SERIES('RV','ANN',2017,,'M','IS')&lt;/Q&gt;&lt;R&gt;1&lt;/R&gt;&lt;C&gt;1&lt;/C&gt;&lt;D xsi:type="xsd:double"&gt;78660&lt;/D&gt;&lt;/FQL&gt;&lt;FQL&gt;&lt;Q&gt;CARB^FF_ARPT_SERIES('RV','ANN',2017,,'M','IS')&lt;/Q&gt;&lt;R&gt;1&lt;/R&gt;&lt;C&gt;1&lt;/C&gt;&lt;D xsi:type="xsd:double"&gt;239.462006&lt;/D&gt;&lt;/FQL&gt;&lt;FQL&gt;&lt;Q&gt;CLDR^FF_ARPT_SERIES('RV','ANN',2017,,'M','IS')&lt;/Q&gt;&lt;R&gt;1&lt;/R&gt;&lt;C&gt;1&lt;/C&gt;&lt;D xsi:type="xsd:double"&gt;367.442993&lt;/D&gt;&lt;/FQL&gt;&lt;FQL&gt;&lt;Q&gt;CSOD^FF_ARPT_SERIES('RV','ANN',2017,,'M','IS')&lt;/Q&gt;&lt;R&gt;1&lt;/R&gt;&lt;C&gt;1&lt;/C&gt;&lt;D xsi:type="xsd:double"&gt;481.984985&lt;/D&gt;&lt;/FQL&gt;&lt;FQL&gt;&lt;Q&gt;PFPT^FF_ARPT_SERIES('RV','ANN',2017,,'M','IS')&lt;/Q&gt;&lt;R&gt;1&lt;/R&gt;&lt;C&gt;1&lt;/C&gt;&lt;D xsi:type="xsd:double"&gt;515.289001&lt;/D&gt;&lt;/FQL&gt;&lt;FQL&gt;&lt;Q&gt;WDAY^FF_ARPT_SERIES('RV','ANN',2017,,'M','IS')&lt;/Q&gt;&lt;R&gt;1&lt;/R&gt;&lt;C&gt;1&lt;/C&gt;&lt;D xsi:type="xsd:double"&gt;2143.050049&lt;/D&gt;&lt;/FQL&gt;&lt;FQL&gt;&lt;Q&gt;NOW^FF_ARPT_SERIES('RV','ANN',2017,,'M','IS')&lt;/Q&gt;&lt;R&gt;1&lt;/R&gt;&lt;C&gt;1&lt;/C&gt;&lt;D xsi:type="xsd:double"&gt;1933.026001&lt;/D&gt;&lt;/FQL&gt;&lt;FQL&gt;&lt;Q&gt;CRM^FF_ARPT_SERIES('RV','ANN',2017,,'M','IS')&lt;/Q&gt;&lt;R&gt;1&lt;/R&gt;&lt;C&gt;1&lt;/C&gt;&lt;D xsi:type="xsd:double"&gt;10480.011719&lt;/D&gt;&lt;/FQL&gt;&lt;FQL&gt;&lt;Q&gt;DELL^FF_ARPT_SERIES('NG-RV','ANN',2017,,'M','NG-IS')&lt;/Q&gt;&lt;R&gt;1&lt;/R&gt;&lt;C&gt;1&lt;/C&gt;&lt;D xsi:type="xsd:double"&gt;79929&lt;/D&gt;&lt;/FQL&gt;&lt;FQL&gt;&lt;Q&gt;CARB^FF_ARPT_SERIES('NG-RV','ANN',2017,,'M','NG-IS')&lt;/Q&gt;&lt;R&gt;1&lt;/R&gt;&lt;C&gt;1&lt;/C&gt;&lt;D xsi:type="xsd:double"&gt;246.089996&lt;/D&gt;&lt;/FQL&gt;&lt;FQL&gt;&lt;Q&gt;CLDR^FF_ARPT_SERIES('NG-RV','ANN',2017,,'M','NG-IS')&lt;/Q&gt;&lt;R&gt;0&lt;/R&gt;&lt;C&gt;0&lt;/C&gt;&lt;/FQL&gt;&lt;FQL&gt;&lt;Q&gt;CSOD^FF_ARPT_SERIES('NG-RV','ANN',2017,,'M','NG-IS')&lt;/Q&gt;&lt;R&gt;0&lt;/R&gt;&lt;C&gt;0&lt;/C&gt;&lt;/FQL&gt;&lt;FQL&gt;&lt;Q&gt;PFPT^FF_ARPT_SERIES('NG-RV','ANN',2017,,'M','NG-IS')&lt;/Q&gt;&lt;R&gt;0&lt;/R&gt;&lt;C&gt;0&lt;/C&gt;&lt;/FQL&gt;&lt;FQL&gt;&lt;Q&gt;WDAY^FF_ARPT_SERIES('NG-RV','ANN',2017,,'M','NG-IS')&lt;/Q&gt;&lt;R&gt;0&lt;/R&gt;&lt;C&gt;0&lt;/C&gt;&lt;/FQL&gt;&lt;FQL&gt;&lt;Q&gt;NOW^FF_ARPT_SERIES('NG-RV','ANN',2017,,'M','NG-IS')&lt;/Q&gt;&lt;R&gt;1&lt;/R&gt;&lt;C&gt;1&lt;/C&gt;&lt;D xsi:type="xsd:double"&gt;2314.587891&lt;/D&gt;&lt;/FQL&gt;&lt;FQL&gt;&lt;Q&gt;CRM^FF_ARPT_SERIES('NG-RV','ANN',2017,,'M','NG-IS')&lt;/Q&gt;&lt;R&gt;0&lt;/R&gt;&lt;C&gt;0&lt;/C&gt;&lt;/FQL&gt;&lt;FQL&gt;&lt;Q&gt;DELL^FF_ADJ_SALES(ANN,2017)&lt;/Q&gt;&lt;R&gt;1&lt;/R&gt;&lt;C&gt;1&lt;/C&gt;&lt;D xsi:type="xsd:double"&gt;79929&lt;/D&gt;&lt;/FQL&gt;&lt;FQL&gt;&lt;Q&gt;CARB^FF_ADJ_SALES(ANN,2017)&lt;/Q&gt;&lt;R&gt;1&lt;/R&gt;&lt;C&gt;1&lt;/C&gt;&lt;D xsi:type="xsd:double"&gt;246.09&lt;/D&gt;&lt;/FQL&gt;&lt;FQL&gt;&lt;Q&gt;CLDR^FF_ADJ_SALES(ANN,2017)&lt;/Q&gt;&lt;R&gt;0&lt;/R&gt;&lt;C&gt;0&lt;/C&gt;&lt;/FQL&gt;&lt;FQL&gt;&lt;Q&gt;CSOD^FF_ADJ_SALES(ANN,2017)&lt;/Q&gt;&lt;R&gt;0&lt;/R&gt;&lt;C&gt;0&lt;/C&gt;&lt;/FQL&gt;&lt;FQL&gt;&lt;Q&gt;PFPT^FF_ADJ_SALES(ANN,2017)&lt;/Q&gt;&lt;R&gt;0&lt;/R&gt;&lt;C&gt;0&lt;/C&gt;&lt;/FQL&gt;&lt;FQL&gt;&lt;Q&gt;WDAY^FF_ADJ_SALES(ANN,2017)&lt;/Q&gt;&lt;R&gt;0&lt;/R&gt;&lt;C&gt;0&lt;/C&gt;&lt;/FQL&gt;&lt;FQL&gt;&lt;Q&gt;NOW^FF_ADJ_SALES(ANN,2017)&lt;/Q&gt;&lt;R&gt;1&lt;/R&gt;&lt;C&gt;1&lt;/C&gt;&lt;D xsi:type="xsd:double"&gt;2314.588&lt;/D&gt;&lt;/FQL&gt;&lt;FQL&gt;&lt;Q&gt;CRM^FF_ADJ_SALES(ANN,2017)&lt;/Q&gt;&lt;R&gt;0&lt;/R&gt;&lt;C&gt;0&lt;/C&gt;&lt;/FQL&gt;&lt;FQL&gt;&lt;Q&gt;DELL^FE_ESTIMATE(SALES,MEAN,ANN_ROLL,2018,NOW,,,'')&lt;/Q&gt;&lt;R&gt;1&lt;/R&gt;&lt;C&gt;1&lt;/C&gt;&lt;D xsi:type="xsd:double"&gt;91324&lt;/D&gt;&lt;/FQL&gt;&lt;FQL&gt;&lt;Q&gt;CARB^FE_ESTIMATE(SALES,MEAN,ANN_ROLL,2018,NOW,,,'')&lt;/Q&gt;&lt;R&gt;1&lt;/R&gt;&lt;C&gt;1&lt;/C&gt;&lt;D xsi:type="xsd:double"&gt;301.899&lt;/D&gt;&lt;/FQL&gt;&lt;FQL&gt;&lt;Q&gt;CLDR^FE_ESTIMATE(SALES,MEAN,ANN_ROLL,2018,NOW,,,'')&lt;/Q&gt;&lt;R&gt;1&lt;/R&gt;&lt;C&gt;1&lt;/C&gt;&lt;D xsi:type="xsd:double"&gt;479.941&lt;/D&gt;&lt;/FQL&gt;&lt;FQL&gt;&lt;Q&gt;CSOD^FE_ESTIMATE(SALES,MEAN,ANN_ROLL,2018,NOW,,,'')&lt;/Q&gt;&lt;R&gt;1&lt;/R&gt;&lt;C&gt;1&lt;/C&gt;&lt;D xsi:type="xsd:double"&gt;537.891&lt;/D&gt;&lt;/FQL&gt;&lt;FQL&gt;&lt;Q&gt;PFPT^FE_ESTIMATE(SALES,MEAN,ANN_ROLL,2018,NOW,,,'')&lt;/Q&gt;&lt;R&gt;1&lt;/R&gt;&lt;C&gt;1&lt;/C&gt;&lt;D xsi:type="xsd:double"&gt;716.994&lt;/D&gt;&lt;/FQL&gt;&lt;FQL&gt;&lt;Q&gt;WDAY^FE_ESTIMATE(SALES,MEAN,ANN_ROLL,2018,NOW,,,'')&lt;/Q&gt;&lt;R&gt;1&lt;/R&gt;&lt;C&gt;1&lt;/C&gt;&lt;D xsi:type="xsd:double"&gt;2822.18&lt;/D&gt;&lt;/FQL&gt;&lt;FQL&gt;&lt;Q&gt;NOW^FE_ESTIMATE(SALES,MEAN,ANN_ROLL,2018,NOW,,,'')&lt;/Q&gt;&lt;R&gt;1&lt;/R&gt;&lt;C&gt;1&lt;/C&gt;&lt;D xsi:type="xsd:double"&gt;2608.81&lt;/D&gt;&lt;/FQL&gt;&lt;FQL&gt;&lt;Q&gt;CRM^FE_ESTIMATE(SALES,MEAN,ANN_ROLL,2018,NOW,,,'')&lt;/Q&gt;&lt;R&gt;1&lt;/R&gt;&lt;C&gt;1&lt;/C&gt;&lt;D xsi:type="xsd:double"&gt;13282&lt;/D&gt;&lt;/FQL&gt;&lt;FQL&gt;&lt;Q&gt;CARB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301.899&lt;/D&gt;&lt;/FQL&gt;&lt;FQL&gt;&lt;Q&gt;CLDR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479.94101&lt;/D&gt;&lt;/FQL&gt;&lt;FQL&gt;&lt;Q&gt;CSOD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537.890991&lt;/D&gt;&lt;/FQL&gt;&lt;FQL&gt;&lt;Q&gt;PFPT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716.994019&lt;/D&gt;&lt;/FQL&gt;&lt;FQL&gt;&lt;Q&gt;WDAY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2822.179932&lt;/D&gt;&lt;/FQL&gt;&lt;FQL&gt;&lt;Q&gt;NOW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3088.835&lt;/D&gt;&lt;/FQL&gt;&lt;FQL&gt;&lt;Q&gt;CRM^IF(P_DATE(0,,,"DATEN")&amp;gt;FE_ESTIMATE_DATE(RPT_DATE,,ANN_ROLL,2018,'YYYYMMDD',0,,,''),AVAIL(AVAIL(FF_ADJ_SALES(ANN,2018),FF_ARPT_SERIES('RV','ANN',2018,,'M','IS')),FF_SALES(ANN,2018)),FE_ESTIMATE(SALES,MEAN,ANN_ROLL,2018,NOW,,,''))&lt;/Q&gt;&lt;R&gt;1&lt;/R&gt;&lt;C&gt;1&lt;/C&gt;&lt;D xsi:type="xsd:double"&gt;13282&lt;/D&gt;&lt;/FQL&gt;&lt;FQL&gt;&lt;Q&gt;DELL^IF(FE_ACTUAL(FLAG,SALES,ANN_ROLL,2018,,,,'')!=3,FE_ACTUAL(ACTUAL,SALES,ANN_ROLL,2018,,,,''),FLOAT_NA)&lt;/Q&gt;&lt;R&gt;1&lt;/R&gt;&lt;C&gt;1&lt;/C&gt;&lt;D xsi:type="xsd:double"&gt;91324&lt;/D&gt;&lt;/FQL&gt;&lt;FQL&gt;&lt;Q&gt;CARB^IF(FE_ACTUAL(FLAG,SALES,ANN_ROLL,2018,,,,'')!=3,FE_ACTUAL(ACTUAL,SALES,ANN_ROLL,2018,,,,''),FLOAT_NA)&lt;/Q&gt;&lt;R&gt;1&lt;/R&gt;&lt;C&gt;1&lt;/C&gt;&lt;D xsi:type="xsd:double"&gt;301.899&lt;/D&gt;&lt;/FQL&gt;&lt;FQL&gt;&lt;Q&gt;CLDR^IF(FE_ACTUAL(FLAG,SALES,ANN_ROLL,2018,,,,'')!=3,FE_ACTUAL(ACTUAL,SALES,ANN_ROLL,2018,,,,''),FLOAT_NA)&lt;/Q&gt;&lt;R&gt;1&lt;/R&gt;&lt;C&gt;1&lt;/C&gt;&lt;D xsi:type="xsd:double"&gt;479.941&lt;/D&gt;&lt;/FQL&gt;&lt;FQL&gt;&lt;Q&gt;CSOD^IF(FE_ACTUAL(FLAG,SALES,ANN_ROLL,2018,,,,'')!=3,FE_ACTUAL(ACTUAL,SALES,ANN_ROLL,2018,,,,''),FLOAT_NA)&lt;/Q&gt;&lt;R&gt;1&lt;/R&gt;&lt;C&gt;1&lt;/C&gt;&lt;D xsi:type="xsd:double"&gt;537.891&lt;/D&gt;&lt;/FQL&gt;&lt;FQL&gt;&lt;Q&gt;PFPT^IF(FE_ACTUAL(FLAG,SALES,ANN_ROLL,2018,,,,'')!=3,FE_ACTUAL(ACTUAL,SALES,ANN_ROLL,2018,,,,''),FLOAT_NA)&lt;/Q&gt;&lt;R&gt;1&lt;/R&gt;&lt;C&gt;1&lt;/C&gt;&lt;D xsi:type="xsd:double"&gt;716.994&lt;/D&gt;&lt;/FQL&gt;&lt;FQL&gt;&lt;Q&gt;WDAY^IF(FE_ACTUAL(FLAG,SALES,ANN_ROLL,2018,,,,'')!=3,FE_ACTUAL(ACTUAL,SALES,ANN_ROLL,2018,,,,''),FLOAT_NA)&lt;/Q&gt;&lt;R&gt;1&lt;/R&gt;&lt;C&gt;1&lt;/C&gt;&lt;D xsi:type="xsd:double"&gt;2822.18&lt;/D&gt;&lt;/FQL&gt;&lt;FQL&gt;&lt;Q&gt;NOW^IF(FE_ACTUAL(FLAG,SALES,ANN_ROLL,2018,,,,'')!=3,FE_ACTUAL(ACTUAL,SALES,ANN_ROLL,2018,,,,''),FLOAT_NA)&lt;/Q&gt;&lt;R&gt;1&lt;/R&gt;&lt;C&gt;1&lt;/C&gt;&lt;D xsi:type="xsd:double"&gt;2608.81&lt;/D&gt;&lt;/FQL&gt;&lt;FQL&gt;&lt;Q&gt;CRM^IF(FE_ACTUAL(FLAG,SALES,ANN_ROLL,2018,,,,'')!=3,FE_ACTUAL(ACTUAL,SALES,ANN_ROLL,2018,,,,''),FLOAT_NA)&lt;/Q&gt;&lt;R&gt;1&lt;/R&gt;&lt;C&gt;1&lt;/C&gt;&lt;D xsi:type="xsd:double"&gt;13282&lt;/D&gt;&lt;/FQL&gt;&lt;FQL&gt;&lt;Q&gt;DELL^FF_SALES(ANN,2018)&lt;/Q&gt;&lt;R&gt;1&lt;/R&gt;&lt;C&gt;1&lt;/C&gt;&lt;D xsi:type="xsd:double"&gt;90396&lt;/D&gt;&lt;/FQL&gt;&lt;FQL&gt;&lt;Q&gt;CARB^FF_SALES(ANN,2018)&lt;/Q&gt;&lt;R&gt;1&lt;/R&gt;&lt;C&gt;1&lt;/C&gt;&lt;D xsi:type="xsd:double"&gt;296.408&lt;/D&gt;&lt;/FQL&gt;&lt;FQL&gt;&lt;Q&gt;CLDR^FF_SALES(ANN,2018)&lt;/Q&gt;&lt;R&gt;1&lt;/R&gt;&lt;C&gt;1&lt;/C&gt;&lt;D xsi:type="xsd:double"&gt;479.94099999999992&lt;/D&gt;&lt;/FQL&gt;&lt;FQL&gt;&lt;Q&gt;CSOD^FF_SALES(ANN,2018)&lt;/Q&gt;&lt;R&gt;1&lt;/R&gt;&lt;C&gt;1&lt;/C&gt;&lt;D xsi:type="xsd:double"&gt;537.891&lt;/D&gt;&lt;/FQL&gt;&lt;FQL&gt;&lt;Q&gt;PFPT^FF_SALES(ANN,2018)&lt;/Q&gt;&lt;R&gt;1&lt;/R&gt;&lt;C&gt;1&lt;/C&gt;&lt;D xsi:type="xsd:double"&gt;716.994&lt;/D&gt;&lt;/FQL&gt;&lt;FQL&gt;&lt;Q&gt;WDAY^FF_SALES(ANN,2018)&lt;/Q&gt;&lt;R&gt;1&lt;/R&gt;&lt;C&gt;1&lt;/C&gt;&lt;D xsi:type="xsd:double"&gt;2829.192&lt;/D&gt;&lt;/FQL&gt;&lt;FQL&gt;&lt;Q&gt;NOW^FF_SALES(ANN,2018)&lt;/Q&gt;&lt;R&gt;1&lt;/R&gt;&lt;C&gt;1&lt;/C&gt;&lt;D xsi:type="xsd:double"&gt;2608.816&lt;/D&gt;&lt;/FQL&gt;&lt;FQL&gt;&lt;Q&gt;CRM^FF_SALES(ANN,2018)&lt;/Q&gt;&lt;R&gt;1&lt;/R&gt;&lt;C&gt;1&lt;/C&gt;&lt;D xsi:type="xsd:double"&gt;13282&lt;/D&gt;&lt;/FQL&gt;&lt;FQL&gt;&lt;Q&gt;DELL^FF_ARPT_SERIES('RV','ANN',2018,,'M','IS')&lt;/Q&gt;&lt;R&gt;1&lt;/R&gt;&lt;C&gt;1&lt;/C&gt;&lt;D xsi:type="xsd:double"&gt;90621&lt;/D&gt;&lt;/FQL&gt;&lt;FQL&gt;&lt;Q&gt;CARB^FF_ARPT_SERIES('RV','ANN',2018,,'M','IS')&lt;/Q&gt;&lt;R&gt;1&lt;/R&gt;&lt;C&gt;1&lt;/C&gt;&lt;D xsi:type="xsd:double"&gt;296.40799&lt;/D&gt;&lt;/FQL&gt;&lt;FQL&gt;&lt;Q&gt;CLDR^FF_ARPT_SERIES('RV','ANN',2018,,'M','IS')&lt;/Q&gt;&lt;R&gt;1&lt;/R&gt;&lt;C&gt;1&lt;/C&gt;&lt;D xsi:type="xsd:double"&gt;479.94101&lt;/D&gt;&lt;/FQL&gt;&lt;FQL&gt;&lt;Q&gt;CSOD^FF_ARPT_SERIES('RV','ANN',2018,,'M','IS')&lt;/Q&gt;&lt;R&gt;1&lt;/R&gt;&lt;C&gt;1&lt;/C&gt;&lt;D xsi:type="xsd:double"&gt;537.890991&lt;/D&gt;&lt;/FQL&gt;&lt;FQL&gt;&lt;Q&gt;PFPT^FF_ARPT_SERIES('RV','ANN',2018,,'M','IS')&lt;/Q&gt;&lt;R&gt;1&lt;/R&gt;&lt;C&gt;1&lt;/C&gt;&lt;D xsi:type="xsd:double"&gt;716.994019&lt;/D&gt;&lt;/FQL&gt;&lt;FQL&gt;&lt;Q&gt;WDAY^FF_ARPT_SERIES('RV','ANN',2018,,'M','IS')&lt;/Q&gt;&lt;R&gt;1&lt;/R&gt;&lt;C&gt;1&lt;/C&gt;&lt;D xsi:type="xsd:double"&gt;2822.179932&lt;/D&gt;&lt;/FQL&gt;&lt;FQL&gt;&lt;Q&gt;NOW^FF_ARPT_SERIES('RV','ANN',2018,,'M','IS')&lt;/Q&gt;&lt;R&gt;1&lt;/R&gt;&lt;C&gt;1&lt;/C&gt;&lt;D xsi:type="xsd:double"&gt;2608.815918&lt;/D&gt;&lt;/FQL&gt;&lt;FQL&gt;&lt;Q&gt;CRM^FF_ARPT_SERIES('RV','ANN',2018,,'M','IS')&lt;/Q&gt;&lt;R&gt;1&lt;/R&gt;&lt;C&gt;1&lt;/C&gt;&lt;D xsi:type="xsd:double"&gt;13282&lt;/D&gt;&lt;/FQL&gt;&lt;FQL&gt;&lt;Q&gt;DELL^FF_ARPT_SERIES('NG-RV','ANN',2018,,'M','NG-IS')&lt;/Q&gt;&lt;R&gt;1&lt;/R&gt;&lt;C&gt;1&lt;/C&gt;&lt;D xsi:type="xsd:double"&gt;91324&lt;/D&gt;&lt;/FQL&gt;&lt;FQL&gt;&lt;Q&gt;CARB^FF_ARPT_SERIES('NG-RV','ANN',2018,,'M','NG-IS')&lt;/Q&gt;&lt;R&gt;1&lt;/R&gt;&lt;C&gt;1&lt;/C&gt;&lt;D xsi:type="xsd:double"&gt;301.898987&lt;/D&gt;&lt;/FQL&gt;&lt;FQL&gt;&lt;Q&gt;CLDR^FF_ARPT_SERIES('NG-RV','ANN',2018,,'M','NG-IS')&lt;/Q&gt;&lt;R&gt;0&lt;/R&gt;&lt;C&gt;0&lt;/C&gt;&lt;/FQL&gt;&lt;FQL&gt;&lt;Q&gt;CSOD^FF_ARPT_SERIES('NG-RV','ANN',2018,,'M','NG-IS')&lt;/Q&gt;&lt;R&gt;0&lt;/R&gt;&lt;C&gt;0&lt;/C&gt;&lt;/FQL&gt;&lt;FQL&gt;&lt;Q&gt;PFPT^FF_ARPT_SERIES('NG-RV','ANN',2018,,'M','NG-IS')&lt;/Q&gt;&lt;R&gt;0&lt;/R&gt;&lt;C&gt;0&lt;/C&gt;&lt;/FQL&gt;&lt;FQL&gt;&lt;Q&gt;WDAY^FF_ARPT_SERIES('NG-RV','ANN',2018,,'M','NG-IS')&lt;/Q&gt;&lt;R&gt;0&lt;/R&gt;&lt;C&gt;0&lt;/C&gt;&lt;/FQL&gt;&lt;FQL&gt;&lt;Q&gt;NOW^FF_ARPT_SERIES('NG-RV','ANN',2018,,'M','NG-IS')&lt;/Q&gt;&lt;R&gt;1&lt;/R&gt;&lt;C&gt;1&lt;/C&gt;&lt;D xsi:type="xsd:double"&gt;3088.834961&lt;/D&gt;&lt;/FQL&gt;&lt;FQL&gt;&lt;Q&gt;CRM^FF_ARPT_SERIES('NG-RV','ANN',2018,,'M','NG-IS')&lt;/Q&gt;&lt;R&gt;0&lt;/R&gt;&lt;C&gt;0&lt;/C&gt;&lt;/FQL&gt;&lt;FQL&gt;&lt;Q&gt;DELL^FF_ADJ_SALES(ANN,2018)&lt;/Q&gt;&lt;R&gt;1&lt;/R&gt;&lt;C&gt;1&lt;/C&gt;&lt;D xsi:type="xsd:double"&gt;91324&lt;/D&gt;&lt;/FQL&gt;&lt;FQL&gt;&lt;Q&gt;CARB^FF_ADJ_SALES(ANN,2018)&lt;/Q&gt;&lt;R&gt;1&lt;/R&gt;&lt;C&gt;1&lt;/C&gt;&lt;D xsi:type="xsd:double"&gt;301.899&lt;/D&gt;&lt;/FQL&gt;&lt;FQL&gt;&lt;Q&gt;CLDR^FF_ADJ_SALES(ANN,2018)&lt;/Q&gt;&lt;R&gt;0&lt;/R&gt;&lt;C&gt;0&lt;/C&gt;&lt;/FQL&gt;&lt;FQL&gt;&lt;Q&gt;CSOD^FF_ADJ_SALES(ANN,2018)&lt;/Q&gt;&lt;R&gt;0&lt;/R&gt;&lt;C&gt;0&lt;/C&gt;&lt;/FQL&gt;&lt;FQL&gt;&lt;Q&gt;PFPT^FF_ADJ_SALES(ANN,2018)&lt;/Q&gt;&lt;R&gt;0&lt;/R&gt;&lt;C&gt;0&lt;/C&gt;&lt;/FQL&gt;&lt;FQL&gt;&lt;Q&gt;WDAY^FF_ADJ_SALES(ANN,2018)&lt;/Q&gt;&lt;R&gt;0&lt;/R&gt;&lt;C&gt;0&lt;/C&gt;&lt;/FQL&gt;&lt;FQL&gt;&lt;Q&gt;NOW^FF_ADJ_SALES(ANN,2018)&lt;/Q&gt;&lt;R&gt;1&lt;/R&gt;&lt;C&gt;1&lt;/C&gt;&lt;D xsi:type="xsd:double"&gt;3088.835&lt;/D&gt;&lt;/FQL&gt;&lt;FQL&gt;&lt;Q&gt;CRM^FF_ADJ_SALES(ANN,2018)&lt;/Q&gt;&lt;R&gt;0&lt;/R&gt;&lt;C&gt;0&lt;/C&gt;&lt;/FQL&gt;&lt;FQL&gt;&lt;Q&gt;DELL^FE_ESTIMATE(EBIT_ADJ,MEAN,ANN_ROLL,2018,NOW,,,'')&lt;/Q&gt;&lt;R&gt;1&lt;/R&gt;&lt;C&gt;1&lt;/C&gt;&lt;D xsi:type="xsd:double"&gt;8854&lt;/D&gt;&lt;/FQL&gt;&lt;FQL&gt;&lt;Q&gt;CARB^FE_ESTIMATE(EBIT_ADJ,MEAN,ANN_ROLL,2018,NOW,,,'')&lt;/Q&gt;&lt;R&gt;1&lt;/R&gt;&lt;C&gt;1&lt;/C&gt;&lt;D xsi:type="xsd:double"&gt;63.0948&lt;/D&gt;&lt;/FQL&gt;&lt;FQL&gt;&lt;Q&gt;CLDR^FE_ESTIMATE(EBIT_ADJ,MEAN,ANN_ROLL,2018,NOW,,,'')&lt;/Q&gt;&lt;R&gt;1&lt;/R&gt;&lt;C&gt;1&lt;/C&gt;&lt;D xsi:type="xsd:double"&gt;-67.76857&lt;/D&gt;&lt;/FQL&gt;&lt;FQL&gt;&lt;Q&gt;CSOD^FE_ESTIMATE(EBIT_ADJ,MEAN,ANN_ROLL,2018,NOW,,,'')&lt;/Q&gt;&lt;R&gt;1&lt;/R&gt;&lt;C&gt;1&lt;/C&gt;&lt;D xsi:type="xsd:double"&gt;63.397&lt;/D&gt;&lt;/FQL&gt;&lt;FQL&gt;&lt;Q&gt;PFPT^FE_ESTIMATE(EBIT_ADJ,MEAN,ANN_ROLL,2018,NOW,,,'')&lt;/Q&gt;&lt;R&gt;1&lt;/R&gt;&lt;C&gt;1&lt;/C&gt;&lt;D xsi:type="xsd:double"&gt;84.491875&lt;/D&gt;&lt;/FQL&gt;&lt;FQL&gt;&lt;Q&gt;WDAY^FE_ESTIMATE(EBIT_ADJ,MEAN,ANN_ROLL,2018,NOW,,,'')&lt;/Q&gt;&lt;R&gt;1&lt;/R&gt;&lt;C&gt;1&lt;/C&gt;&lt;D xsi:type="xsd:double"&gt;291.257&lt;/D&gt;&lt;/FQL&gt;&lt;FQL&gt;&lt;Q&gt;NOW^FE_ESTIMATE(EBIT_ADJ,MEAN,ANN_ROLL,2018,NOW,,,'')&lt;/Q&gt;&lt;R&gt;1&lt;/R&gt;&lt;C&gt;1&lt;/C&gt;&lt;D xsi:type="xsd:double"&gt;527.7931&lt;/D&gt;&lt;/FQL&gt;&lt;FQL&gt;&lt;Q&gt;CRM^FE_ESTIMATE(EBIT_ADJ,MEAN,ANN_ROLL,2018,NOW,,,'')&lt;/Q&gt;&lt;R&gt;1&lt;/R&gt;&lt;C&gt;1&lt;/C&gt;&lt;D xsi:type="xsd:double"&gt;2216.9722&lt;/D&gt;&lt;/FQL&gt;&lt;FQL&gt;&lt;Q&gt;CARB^IF(P_DATE(0,,,"DATEN")&amp;gt;FE_ESTIMATE_DATE(RPT_DATE,,ANN_ROLL,2018,'YYYYMMDD',0,,,''),AVAIL(AVAIL(FF_ADJ_EBIT(ANN,2018),FF_ARPT_SERIES('OPERATING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xsi:type="xsd:double"&gt;11.237&lt;/D&gt;&lt;/FQL&gt;&lt;FQL&gt;&lt;Q&gt;CLDR^IF(P_DATE(0,,,"DATEN")&amp;gt;FE_ESTIMATE_DATE(RPT_DATE,,ANN_ROLL,2018,'YYYYMMDD',0,,,''),AVAIL(AVAIL(FF_ADJ_EBIT(ANN,2018),FF_ARPT_SERIES('OPERATING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xsi:type="xsd:double"&gt;-67.27&lt;/D&gt;&lt;/FQL&gt;&lt;FQL&gt;&lt;Q&gt;CSOD^IF(P_DATE(0,,,"DATEN")&amp;gt;FE_ESTIMATE_DATE(RPT_DATE,,ANN_ROLL,2018,'YYYYMMDD',0,,,''),AVAIL(AVAIL(FF_ADJ_EBIT(ANN,2018),FF_ARPT_SERIES('OPERATING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xsi:type="xsd:double"&gt;63.397&lt;/D&gt;&lt;/FQL&gt;&lt;FQL&gt;&lt;Q&gt;PFPT^IF(P_DATE(0,,,"DATEN")&amp;gt;FE_ESTIMATE_DATE(RPT_DATE,,ANN_ROLL,2018,'YYYYMMDD',0,,,''),AVAIL(AVAIL(FF_ADJ_EBIT(ANN,2018),FF_ARPT_SERIES('OPERATING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xsi:type="xsd:double"&gt;83.587&lt;/D&gt;&lt;/FQL&gt;&lt;FQL&gt;&lt;Q&gt;WDAY^IF(P_DATE(0,,,"DATEN")&amp;gt;FE_ESTIMATE_DATE(RPT_DATE,,ANN_ROLL,2018,'YYYYMMDD',0,,,''),AVAIL(AVAIL(FF_ADJ_EBIT(ANN,2018),FF_ARPT_SERIES('OPERATING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xsi:type="xsd:double"&gt;291.257&lt;/D&gt;&lt;/FQL&gt;&lt;FQL&gt;&lt;Q&gt;NOW^IF(P_DATE(0,,,"DATEN")&amp;gt;FE_ESTIMATE_DATE(RPT_DATE,,ANN_ROLL,2018,'YYYYMMDD',0,,,''),AVAIL(AVAIL(FF_ADJ_EBIT(ANN,2018),FF_ARPT_SERIES('OPERATING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xsi:type="xsd:double"&gt;527.763&lt;/D&gt;&lt;/FQL&gt;&lt;FQL&gt;&lt;Q&gt;CRM^IF(P_DATE(0,,,"DATEN")&amp;gt;FE_ESTIMATE_DATE(RPT_DATE,,ANN_ROLL,2018,'YYYYMMDD',0,,,''),AVAIL(AVAIL(FF_ADJ_EBIT(ANN,2018),FF_ARPT_SERIES('OPERATING INCOME / LOSS','ANN',2018,,'M','IS')),FF_EBIT_OPER(ANN,2018)),FE_ESTIMATE(EBIT_ADJ,MEAN,ANN_ROLL,2018,NOW,,,''))&lt;/Q&gt;&lt;R&gt;1&lt;/R&gt;&lt;C&gt;1&lt;/C&gt;&lt;D xsi:type="xsd:double"&gt;2265&lt;/D&gt;&lt;/FQL&gt;&lt;FQL&gt;&lt;Q&gt;DELL^IF(FE_ACTUAL(FLAG,EBIT_ADJ,ANN_ROLL,2018,,,,'')!=3,FE_ACTUAL(ACTUAL,EBIT_ADJ,ANN_ROLL,2018,,,,''),FLOAT_NA)&lt;/Q&gt;&lt;R&gt;1&lt;/R&gt;&lt;C&gt;1&lt;/C&gt;&lt;D xsi:type="xsd:double"&gt;8854&lt;/D&gt;&lt;/FQL&gt;&lt;FQL&gt;&lt;Q&gt;CARB^IF(FE_ACTUAL(FLAG,EBIT_ADJ,ANN_ROLL,2018,,,,'')!=3,FE_ACTUAL(ACTUAL,EBIT_ADJ,ANN_ROLL,2018,,,,''),FLOAT_NA)&lt;/Q&gt;&lt;R&gt;0&lt;/R&gt;&lt;C&gt;0&lt;/C&gt;&lt;/FQL&gt;&lt;FQL&gt;&lt;Q&gt;CLDR^IF(FE_ACTUAL(FLAG,EBIT_ADJ,ANN_ROLL,2018,,,,'')!=3,FE_ACTUAL(ACTUAL,EBIT_ADJ,ANN_ROLL,2018,,,,''),FLOAT_NA)&lt;/Q&gt;&lt;R&gt;0&lt;/R&gt;&lt;C&gt;0&lt;/C&gt;&lt;/FQL&gt;&lt;FQL&gt;&lt;Q&gt;CSOD^IF(FE_ACTUAL(FLAG,EBIT_ADJ,ANN_ROLL,2018,,,,'')!=3,FE_ACTUAL(ACTUAL,EBIT_ADJ,ANN_ROLL,2018,,,,''),FLOAT_NA)&lt;/Q&gt;&lt;R&gt;1&lt;/R&gt;&lt;C&gt;1&lt;/C&gt;&lt;D xsi:type="xsd:double"&gt;63.397&lt;/D&gt;&lt;/FQL&gt;&lt;FQL&gt;&lt;Q&gt;PFPT^IF(FE_ACTUAL(FLAG,EBIT_ADJ,ANN_ROLL,2018,,,,'')!=3,FE_ACTUAL(ACTUAL,EBIT_ADJ,ANN_ROLL,2018,,,,''),FLOAT_NA)&lt;/Q&gt;&lt;R&gt;0&lt;/R&gt;&lt;C&gt;0&lt;/C&gt;&lt;/FQL&gt;&lt;FQL&gt;&lt;Q&gt;WDAY^IF(FE_ACTUAL(FLAG,EBIT_ADJ,ANN_ROLL,2018,,,,'')!=3,FE_ACTUAL(ACTUAL,EBIT_ADJ,ANN_ROLL,2018,,,,''),FLOAT_NA)&lt;/Q&gt;&lt;R&gt;1&lt;/R&gt;&lt;C&gt;1&lt;/C&gt;&lt;D xsi:type="xsd:double"&gt;291.257&lt;/D&gt;&lt;/FQL&gt;&lt;FQL&gt;&lt;Q&gt;NOW^IF(FE_ACTUAL(FLAG,EBIT_ADJ,ANN_ROLL,2018,,,,'')!=3,FE_ACTUAL(ACTUAL,EBIT_ADJ,ANN_ROLL,2018,,,,''),FLOAT_NA)&lt;/Q&gt;&lt;R&gt;0&lt;/R&gt;&lt;C&gt;0&lt;/C&gt;&lt;/FQL&gt;&lt;FQL&gt;&lt;Q&gt;CRM^IF(FE_ACTUAL(FLAG,EBIT_ADJ,ANN_ROLL,2018,,,,'')!=3,FE_ACTUAL(ACTUAL,EBIT_ADJ,ANN_ROLL,2018,,,,''),FLOAT_NA)&lt;/Q&gt;&lt;R&gt;0&lt;/R&gt;&lt;C&gt;0&lt;/C&gt;&lt;/FQL&gt;&lt;FQL&gt;&lt;Q&gt;DELL^FF_EBIT_OPER(ANN,2018)&lt;/Q&gt;&lt;R&gt;1&lt;/R&gt;&lt;C&gt;1&lt;/C&gt;&lt;D xsi:type="xsd:double"&gt;549&lt;/D&gt;&lt;/FQL&gt;&lt;FQL&gt;&lt;Q&gt;CARB^FF_EBIT_OPER(ANN,2018)&lt;/Q&gt;&lt;R&gt;1&lt;/R&gt;&lt;C&gt;1&lt;/C&gt;&lt;D xsi:type="xsd:double"&gt;11.237&lt;/D&gt;&lt;/FQL&gt;&lt;FQL&gt;&lt;Q&gt;CLDR^FF_EBIT_OPER(ANN,2018)&lt;/Q&gt;&lt;R&gt;1&lt;/R&gt;&lt;C&gt;1&lt;/C&gt;&lt;D xsi:type="xsd:double"&gt;-193.764&lt;/D&gt;&lt;/FQL&gt;&lt;FQL&gt;&lt;Q&gt;CSOD^FF_EBIT_OPER(ANN,2018)&lt;/Q&gt;&lt;R&gt;1&lt;/R&gt;&lt;C&gt;1&lt;/C&gt;&lt;D xsi:type="xsd:double"&gt;2.277&lt;/D&gt;&lt;/FQL&gt;&lt;FQL&gt;&lt;Q&gt;PFPT^FF_EBIT_OPER(ANN,2018)&lt;/Q&gt;&lt;R&gt;1&lt;/R&gt;&lt;C&gt;1&lt;/C&gt;&lt;D xsi:type="xsd:double"&gt;-101.071&lt;/D&gt;&lt;/FQL&gt;&lt;FQL&gt;&lt;Q&gt;WDAY^FF_EBIT_OPER(ANN,2018)&lt;/Q&gt;&lt;R&gt;1&lt;/R&gt;&lt;C&gt;1&lt;/C&gt;&lt;D xsi:type="xsd:double"&gt;-431.272&lt;/D&gt;&lt;/FQL&gt;&lt;FQL&gt;&lt;Q&gt;NOW^FF_EBIT_OPER(ANN,2018)&lt;/Q&gt;&lt;R&gt;1&lt;/R&gt;&lt;C&gt;1&lt;/C&gt;&lt;D xsi:type="xsd:double"&gt;-41.426&lt;/D&gt;&lt;/FQL&gt;&lt;FQL&gt;&lt;Q&gt;CRM^FF_EBIT_OPER(ANN,2018)&lt;/Q&gt;&lt;R&gt;1&lt;/R&gt;&lt;C&gt;1&lt;/C&gt;&lt;D xsi:type="xsd:double"&gt;562&lt;/D&gt;&lt;/FQL&gt;&lt;FQL&gt;&lt;Q&gt;DELL^AVAIL(AVAIL(AVAIL(AVAIL(FF_ARPT_SERIES('OPERATING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xsi:type="xsd:double"&gt;-191&lt;/D&gt;&lt;/FQL&gt;&lt;FQL&gt;&lt;Q&gt;CARB^AVAIL(AVAIL(AVAIL(AVAIL(FF_ARPT_SERIES('OPERATING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xsi:type="xsd:double"&gt;3.667&lt;/D&gt;&lt;/FQL&gt;&lt;FQL&gt;&lt;Q&gt;CLDR^AVAIL(AVAIL(AVAIL(AVAIL(FF_ARPT_SERIES('OPERATING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OPERATIONS','ANN',2018,,'M','IS'))&lt;/Q&gt;&lt;R&gt;0&lt;/R&gt;&lt;C&gt;0&lt;/C&gt;&lt;/FQL&gt;&lt;FQL&gt;&lt;Q&gt;CSOD^AVAIL(AVAIL(AVAIL(AVAIL(FF_ARPT_SERIES('OPERATING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xsi:type="xsd:double"&gt;-7.769&lt;/D&gt;&lt;/FQL&gt;&lt;FQL&gt;&lt;Q&gt;PFPT^AVAIL(AVAIL(AVAIL(AVAIL(FF_ARPT_SERIES('OPERATING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xsi:type="xsd:double"&gt;-101.710999&lt;/D&gt;&lt;/FQL&gt;&lt;FQL&gt;&lt;Q&gt;WDAY^AVAIL(AVAIL(AVAIL(AVAIL(FF_ARPT_SERIES('OPERATING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xsi:type="xsd:double"&gt;-463.283997&lt;/D&gt;&lt;/FQL&gt;&lt;FQL&gt;&lt;Q&gt;NOW^AVAIL(AVAIL(AVAIL(AVAIL(FF_ARPT_SERIES('OPERATING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xsi:type="xsd:double"&gt;-42.425999&lt;/D&gt;&lt;/FQL&gt;&lt;FQL&gt;&lt;Q&gt;CRM^AVAIL(AVAIL(AVAIL(AVAIL(FF_ARPT_SERIES('OPERATING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OPERATIONS','ANN',2018,,'M','IS'))&lt;/Q&gt;&lt;R&gt;1&lt;/R&gt;&lt;C&gt;1&lt;/C&gt;&lt;D xsi:type="xsd:double"&gt;535&lt;/D&gt;&lt;/FQL&gt;&lt;FQL&gt;&lt;Q&gt;DELL^AVAIL(FF_ARPT_SERIES('NON-GAAP OPERATING INCOME','ANN',2018,,'M','NG-IS'),FF_ARPT_SERIES('NON-GAAP INCOME FROM OPERATIONS','ANN',2018,,'M','NG-IS'))&lt;/Q&gt;&lt;R&gt;1&lt;/R&gt;&lt;C&gt;1&lt;/C&gt;&lt;D xsi:type="xsd:double"&gt;8854&lt;/D&gt;&lt;/FQL&gt;&lt;FQL&gt;&lt;Q&gt;CARB^AVAIL(FF_ARPT_SERIES('NON-GAAP OPERATING INCOME','ANN',2018,,'M','NG-IS'),FF_ARPT_SERIES('NON-GAAP INCOME FROM OPERATIONS','ANN',2018,,'M','NG-IS'))&lt;/Q&gt;&lt;R&gt;0&lt;/R&gt;&lt;C&gt;0&lt;/C&gt;&lt;/FQL&gt;&lt;FQL&gt;&lt;Q&gt;CLDR^AVAIL(FF_ARPT_SERIES('NON-GAAP OPERATING INCOME','ANN',2018,,'M','NG-IS'),FF_ARPT_SERIES('NON-GAAP INCOME FROM OPERATIONS','ANN',2018,,'M','NG-IS'))&lt;/Q&gt;&lt;R&gt;0&lt;/R&gt;&lt;C&gt;0&lt;/C&gt;&lt;/FQL&gt;&lt;FQL&gt;&lt;Q&gt;CSOD^AVAIL(FF_ARPT_SERIES('NON-GAAP OPERATING INCOME','ANN',2018,,'M','NG-IS'),FF_ARPT_SERIES('NON-GAAP INCOME FROM OPERATIONS','ANN',2018,,'M','NG-IS'))&lt;/Q&gt;&lt;R&gt;0&lt;/R&gt;&lt;C&gt;0&lt;/C&gt;&lt;/FQL&gt;&lt;FQL&gt;&lt;Q&gt;PFPT^AVAIL(FF_ARPT_SERIES('NON-GAAP OPERATING INCOME','ANN',2018,,'M','NG-IS'),FF_ARPT_SERIES('NON-GAAP INCOME FROM OPERATIONS','ANN',2018,,'M','NG-IS'))&lt;/Q&gt;&lt;R&gt;0&lt;/R&gt;&lt;C&gt;0&lt;/C&gt;&lt;/FQL&gt;&lt;FQL&gt;&lt;Q&gt;WDAY^AVAIL(FF_ARPT_SERIES('NON-GAAP OPERATING INCOME','ANN',2018,,'M','NG-IS'),FF_ARPT_SERIES('NON-GAAP INCOME FROM OPERATIONS','ANN',2018,,'M','NG-IS'))&lt;/Q&gt;&lt;R&gt;0&lt;/R&gt;&lt;C&gt;0&lt;/C&gt;&lt;/FQL&gt;&lt;FQL&gt;&lt;Q&gt;NOW^AVAIL(FF_ARPT_SERIES('NON-GAAP OPERATING INCOME','ANN',2018,,'M','NG-IS'),FF_ARPT_SERIES('NON-GAAP INCOME FROM OPERATIONS','ANN',2018,,'M','NG-IS'))&lt;/Q&gt;&lt;R&gt;1&lt;/R&gt;&lt;C&gt;1&lt;/C&gt;&lt;D xsi:type="xsd:double"&gt;527.763&lt;/D&gt;&lt;/FQL&gt;&lt;FQL&gt;&lt;Q&gt;CRM^AVAIL(FF_ARPT_SERIES('NON-GAAP OPERATING INCOME','ANN',2018,,'M','NG-IS'),FF_ARPT_SERIES('NON-GAAP INCOME FROM OPERATIONS','ANN',2018,,'M','NG-IS'))&lt;/Q&gt;&lt;R&gt;1&lt;/R&gt;&lt;C&gt;1&lt;/C&gt;&lt;D xsi:type="xsd:double"&gt;2265&lt;/D&gt;&lt;/FQL&gt;&lt;FQL&gt;&lt;Q&gt;DELL^FF_ADJ_EBIT(ANN,2018)&lt;/Q&gt;&lt;R&gt;1&lt;/R&gt;&lt;C&gt;1&lt;/C&gt;&lt;D xsi:type="xsd:double"&gt;8854&lt;/D&gt;&lt;/FQL&gt;&lt;FQL&gt;&lt;Q&gt;CARB^FF_ADJ_EBIT(ANN,2018)&lt;/Q&gt;&lt;R&gt;0&lt;/R&gt;&lt;C&gt;0&lt;/C&gt;&lt;/FQL&gt;&lt;FQL&gt;&lt;Q&gt;CLDR^FF_ADJ_EBIT(ANN,2018)&lt;/Q&gt;&lt;R&gt;1&lt;/R&gt;&lt;C&gt;1&lt;/C&gt;&lt;D xsi:type="xsd:double"&gt;-67.27&lt;/D&gt;&lt;/FQL&gt;&lt;FQL&gt;&lt;Q&gt;CSOD^FF_ADJ_EBIT(ANN,2018)&lt;/Q&gt;&lt;R&gt;1&lt;/R&gt;&lt;C&gt;1&lt;/C&gt;&lt;D xsi:type="xsd:double"&gt;63.397&lt;/D&gt;&lt;/FQL&gt;&lt;FQL&gt;&lt;Q&gt;PFPT^FF_AD</t>
        </r>
      </text>
    </comment>
    <comment ref="A2" authorId="0" shapeId="0" xr:uid="{5BD9AE9F-0683-47BF-800C-A382F912304B}">
      <text>
        <r>
          <rPr>
            <b/>
            <sz val="9"/>
            <color indexed="81"/>
            <rFont val="Tahoma"/>
            <family val="2"/>
          </rPr>
          <t>J_EBIT(ANN,2018)&lt;/Q&gt;&lt;R&gt;1&lt;/R&gt;&lt;C&gt;1&lt;/C&gt;&lt;D xsi:type="xsd:double"&gt;83.587&lt;/D&gt;&lt;/FQL&gt;&lt;FQL&gt;&lt;Q&gt;WDAY^FF_ADJ_EBIT(ANN,2018)&lt;/Q&gt;&lt;R&gt;1&lt;/R&gt;&lt;C&gt;1&lt;/C&gt;&lt;D xsi:type="xsd:double"&gt;291.257&lt;/D&gt;&lt;/FQL&gt;&lt;FQL&gt;&lt;Q&gt;NOW^FF_ADJ_EBIT(ANN,2018)&lt;/Q&gt;&lt;R&gt;1&lt;/R&gt;&lt;C&gt;1&lt;/C&gt;&lt;D xsi:type="xsd:double"&gt;527.763&lt;/D&gt;&lt;/FQL&gt;&lt;FQL&gt;&lt;Q&gt;CRM^FF_ADJ_EBIT(ANN,2018)&lt;/Q&gt;&lt;R&gt;1&lt;/R&gt;&lt;C&gt;1&lt;/C&gt;&lt;D xsi:type="xsd:double"&gt;2265&lt;/D&gt;&lt;/FQL&gt;&lt;FQL&gt;&lt;Q&gt;DELL^FE_ESTIMATE(EBITDA_ADJ,MEAN,ANN_ROLL,2018,NOW,,,'')&lt;/Q&gt;&lt;R&gt;1&lt;/R&gt;&lt;C&gt;1&lt;/C&gt;&lt;D xsi:type="xsd:double"&gt;10296&lt;/D&gt;&lt;/FQL&gt;&lt;FQL&gt;&lt;Q&gt;CARB^FE_ESTIMATE(EBITDA_ADJ,MEAN,ANN_ROLL,2018,NOW,,,'')&lt;/Q&gt;&lt;R&gt;1&lt;/R&gt;&lt;C&gt;1&lt;/C&gt;&lt;D xsi:type="xsd:double"&gt;77.034&lt;/D&gt;&lt;/FQL&gt;&lt;FQL&gt;&lt;Q&gt;CLDR^FE_ESTIMATE(EBITDA_ADJ,MEAN,ANN_ROLL,2018,NOW,,,'')&lt;/Q&gt;&lt;R&gt;1&lt;/R&gt;&lt;C&gt;1&lt;/C&gt;&lt;D xsi:type="xsd:double"&gt;-41.146&lt;/D&gt;&lt;/FQL&gt;&lt;FQL&gt;&lt;Q&gt;CSOD^FE_ESTIMATE(EBITDA_ADJ,MEAN,ANN_ROLL,2018,NOW,,,'')&lt;/Q&gt;&lt;R&gt;1&lt;/R&gt;&lt;C&gt;1&lt;/C&gt;&lt;D xsi:type="xsd:double"&gt;96.804&lt;/D&gt;&lt;/FQL&gt;&lt;FQL&gt;&lt;Q&gt;PFPT^FE_ESTIMATE(EBITDA_ADJ,MEAN,ANN_ROLL,2018,NOW,,,'')&lt;/Q&gt;&lt;R&gt;1&lt;/R&gt;&lt;C&gt;1&lt;/C&gt;&lt;D xsi:type="xsd:double"&gt;119.707&lt;/D&gt;&lt;/FQL&gt;&lt;FQL&gt;&lt;Q&gt;WDAY^FE_ESTIMATE(EBITDA_ADJ,MEAN,ANN_ROLL,2018,NOW,,,'')&lt;/Q&gt;&lt;R&gt;1&lt;/R&gt;&lt;C&gt;1&lt;/C&gt;&lt;D xsi:type="xsd:double"&gt;489.38968&lt;/D&gt;&lt;/FQL&gt;&lt;FQL&gt;&lt;Q&gt;NOW^FE_ESTIMATE(EBITDA_ADJ,MEAN,ANN_ROLL,2018,NOW,,,'')&lt;/Q&gt;&lt;R&gt;1&lt;/R&gt;&lt;C&gt;1&lt;/C&gt;&lt;D xsi:type="xsd:double"&gt;664.6912&lt;/D&gt;&lt;/FQL&gt;&lt;FQL&gt;&lt;Q&gt;CRM^FE_ESTIMATE(EBITDA_ADJ,MEAN,ANN_ROLL,2018,NOW,,,'')&lt;/Q&gt;&lt;R&gt;1&lt;/R&gt;&lt;C&gt;1&lt;/C&gt;&lt;D xsi:type="xsd:double"&gt;3009.5&lt;/D&gt;&lt;/FQL&gt;&lt;FQL&gt;&lt;Q&gt;CARB^IF(P_DATE(0,,,"DATEN")&amp;gt;FE_ESTIMATE_DATE(RPT_DATE,,ANN_ROLL,2018,'YYYYMMDD',0,,,''),AVAIL(AVAIL(FF_ADJ_EBITDA(ANN,2018),FF_ARPT_SERIES('ADJUSTED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xsi:type="xsd:double"&gt;77.034&lt;/D&gt;&lt;/FQL&gt;&lt;FQL&gt;&lt;Q&gt;CLDR^IF(P_DATE(0,,,"DATEN")&amp;gt;FE_ESTIMATE_DATE(RPT_DATE,,ANN_ROLL,2018,'YYYYMMDD',0,,,''),AVAIL(AVAIL(FF_ADJ_EBITDA(ANN,2018),FF_ARPT_SERIES('ADJUSTED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xsi:type="xsd:double"&gt;-176.336&lt;/D&gt;&lt;/FQL&gt;&lt;FQL&gt;&lt;Q&gt;CSOD^IF(P_DATE(0,,,"DATEN")&amp;gt;FE_ESTIMATE_DATE(RPT_DATE,,ANN_ROLL,2018,'YYYYMMDD',0,,,''),AVAIL(AVAIL(FF_ADJ_EBITDA(ANN,2018),FF_ARPT_SERIES('ADJUSTED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xsi:type="xsd:double"&gt;37.537&lt;/D&gt;&lt;/FQL&gt;&lt;FQL&gt;&lt;Q&gt;PFPT^IF(P_DATE(0,,,"DATEN")&amp;gt;FE_ESTIMATE_DATE(RPT_DATE,,ANN_ROLL,2018,'YYYYMMDD',0,,,''),AVAIL(AVAIL(FF_ADJ_EBITDA(ANN,2018),FF_ARPT_SERIES('ADJUSTED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xsi:type="xsd:double"&gt;-27.518&lt;/D&gt;&lt;/FQL&gt;&lt;FQL&gt;&lt;Q&gt;WDAY^IF(P_DATE(0,,,"DATEN")&amp;gt;FE_ESTIMATE_DATE(RPT_DATE,,ANN_ROLL,2018,'YYYYMMDD',0,,,''),AVAIL(AVAIL(FF_ADJ_EBITDA(ANN,2018),FF_ARPT_SERIES('ADJUSTED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xsi:type="xsd:double"&gt;-233.161&lt;/D&gt;&lt;/FQL&gt;&lt;FQL&gt;&lt;Q&gt;NOW^IF(P_DATE(0,,,"DATEN")&amp;gt;FE_ESTIMATE_DATE(RPT_DATE,,ANN_ROLL,2018,'YYYYMMDD',0,,,''),AVAIL(AVAIL(FF_ADJ_EBITDA(ANN,2018),FF_ARPT_SERIES('ADJUSTED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xsi:type="xsd:double"&gt;106.774&lt;/D&gt;&lt;/FQL&gt;&lt;FQL&gt;&lt;Q&gt;CRM^IF(P_DATE(0,,,"DATEN")&amp;gt;FE_ESTIMATE_DATE(RPT_DATE,,ANN_ROLL,2018,'YYYYMMDD',0,,,''),AVAIL(AVAIL(FF_ADJ_EBITDA(ANN,2018),FF_ARPT_SERIES('ADJUSTED EBITDA','ANN',2018,,'M','NG-IS')),FF_EBITDA_OPER(ANN,2018)),FE_ESTIMATE(EBITDA_ADJ,MEAN,ANN_ROLL,2018,NOW,,,''))&lt;/Q&gt;&lt;R&gt;1&lt;/R&gt;&lt;C&gt;1&lt;/C&gt;&lt;D xsi:type="xsd:double"&gt;2157&lt;/D&gt;&lt;/FQL&gt;&lt;FQL&gt;&lt;Q&gt;DELL^IF(FE_ACTUAL(FLAG,EBITDA_ADJ,ANN_ROLL,2018,,,,'')!=3,FE_ACTUAL(ACTUAL,EBITDA_ADJ,ANN_ROLL,2018,,,,''),FLOAT_NA)&lt;/Q&gt;&lt;R&gt;0&lt;/R&gt;&lt;C&gt;0&lt;/C&gt;&lt;/FQL&gt;&lt;FQL&gt;&lt;Q&gt;CARB^IF(FE_ACTUAL(FLAG,EBITDA_ADJ,ANN_ROLL,2018,,,,'')!=3,FE_ACTUAL(ACTUAL,EBITDA_ADJ,ANN_ROLL,2018,,,,''),FLOAT_NA)&lt;/Q&gt;&lt;R&gt;1&lt;/R&gt;&lt;C&gt;1&lt;/C&gt;&lt;D xsi:type="xsd:double"&gt;77.034&lt;/D&gt;&lt;/FQL&gt;&lt;FQL&gt;&lt;Q&gt;CLDR^IF(FE_ACTUAL(FLAG,EBITDA_ADJ,ANN_ROLL,2018,,,,'')!=3,FE_ACTUAL(ACTUAL,EBITDA_ADJ,ANN_ROLL,2018,,,,''),FLOAT_NA)&lt;/Q&gt;&lt;R&gt;0&lt;/R&gt;&lt;C&gt;0&lt;/C&gt;&lt;/FQL&gt;&lt;FQL&gt;&lt;Q&gt;CSOD^IF(FE_ACTUAL(FLAG,EBITDA_ADJ,ANN_ROLL,2018,,,,'')!=3,FE_ACTUAL(ACTUAL,EBITDA_ADJ,ANN_ROLL,2018,,,,''),FLOAT_NA)&lt;/Q&gt;&lt;R&gt;0&lt;/R&gt;&lt;C&gt;0&lt;/C&gt;&lt;/FQL&gt;&lt;FQL&gt;&lt;Q&gt;PFPT^IF(FE_ACTUAL(FLAG,EBITDA_ADJ,ANN_ROLL,2018,,,,'')!=3,FE_ACTUAL(ACTUAL,EBITDA_ADJ,ANN_ROLL,2018,,,,''),FLOAT_NA)&lt;/Q&gt;&lt;R&gt;0&lt;/R&gt;&lt;C&gt;0&lt;/C&gt;&lt;/FQL&gt;&lt;FQL&gt;&lt;Q&gt;WDAY^IF(FE_ACTUAL(FLAG,EBITDA_ADJ,ANN_ROLL,2018,,,,'')!=3,FE_ACTUAL(ACTUAL,EBITDA_ADJ,ANN_ROLL,2018,,,,''),FLOAT_NA)&lt;/Q&gt;&lt;R&gt;0&lt;/R&gt;&lt;C&gt;0&lt;/C&gt;&lt;/FQL&gt;&lt;FQL&gt;&lt;Q&gt;NOW^IF(FE_ACTUAL(FLAG,EBITDA_ADJ,ANN_ROLL,2018,,,,'')!=3,FE_ACTUAL(ACTUAL,EBITDA_ADJ,ANN_ROLL,2018,,,,''),FLOAT_NA)&lt;/Q&gt;&lt;R&gt;0&lt;/R&gt;&lt;C&gt;0&lt;/C&gt;&lt;/FQL&gt;&lt;FQL&gt;&lt;Q&gt;CRM^IF(FE_ACTUAL(FLAG,EBITDA_ADJ,ANN_ROLL,2018,,,,'')!=3,FE_ACTUAL(ACTUAL,EBITDA_ADJ,ANN_ROLL,2018,,,,''),FLOAT_NA)&lt;/Q&gt;&lt;R&gt;0&lt;/R&gt;&lt;C&gt;0&lt;/C&gt;&lt;/FQL&gt;&lt;FQL&gt;&lt;Q&gt;DELL^FF_EBITDA_OPER(ANN,2018)&lt;/Q&gt;&lt;R&gt;1&lt;/R&gt;&lt;C&gt;1&lt;/C&gt;&lt;D xsi:type="xsd:double"&gt;8295&lt;/D&gt;&lt;/FQL&gt;&lt;FQL&gt;&lt;Q&gt;CARB^FF_EBITDA_OPER(ANN,2018)&lt;/Q&gt;&lt;R&gt;1&lt;/R&gt;&lt;C&gt;1&lt;/C&gt;&lt;D xsi:type="xsd:double"&gt;53.023&lt;/D&gt;&lt;/FQL&gt;&lt;FQL&gt;&lt;Q&gt;CLDR^FF_EBITDA_OPER(ANN,2018)&lt;/Q&gt;&lt;R&gt;1&lt;/R&gt;&lt;C&gt;1&lt;/C&gt;&lt;D xsi:type="xsd:double"&gt;-176.336&lt;/D&gt;&lt;/FQL&gt;&lt;FQL&gt;&lt;Q&gt;CSOD^FF_EBITDA_OPER(ANN,2018)&lt;/Q&gt;&lt;R&gt;1&lt;/R&gt;&lt;C&gt;1&lt;/C&gt;&lt;D xsi:type="xsd:double"&gt;37.537&lt;/D&gt;&lt;/FQL&gt;&lt;FQL&gt;&lt;Q&gt;PFPT^FF_EBITDA_OPER(ANN,2018)&lt;/Q&gt;&lt;R&gt;1&lt;/R&gt;&lt;C&gt;1&lt;/C&gt;&lt;D xsi:type="xsd:double"&gt;-27.518&lt;/D&gt;&lt;/FQL&gt;&lt;FQL&gt;&lt;Q&gt;WDAY^FF_EBITDA_OPER(ANN,2018)&lt;/Q&gt;&lt;R&gt;1&lt;/R&gt;&lt;C&gt;1&lt;/C&gt;&lt;D xsi:type="xsd:double"&gt;-233.161&lt;/D&gt;&lt;/FQL&gt;&lt;FQL&gt;&lt;Q&gt;NOW^FF_EBITDA_OPER(ANN,2018)&lt;/Q&gt;&lt;R&gt;1&lt;/R&gt;&lt;C&gt;1&lt;/C&gt;&lt;D xsi:type="xsd:double"&gt;106.774&lt;/D&gt;&lt;/FQL&gt;&lt;FQL&gt;&lt;Q&gt;CRM^FF_EBITDA_OPER(ANN,2018)&lt;/Q&gt;&lt;R&gt;1&lt;/R&gt;&lt;C&gt;1&lt;/C&gt;&lt;D xsi:type="xsd:double"&gt;2157&lt;/D&gt;&lt;/FQL&gt;&lt;FQL&gt;&lt;Q&gt;DELL^FF_ARPT_SERIES('ADJUSTED EBITDA','ANN',2018,,'M','NG-IS')&lt;/Q&gt;&lt;R&gt;1&lt;/R&gt;&lt;C&gt;1&lt;/C&gt;&lt;D xsi:type="xsd:double"&gt;10296&lt;/D&gt;&lt;/FQL&gt;&lt;FQL&gt;&lt;Q&gt;CARB^FF_ARPT_SERIES('ADJUSTED EBITDA','ANN',2018,,'M','NG-IS')&lt;/Q&gt;&lt;R&gt;1&lt;/R&gt;&lt;C&gt;1&lt;/C&gt;&lt;D xsi:type="xsd:double"&gt;77.033997&lt;/D&gt;&lt;/FQL&gt;&lt;FQL&gt;&lt;Q&gt;CLDR^FF_ARPT_SERIES('ADJUSTED EBITDA','ANN',2018,,'M','NG-IS')&lt;/Q&gt;&lt;R&gt;0&lt;/R&gt;&lt;C&gt;0&lt;/C&gt;&lt;/FQL&gt;&lt;FQL&gt;&lt;Q&gt;CSOD^FF_ARPT_SERIES('ADJUSTED EBITDA','ANN',2018,,'M','NG-IS')&lt;/Q&gt;&lt;R&gt;0&lt;/R&gt;&lt;C&gt;0&lt;/C&gt;&lt;/FQL&gt;&lt;FQL&gt;&lt;Q&gt;PFPT^FF_ARPT_SERIES('ADJUSTED EBITDA','ANN',2018,,'M','NG-IS')&lt;/Q&gt;&lt;R&gt;0&lt;/R&gt;&lt;C&gt;0&lt;/C&gt;&lt;/FQL&gt;&lt;FQL&gt;&lt;Q&gt;WDAY^FF_ARPT_SERIES('ADJUSTED EBITDA','ANN',2018,,'M','NG-IS')&lt;/Q&gt;&lt;R&gt;0&lt;/R&gt;&lt;C&gt;0&lt;/C&gt;&lt;/FQL&gt;&lt;FQL&gt;&lt;Q&gt;NOW^FF_ARPT_SERIES('ADJUSTED EBITDA','ANN',2018,,'M','NG-IS')&lt;/Q&gt;&lt;R&gt;0&lt;/R&gt;&lt;C&gt;0&lt;/C&gt;&lt;/FQL&gt;&lt;FQL&gt;&lt;Q&gt;CRM^FF_ARPT_SERIES('ADJUSTED EBITDA','ANN',2018,,'M','NG-IS')&lt;/Q&gt;&lt;R&gt;0&lt;/R&gt;&lt;C&gt;0&lt;/C&gt;&lt;/FQL&gt;&lt;FQL&gt;&lt;Q&gt;DELL^FF_ADJ_EBITDA(ANN,2018)&lt;/Q&gt;&lt;R&gt;1&lt;/R&gt;&lt;C&gt;1&lt;/C&gt;&lt;D xsi:type="xsd:double"&gt;10296&lt;/D&gt;&lt;/FQL&gt;&lt;FQL&gt;&lt;Q&gt;CARB^FF_ADJ_EBITDA(ANN,2018)&lt;/Q&gt;&lt;R&gt;1&lt;/R&gt;&lt;C&gt;1&lt;/C&gt;&lt;D xsi:type="xsd:double"&gt;77.034&lt;/D&gt;&lt;/FQL&gt;&lt;FQL&gt;&lt;Q&gt;CLDR^FF_ADJ_EBITDA(ANN,2018)&lt;/Q&gt;&lt;R&gt;0&lt;/R&gt;&lt;C&gt;0&lt;/C&gt;&lt;/FQL&gt;&lt;FQL&gt;&lt;Q&gt;CSOD^FF_ADJ_EBITDA(ANN,2018)&lt;/Q&gt;&lt;R&gt;0&lt;/R&gt;&lt;C&gt;0&lt;/C&gt;&lt;/FQL&gt;&lt;FQL&gt;&lt;Q&gt;PFPT^FF_ADJ_EBITDA(ANN,2018)&lt;/Q&gt;&lt;R&gt;0&lt;/R&gt;&lt;C&gt;0&lt;/C&gt;&lt;/FQL&gt;&lt;FQL&gt;&lt;Q&gt;WDAY^FF_ADJ_EBITDA(ANN,2018)&lt;/Q&gt;&lt;R&gt;0&lt;/R&gt;&lt;C&gt;0&lt;/C&gt;&lt;/FQL&gt;&lt;FQL&gt;&lt;Q&gt;NOW^FF_ADJ_EBITDA(ANN,2018)&lt;/Q&gt;&lt;R&gt;0&lt;/R&gt;&lt;C&gt;0&lt;/C&gt;&lt;/FQL&gt;&lt;FQL&gt;&lt;Q&gt;CRM^FF_ADJ_EBITDA(ANN,2018)&lt;/Q&gt;&lt;R&gt;0&lt;/R&gt;&lt;C&gt;0&lt;/C&gt;&lt;/FQL&gt;&lt;FQL&gt;&lt;Q&gt;DELL^FE_ESTIMATE(SALES,MEAN,ANN_ROLL,2019,NOW,,,'')&lt;/Q&gt;&lt;R&gt;1&lt;/R&gt;&lt;C&gt;1&lt;/C&gt;&lt;D xsi:type="xsd:double"&gt;94813.54&lt;/D&gt;&lt;/FQL&gt;&lt;FQL&gt;&lt;Q&gt;CARB^FE_ESTIMATE(SALES,MEAN,ANN_ROLL,2019,NOW,,,'')&lt;/Q&gt;&lt;R&gt;1&lt;/R&gt;&lt;C&gt;1&lt;/C&gt;&lt;D xsi:type="xsd:double"&gt;479.25&lt;/D&gt;&lt;/FQL&gt;&lt;FQL&gt;&lt;Q&gt;CLDR^FE_ESTIMATE(SALES,MEAN,ANN_ROLL,2019,NOW,,,'')&lt;/Q&gt;&lt;R&gt;1&lt;/R&gt;&lt;C&gt;1&lt;/C&gt;&lt;D xsi:type="xsd:double"&gt;844.737&lt;/D&gt;&lt;/FQL&gt;&lt;FQL&gt;&lt;Q&gt;CSOD^FE_ESTIMATE(SALES,MEAN,ANN_ROLL,2019,NOW,,,'')&lt;/Q&gt;&lt;R&gt;1&lt;/R&gt;&lt;C&gt;1&lt;/C&gt;&lt;D xsi:type="xsd:double"&gt;563.6907&lt;/D&gt;&lt;/FQL&gt;&lt;FQL&gt;&lt;Q&gt;PFPT^FE_ESTIMATE(SALES,MEAN,ANN_ROLL,2019,NOW,,,'')&lt;/Q&gt;&lt;R&gt;1&lt;/R&gt;&lt;C&gt;1&lt;/C&gt;&lt;D xsi:type="xsd:double"&gt;873.2274&lt;/D&gt;&lt;/FQL&gt;&lt;FQL&gt;&lt;Q&gt;WDAY^FE_ESTIMATE(SALES,MEAN,ANN_ROLL,2019,NOW,,,'')&lt;/Q&gt;&lt;R&gt;1&lt;/R&gt;&lt;C&gt;1&lt;/C&gt;&lt;D xsi:type="xsd:double"&gt;3551.369&lt;/D&gt;&lt;/FQL&gt;&lt;FQL&gt;&lt;Q&gt;NOW^FE_ESTIMATE(SALES,MEAN,ANN_ROLL,2019,NOW,,,'')&lt;/Q&gt;&lt;R&gt;1&lt;/R&gt;&lt;C&gt;1&lt;/C&gt;&lt;D xsi:type="xsd:double"&gt;3428.1274&lt;/D&gt;&lt;/FQL&gt;&lt;FQL&gt;&lt;Q&gt;CRM^FE_ESTIMATE(SALES,MEAN,ANN_ROLL,2019,NOW,,,'')&lt;/Q&gt;&lt;R&gt;1&lt;/R&gt;&lt;C&gt;1&lt;/C&gt;&lt;D xsi:type="xsd:double"&gt;16039.593&lt;/D&gt;&lt;/FQL&gt;&lt;FQL&gt;&lt;Q&gt;CARB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479.25&lt;/D&gt;&lt;/FQL&gt;&lt;FQL&gt;&lt;Q&gt;CLDR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844.737&lt;/D&gt;&lt;/FQL&gt;&lt;FQL&gt;&lt;Q&gt;CSOD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563.6907&lt;/D&gt;&lt;/FQL&gt;&lt;FQL&gt;&lt;Q&gt;PFPT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873.2274&lt;/D&gt;&lt;/FQL&gt;&lt;FQL&gt;&lt;Q&gt;WDAY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3551.369&lt;/D&gt;&lt;/FQL&gt;&lt;FQL&gt;&lt;Q&gt;NOW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3428.1274&lt;/D&gt;&lt;/FQL&gt;&lt;FQL&gt;&lt;Q&gt;CRM^IF(P_DATE(0,,,"DATEN")&amp;gt;FE_ESTIMATE_DATE(RPT_DATE,,ANN_ROLL,2019,'YYYYMMDD',0,,,''),AVAIL(AVAIL(FF_ADJ_SALES(ANN,2019),FF_ARPT_SERIES('RV','ANN',2019,,'M','IS')),FF_SALES(ANN,2019)),FE_ESTIMATE(SALES,MEAN,ANN_ROLL,2019,NOW,,,''))&lt;/Q&gt;&lt;R&gt;1&lt;/R&gt;&lt;C&gt;1&lt;/C&gt;&lt;D xsi:type="xsd:double"&gt;16039.593&lt;/D&gt;&lt;/FQL&gt;&lt;FQL&gt;&lt;Q&gt;DELL^IF(FE_ACTUAL(FLAG,SALES,ANN_ROLL,2019,,,,'')!=3,FE_ACTUAL(ACTUAL,SALES,ANN_ROLL,2019,,,,''),FLOAT_NA)&lt;/Q&gt;&lt;R&gt;0&lt;/R&gt;&lt;C&gt;0&lt;/C&gt;&lt;/FQL&gt;&lt;FQL&gt;&lt;Q&gt;CARB^IF(FE_ACTUAL(FLAG,SALES,ANN_ROLL,2019,,,,'')!=3,FE_ACTUAL(ACTUAL,SALES,ANN_ROLL,2019,,,,''),FLOAT_NA)&lt;/Q&gt;&lt;R&gt;0&lt;/R&gt;&lt;C&gt;0&lt;/C&gt;&lt;/FQL&gt;&lt;FQL&gt;&lt;Q&gt;CLDR^IF(FE_ACTUAL(FLAG,SALES,ANN_ROLL,2019,,,,'')!=3,FE_ACTUAL(ACTUAL,SALES,ANN_ROLL,2019,,,,''),FLOAT_NA)&lt;/Q&gt;&lt;R&gt;0&lt;/R&gt;&lt;C&gt;0&lt;/C&gt;&lt;/FQL&gt;&lt;FQL&gt;&lt;Q&gt;CSOD^IF(FE_ACTUAL(FLAG,SALES,ANN_ROLL,2019,,,,'')!=3,FE_ACTUAL(ACTUAL,SALES,ANN_ROLL,2019,,,,''),FLOAT_NA)&lt;/Q&gt;&lt;R&gt;0&lt;/R&gt;&lt;C&gt;0&lt;/C&gt;&lt;/FQL&gt;&lt;FQL&gt;&lt;Q&gt;PFPT^IF(FE_ACTUAL(FLAG,SALES,ANN_ROLL,2019,,,,'')!=3,FE_ACTUAL(ACTUAL,SALES,ANN_ROLL,2019,,,,''),FLOAT_NA)&lt;/Q&gt;&lt;R&gt;0&lt;/R&gt;&lt;C&gt;0&lt;/C&gt;&lt;/FQL&gt;&lt;FQL&gt;&lt;Q&gt;WDAY^IF(FE_ACTUAL(FLAG,SALES,ANN_ROLL,2019,,,,'')!=3,FE_ACTUAL(ACTUAL,SALES,ANN_ROLL,2019,,,,''),FLOAT_NA)&lt;/Q&gt;&lt;R&gt;0&lt;/R&gt;&lt;C&gt;0&lt;/C&gt;&lt;/FQL&gt;&lt;FQL&gt;&lt;Q&gt;NOW^IF(FE_ACTUAL(FLAG,SALES,ANN_ROLL,2019,,,,'')!=3,FE_ACTUAL(ACTUAL,SALES,ANN_ROLL,2019,,,,''),FLOAT_NA)&lt;/Q&gt;&lt;R&gt;0&lt;/R&gt;&lt;C&gt;0&lt;/C&gt;&lt;/FQL&gt;&lt;FQL&gt;&lt;Q&gt;CRM^IF(FE_ACTUAL(FLAG,SALES,ANN_ROLL,2019,,,,'')!=3,FE_ACTUAL(ACTUAL,SALES,ANN_ROLL,2019,,,,''),FLOAT_NA)&lt;/Q&gt;&lt;R&gt;0&lt;/R&gt;&lt;C&gt;0&lt;/C&gt;&lt;/FQL&gt;&lt;FQL&gt;&lt;Q&gt;DELL^FF_SALES(ANN,2019)&lt;/Q&gt;&lt;R&gt;1&lt;/R&gt;&lt;C&gt;1&lt;/C&gt;&lt;D xsi:type="xsd:double"&gt;90396&lt;/D&gt;&lt;/FQL&gt;&lt;FQL&gt;&lt;Q&gt;CARB^FF_SALES(ANN,2019)&lt;/Q&gt;&lt;R&gt;1&lt;/R&gt;&lt;C&gt;1&lt;/C&gt;&lt;D xsi:type="xsd:double"&gt;296.408&lt;/D&gt;&lt;/FQL&gt;&lt;FQL&gt;&lt;Q&gt;CLDR^FF_SALES(ANN,2019)&lt;/Q&gt;&lt;R&gt;1&lt;/R&gt;&lt;C&gt;1&lt;/C&gt;&lt;D xsi:type="xsd:double"&gt;479.94099999999992&lt;/D&gt;&lt;/FQL&gt;&lt;FQL&gt;&lt;Q&gt;CSOD^FF_SALES(ANN,2019)&lt;/Q&gt;&lt;R&gt;1&lt;/R&gt;&lt;C&gt;1&lt;/C&gt;&lt;D xsi:type="xsd:double"&gt;537.891&lt;/D&gt;&lt;/FQL&gt;&lt;FQL&gt;&lt;Q&gt;PFPT^FF_SALES(ANN,2019)&lt;/Q&gt;&lt;R&gt;1&lt;/R&gt;&lt;C&gt;1&lt;/C&gt;&lt;D xsi:type="xsd:double"&gt;716.994&lt;/D&gt;&lt;/FQL&gt;&lt;FQL&gt;&lt;Q&gt;WDAY^FF_SALES(ANN,2019)&lt;/Q&gt;&lt;R&gt;1&lt;/R&gt;&lt;C&gt;1&lt;/C&gt;&lt;D xsi:type="xsd:double"&gt;2829.192&lt;/D&gt;&lt;/FQL&gt;&lt;FQL&gt;&lt;Q&gt;NOW^FF_SALES(ANN,2019)&lt;/Q&gt;&lt;R&gt;1&lt;/R&gt;&lt;C&gt;1&lt;/C&gt;&lt;D xsi:type="xsd:double"&gt;2608.816&lt;/D&gt;&lt;/FQL&gt;&lt;FQL&gt;&lt;Q&gt;CRM^FF_SALES(ANN,2019)&lt;/Q&gt;&lt;R&gt;1&lt;/R&gt;&lt;C&gt;1&lt;/C&gt;&lt;D xsi:type="xsd:double"&gt;13282&lt;/D&gt;&lt;/FQL&gt;&lt;FQL&gt;&lt;Q&gt;DELL^FF_ARPT_SERIES('RV','ANN',2019,,'M','IS')&lt;/Q&gt;&lt;R&gt;1&lt;/R&gt;&lt;C&gt;1&lt;/C&gt;&lt;D xsi:type="xsd:double"&gt;90621&lt;/D&gt;&lt;/FQL&gt;&lt;FQL&gt;&lt;Q&gt;CARB^FF_ARPT_SERIES('RV','ANN',2019,,'M','IS')&lt;/Q&gt;&lt;R&gt;1&lt;/R&gt;&lt;C&gt;1&lt;/C&gt;&lt;D xsi:type="xsd:double"&gt;296.40799&lt;/D&gt;&lt;/FQL&gt;&lt;FQL&gt;&lt;Q&gt;CLDR^FF_ARPT_SERIES('RV','ANN',2019,,'M','IS')&lt;/Q&gt;&lt;R&gt;1&lt;/R&gt;&lt;C&gt;1&lt;/C&gt;&lt;D xsi:type="xsd:double"&gt;479.94101&lt;/D&gt;&lt;/FQL&gt;&lt;FQL&gt;&lt;Q&gt;CSOD^FF_ARPT_SERIES('RV','ANN',2019,,'M','IS')&lt;/Q&gt;&lt;R&gt;1&lt;/R&gt;&lt;C&gt;1&lt;/C&gt;&lt;D xsi:type="xsd:double"&gt;537.890991&lt;/D&gt;&lt;/FQL&gt;&lt;FQL&gt;&lt;Q&gt;PFPT^FF_ARPT_SERIES('RV','ANN',2019,,'M','IS')&lt;/Q&gt;&lt;R&gt;1&lt;/R&gt;&lt;C&gt;1&lt;/C&gt;&lt;D xsi:type="xsd:double"&gt;716.994019&lt;/D&gt;&lt;/FQL&gt;&lt;FQL&gt;&lt;Q&gt;WDAY^FF_ARPT_SERIES('RV','ANN',2019,,'M','IS')&lt;/Q&gt;&lt;R&gt;1&lt;/R&gt;&lt;C&gt;1&lt;/C&gt;&lt;D xsi:type="xsd:double"&gt;2822.179932&lt;/D&gt;&lt;/FQL&gt;&lt;FQL&gt;&lt;Q&gt;NOW^FF_ARPT_SERIES('RV','ANN',2019,,'M','IS')&lt;/Q&gt;&lt;R&gt;1&lt;/R&gt;&lt;C&gt;1&lt;/C&gt;&lt;D xsi:type="xsd:double"&gt;2608.815918&lt;/D&gt;&lt;/FQL&gt;&lt;FQL&gt;&lt;Q&gt;CRM^FF_ARPT_SERIES('RV','ANN',2019,,'M','IS')&lt;/Q&gt;&lt;R&gt;1&lt;/R&gt;&lt;C&gt;1&lt;/C&gt;&lt;D xsi:type="xsd:double"&gt;13282&lt;/D&gt;&lt;/FQL&gt;&lt;FQL&gt;&lt;Q&gt;DELL^FF_ARPT_SERIES('NG-RV','ANN',2019,,'M','NG-IS')&lt;/Q&gt;&lt;R&gt;1&lt;/R&gt;&lt;C&gt;1&lt;/C&gt;&lt;D xsi:type="xsd:double"&gt;91324&lt;/D&gt;&lt;/FQL&gt;&lt;FQL&gt;&lt;Q&gt;CARB^FF_ARPT_SERIES('NG-RV','ANN',2019,,'M','NG-IS')&lt;/Q&gt;&lt;R&gt;1&lt;/R&gt;&lt;C&gt;1&lt;/C&gt;&lt;D xsi:type="xsd:double"&gt;301.898987&lt;/D&gt;&lt;/FQL&gt;&lt;FQL&gt;&lt;Q&gt;CLDR^FF_ARPT_SERIES('NG-RV','ANN',2019,,'M','NG-IS')&lt;/Q&gt;&lt;R&gt;0&lt;/R&gt;&lt;C&gt;0&lt;/C&gt;&lt;/FQL&gt;&lt;FQL&gt;&lt;Q&gt;CSOD^FF_ARPT_SERIES('NG-RV','ANN',2019,,'M','NG-IS')&lt;/Q&gt;&lt;R&gt;0&lt;/R&gt;&lt;C&gt;0&lt;/C&gt;&lt;/FQL&gt;&lt;FQL&gt;&lt;Q&gt;PFPT^FF_ARPT_SERIES('NG-RV','ANN',2019,,'M','NG-IS')&lt;/Q&gt;&lt;R&gt;0&lt;/R&gt;&lt;C&gt;0&lt;/C&gt;&lt;/FQL&gt;&lt;FQL&gt;&lt;Q&gt;WDAY^FF_ARPT_SERIES('NG-RV','ANN',2019,,'M','NG-IS')&lt;/Q&gt;&lt;R&gt;0&lt;/R&gt;&lt;C&gt;0&lt;/C&gt;&lt;/FQL&gt;&lt;FQL&gt;&lt;Q&gt;NOW^FF_ARPT_SERIES('NG-RV','ANN',2019,,'M','NG-IS')&lt;/Q&gt;&lt;R&gt;1&lt;/R&gt;&lt;C&gt;1&lt;/C&gt;&lt;D xsi:type="xsd:double"&gt;3088.834961&lt;/D&gt;&lt;/FQL&gt;&lt;FQL&gt;&lt;Q&gt;CRM^FF_ARPT_SERIES('NG-RV','ANN',2019,,'M','NG-IS')&lt;/Q&gt;&lt;R&gt;0&lt;/R&gt;&lt;C&gt;0&lt;/C&gt;&lt;/FQL&gt;&lt;FQL&gt;&lt;Q&gt;DELL^FF_ADJ_SALES(ANN,2019)&lt;/Q&gt;&lt;R&gt;1&lt;/R&gt;&lt;C&gt;1&lt;/C&gt;&lt;D xsi:type="xsd:double"&gt;91324&lt;/D&gt;&lt;/FQL&gt;&lt;FQL&gt;&lt;Q&gt;CARB^FF_ADJ_SALES(ANN,2019)&lt;/Q&gt;&lt;R&gt;1&lt;/R&gt;&lt;C&gt;1&lt;/C&gt;&lt;D xsi:type="xsd:double"&gt;301.899&lt;/D&gt;&lt;/FQL&gt;&lt;FQL&gt;&lt;Q&gt;CLDR^FF_ADJ_SALES(ANN,2019)&lt;/Q&gt;&lt;R&gt;0&lt;/R&gt;&lt;C&gt;0&lt;/C&gt;&lt;/FQL&gt;&lt;FQL&gt;&lt;Q&gt;CSOD^FF_ADJ_SALES(ANN,2019)&lt;/Q&gt;&lt;R&gt;0&lt;/R&gt;&lt;C&gt;0&lt;/C&gt;&lt;/FQL&gt;&lt;FQL&gt;&lt;Q&gt;PFPT^FF_ADJ_SALES(ANN,2019)&lt;/Q&gt;&lt;R&gt;0&lt;/R&gt;&lt;C&gt;0&lt;/C&gt;&lt;/FQL&gt;&lt;FQL&gt;&lt;Q&gt;WDAY^FF_ADJ_SALES(ANN,2019)&lt;/Q&gt;&lt;R&gt;0&lt;/R&gt;&lt;C&gt;0&lt;/C&gt;&lt;/FQL&gt;&lt;FQL&gt;&lt;Q&gt;NOW^FF_ADJ_SALES(ANN,2019)&lt;/Q&gt;&lt;R&gt;1&lt;/R&gt;&lt;C&gt;1&lt;/C&gt;&lt;D xsi:type="xsd:double"&gt;3088.835&lt;/D&gt;&lt;/FQL&gt;&lt;FQL&gt;&lt;Q&gt;CRM^FF_ADJ_SALES(ANN,2019)&lt;/Q&gt;&lt;R&gt;0&lt;/R&gt;&lt;C&gt;0&lt;/C&gt;&lt;/FQL&gt;&lt;FQL&gt;&lt;Q&gt;DELL^FE_ESTIMATE(FCF,MEAN,ANN_ROLL,2018,NOW,,,'')&lt;/Q&gt;&lt;R&gt;1&lt;/R&gt;&lt;C&gt;1&lt;/C&gt;&lt;D xsi:type="xsd:double"&gt;4816.25&lt;/D&gt;&lt;/FQL&gt;&lt;FQL&gt;&lt;Q&gt;CARB^FE_ESTIMATE(FCF,MEAN,ANN_ROLL,2018,NOW,,,'')&lt;/Q&gt;&lt;R&gt;1&lt;/R&gt;&lt;C&gt;1&lt;/C&gt;&lt;D xsi:type="xsd:double"&gt;50.105&lt;/D&gt;&lt;/FQL&gt;&lt;FQL&gt;&lt;Q&gt;CLDR^FE_ESTIMATE(FCF,MEAN,ANN_ROLL,2018,NOW,,,'')&lt;/Q&gt;&lt;R&gt;1&lt;/R&gt;&lt;C&gt;1&lt;/C&gt;&lt;D xsi:type="xsd:double"&gt;24.9754&lt;/D&gt;&lt;/FQL&gt;&lt;FQL&gt;&lt;Q&gt;CSOD^FE_ESTIMATE(FCF,MEAN,ANN_ROLL,2018,NOW,,,'')&lt;/Q&gt;&lt;R&gt;1&lt;/R&gt;&lt;C&gt;1&lt;/C&gt;&lt;D xsi:type="xsd:double"&gt;54.9204&lt;/D&gt;&lt;/FQL&gt;&lt;FQL&gt;&lt;Q&gt;PFPT^FE_ESTIMATE(FCF,MEAN,ANN_ROLL,2018,NOW,,,'')&lt;/Q&gt;&lt;R&gt;1&lt;/R&gt;&lt;C&gt;1&lt;/C&gt;&lt;D xsi:type="xsd:double"&gt;155.222&lt;/D&gt;&lt;/FQL&gt;&lt;FQL&gt;&lt;Q&gt;WDAY^FE_ESTIMATE(FCF,MEAN,ANN_ROLL,2018,NOW,,,'')&lt;/Q&gt;&lt;R&gt;1&lt;/R&gt;&lt;C&gt;1&lt;/C&gt;&lt;D xsi:type="xsd:double"&gt;328.7878&lt;/D&gt;&lt;/FQL&gt;&lt;FQL&gt;&lt;Q&gt;NOW^FE_ESTIMATE(FCF,MEAN,ANN_ROLL,2018,NOW,,,'')&lt;/Q&gt;&lt;R&gt;1&lt;/R&gt;&lt;C&gt;1&lt;/C&gt;&lt;D xsi:type="xsd:double"&gt;731.976&lt;/D&gt;&lt;/FQL&gt;&lt;FQL&gt;&lt;Q&gt;CRM^FE_ESTIMATE(FCF,MEAN,ANN_ROLL,2018,NOW,,,'')&lt;/Q&gt;&lt;R&gt;1&lt;/R&gt;&lt;C&gt;1&lt;/C&gt;&lt;D xsi:type="xsd:double"&gt;2806.4546&lt;/D&gt;&lt;/FQL&gt;&lt;FQL&gt;&lt;Q&gt;CARB^IF(P_DATE(0,,,"DATEN")&amp;gt;FE_ESTIMATE_DATE(RPT_DATE,,ANN_ROLL,2018,'YYYYMMDD',0,,,''),FF_FREE_CF(ANN_R_FCF,2018),FE_ESTIMATE(FCF,MEAN,ANN_ROLL,2018,NOW,,,''))&lt;/Q&gt;&lt;R&gt;1&lt;/R&gt;&lt;C&gt;1&lt;/C&gt;&lt;D xsi:type="xsd:double"&gt;40.458&lt;/D&gt;&lt;/FQL&gt;&lt;FQL&gt;&lt;Q&gt;CLDR^IF(P_DATE(0,,,"DATEN")&amp;gt;FE_ESTIMATE_DATE(RPT_DATE,,ANN_ROLL,2018,'YYYYMMDD',0,,,''),FF_FREE_CF(ANN_R_FCF,2018),FE_ESTIMATE(FCF,MEAN,ANN_ROLL,2018,NOW,,,''))&lt;/Q&gt;&lt;R&gt;1&lt;/R&gt;&lt;C&gt;1&lt;/C&gt;&lt;D xsi:type="xsd:double"&gt;24.187&lt;/D&gt;&lt;/FQL&gt;&lt;FQL&gt;&lt;Q&gt;CSOD^IF(P_DATE(0,,,"DATEN")&amp;gt;FE_ESTIMATE_DATE(RPT_DATE,,ANN_ROLL,2018,'YYYYMMDD',0,,,''),FF_FREE_CF(ANN_R_FCF,2018),FE_ESTIMATE(FCF,MEAN,ANN_ROLL,2018,NOW,,,''))&lt;/Q&gt;&lt;R&gt;1&lt;/R&gt;&lt;C&gt;1&lt;/C&gt;&lt;D xsi:type="xsd:double"&gt;75.206&lt;/D&gt;&lt;/FQL&gt;&lt;FQL&gt;&lt;Q&gt;PFPT^IF(P_DATE(0,,,"DATEN")&amp;gt;FE_ESTIMATE_DATE(RPT_DATE,,ANN_ROLL,2018,'YYYYMMDD',0,,,''),FF_FREE_CF(ANN_R_FCF,2018),FE_ESTIMATE(FCF,MEAN,ANN_ROLL,2018,NOW,,,''))&lt;/Q&gt;&lt;R&gt;1&lt;/R&gt;&lt;C&gt;1&lt;/C&gt;&lt;D xsi:type="xsd:double"&gt;155.222&lt;/D&gt;&lt;/FQL&gt;&lt;FQL&gt;&lt;Q&gt;WDAY^IF(P_DATE(0,,,"DATEN")&amp;gt;FE_ESTIMATE_DATE(RPT_DATE,,ANN_ROLL,2018,'YYYYMMDD',0,,,''),FF_FREE_CF(ANN_R_FCF,2018),FE_ESTIMATE(FCF,MEAN,ANN_ROLL,2018,NOW,,,''))&lt;/Q&gt;&lt;R&gt;1&lt;/R&gt;&lt;C&gt;1&lt;/C&gt;&lt;D xsi:type="xsd:double"&gt;404.151&lt;/D&gt;&lt;/FQL&gt;&lt;FQL&gt;&lt;Q&gt;NOW^IF(P_DATE(0,,,"DATEN")&amp;gt;FE_ESTIMATE_DATE(RPT_DATE,,ANN_ROLL,2018,'YYYYMMDD',0,,,''),FF_FREE_CF(ANN_R_FCF,2018),FE_ESTIMATE(FCF,MEAN,ANN_ROLL,2018,NOW,,,''))&lt;/Q&gt;&lt;R&gt;1&lt;/R&gt;&lt;C&gt;1&lt;/C&gt;&lt;D xsi:type="xsd:double"&gt;586.627&lt;/D&gt;&lt;/FQL&gt;&lt;FQL&gt;&lt;Q&gt;CRM^IF(P_DATE(0,,,"DATEN")&amp;gt;FE_ESTIMATE_DATE(RPT_DATE,,ANN_ROLL,2018,'YYYYMMDD',0,,,''),FF_FREE_CF(ANN_R_FCF,2018),FE_ESTIMATE(FCF,MEAN,ANN_ROLL,2018,NOW,,,''))&lt;/Q&gt;&lt;R&gt;1&lt;/R&gt;&lt;C&gt;1&lt;/C&gt;&lt;D xsi:type="xsd:double"&gt;2803&lt;/D&gt;&lt;/FQL&gt;&lt;FQL&gt;&lt;Q&gt;DELL^IF(FE_ACTUAL(FLAG,FCF,ANN_ROLL,2018,,,,'')!=3,FE_ACTUAL(ACTUAL,FCF,ANN_ROLL,2018,,,,''),FLOAT_NA)&lt;/Q&gt;&lt;R&gt;0&lt;/R&gt;&lt;C&gt;0&lt;/C&gt;&lt;/FQL&gt;&lt;FQL&gt;&lt;Q&gt;CARB^IF(FE_ACTUAL(FLAG,FCF,ANN_ROLL,2018,,,,'')!=3,FE_ACTUAL(ACTUAL,FCF,ANN_ROLL,2018,,,,''),FLOAT_NA)&lt;/Q&gt;&lt;R&gt;1&lt;/R&gt;&lt;C&gt;1&lt;/C&gt;&lt;D xsi:type="xsd:double"&gt;50.105&lt;/D&gt;&lt;/FQL&gt;&lt;FQL&gt;&lt;Q&gt;CLDR^IF(FE_ACTUAL(FLAG,FCF,ANN_ROLL,2018,,,,'')!=3,FE_ACTUAL(ACTUAL,FCF,ANN_ROLL,2018,,,,''),FLOAT_NA)&lt;/Q&gt;&lt;R&gt;0&lt;/R&gt;&lt;C&gt;0&lt;/C&gt;&lt;/FQL&gt;&lt;FQL&gt;&lt;Q&gt;CSOD^IF(FE_ACTUAL(FLAG,FCF,ANN_ROLL,2018,,,,'')!=3,FE_ACTUAL(ACTUAL,FCF,ANN_ROLL,2018,,,,''),FLOAT_NA)&lt;/Q&gt;&lt;R&gt;0&lt;/R&gt;&lt;C&gt;0&lt;/C&gt;&lt;/FQL&gt;&lt;FQL&gt;&lt;Q&gt;PFPT^IF(FE_ACTUAL(FLAG,FCF,ANN_ROLL,2018,,,,'')!=3,FE_ACTUAL(ACTUAL,FCF,ANN_ROLL,2018,,,,''),FLOAT_NA)&lt;/Q&gt;&lt;R&gt;1&lt;/R&gt;&lt;C&gt;1&lt;/C&gt;&lt;D xsi:type="xsd:double"&gt;155.222&lt;/D&gt;&lt;/FQL&gt;&lt;FQL&gt;&lt;Q&gt;WDAY^IF(FE_ACTUAL(FLAG,FCF,ANN_ROLL,2018,,,,'')!=3,FE_ACTUAL(ACTUAL,FCF,ANN_ROLL,2018,,,,''),FLOAT_NA)&lt;/Q&gt;&lt;R&gt;0&lt;/R&gt;&lt;C&gt;0&lt;/C&gt;&lt;/FQL&gt;&lt;FQL&gt;&lt;Q&gt;NOW^IF(FE_ACTUAL(FLAG,FCF,ANN_ROLL,2018,,,,'')!=3,FE_ACTUAL(ACTUAL,FCF,ANN_ROLL,2018,,,,''),FLOAT_NA)&lt;/Q&gt;&lt;R&gt;1&lt;/R&gt;&lt;C&gt;1&lt;/C&gt;&lt;D xsi:type="xsd:double"&gt;731.976&lt;/D&gt;&lt;/FQL&gt;&lt;FQL&gt;&lt;Q&gt;CRM^IF(FE_ACTUAL(FLAG,FCF,ANN_ROLL,2018,,,,'')!=3,FE_ACTUAL(ACTUAL,FCF,ANN_ROLL,2018,,,,''),FLOAT_NA)&lt;/Q&gt;&lt;R&gt;0&lt;/R&gt;&lt;C&gt;0&lt;/C&gt;&lt;/FQL&gt;&lt;FQL&gt;&lt;Q&gt;DELL^FF_FREE_CF(ANN_FCF,2018)&lt;/Q&gt;&lt;R&gt;1&lt;/R&gt;&lt;C&gt;1&lt;/C&gt;&lt;D xsi:type="xsd:double"&gt;5833&lt;/D&gt;&lt;/FQL&gt;&lt;FQL&gt;&lt;Q&gt;CARB^FF_FREE_CF(ANN_FCF,2018)&lt;/Q&gt;&lt;R&gt;1&lt;/R&gt;&lt;C&gt;1&lt;/C&gt;&lt;D xsi:type="xsd:double"&gt;40.458&lt;/D&gt;&lt;/FQL&gt;&lt;FQL&gt;&lt;Q&gt;CLDR^FF_FREE_CF(ANN_FCF,2018)&lt;/Q&gt;&lt;R&gt;1&lt;/R&gt;&lt;C&gt;1&lt;/C&gt;&lt;D xsi:type="xsd:double"&gt;24.187&lt;/D&gt;&lt;/FQL&gt;&lt;FQL&gt;&lt;Q&gt;CSOD^FF_FREE_CF(ANN_FCF,2018)&lt;/Q&gt;&lt;R&gt;1&lt;/R&gt;&lt;C&gt;1&lt;/C&gt;&lt;D xsi:type="xsd:double"&gt;75.206&lt;/D&gt;&lt;/FQL&gt;&lt;FQL&gt;&lt;Q&gt;PFPT^FF_FREE_CF(ANN_FCF,2018)&lt;/Q&gt;&lt;R&gt;1&lt;/R&gt;&lt;C&gt;1&lt;/C&gt;&lt;D xsi:type="xsd:double"&gt;155.222&lt;/D&gt;&lt;/FQL&gt;&lt;FQL&gt;&lt;Q&gt;WDAY^FF_FREE_CF(ANN_FCF,2018)&lt;/Q&gt;&lt;R&gt;1&lt;/R&gt;&lt;C&gt;1&lt;/C&gt;&lt;D xsi:type="xsd:double"&gt;404.151&lt;/D&gt;&lt;/FQL&gt;&lt;FQL&gt;&lt;Q&gt;NOW^FF_FREE_CF(ANN_FCF,2018)&lt;/Q&gt;&lt;R&gt;1&lt;/R&gt;&lt;C&gt;1&lt;/C&gt;&lt;D xsi:type="xsd:double"&gt;586.627&lt;/D&gt;&lt;/FQL&gt;&lt;FQL&gt;&lt;Q&gt;CRM^FF_FREE_CF(ANN_FCF,2018)&lt;/Q&gt;&lt;R&gt;1&lt;/R&gt;&lt;C&gt;1&lt;/C&gt;&lt;D xsi:type="xsd:double"&gt;2803&lt;/D&gt;&lt;/FQL&gt;&lt;FQL&gt;&lt;Q&gt;DELL^AVAIL(AVAIL(AVAIL(FF_ARPT_SERIES('NET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xsi:type="xsd:double"&gt;6991&lt;/D&gt;&lt;/FQL&gt;&lt;FQL&gt;&lt;Q&gt;CARB^AVAIL(AVAIL(AVAIL(FF_ARPT_SERIES('NET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xsi:type="xsd:double"&gt;53.59&lt;/D&gt;&lt;/FQL&gt;&lt;FQL&gt;&lt;Q&gt;CLDR^AVAIL(AVAIL(AVAIL(FF_ARPT_SERIES('NET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xsi:type="xsd:double"&gt;34.272999&lt;/D&gt;&lt;/FQL&gt;&lt;FQL&gt;&lt;Q&gt;CSOD^AVAIL(AVAIL(AVAIL(FF_ARPT_SERIES('NET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xsi:type="xsd:double"&gt;90.252998&lt;/D&gt;&lt;/FQL&gt;&lt;FQL&gt;&lt;Q&gt;PFPT^AVAIL(AVAIL(AVAIL(FF_ARPT_SERIES('NET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xsi:type="xsd:double"&gt;184.744003&lt;/D&gt;&lt;/FQL&gt;&lt;FQL&gt;&lt;Q&gt;WDAY^AVAIL(AVAIL(AVAIL(FF_ARPT_SERIES('NET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xsi:type="xsd:double"&gt;606.65802&lt;/D&gt;&lt;/FQL&gt;&lt;FQL&gt;&lt;Q&gt;NOW^AVAIL(AVAIL(AVAIL(FF_ARPT_SERIES('NET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xsi:type="xsd:double"&gt;811.088989&lt;/D&gt;&lt;/FQL&gt;&lt;FQL&gt;&lt;Q&gt;CRM^AVAIL(AVAIL(AVAIL(FF_ARPT_SERIES('NET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ACTIVITIES','ANN',2018,,'M','CF'))&lt;/Q&gt;&lt;R&gt;1&lt;/R&gt;&lt;C&gt;1&lt;/C&gt;&lt;D xsi:type="xsd:double"&gt;3398&lt;/D&gt;&lt;/FQL&gt;&lt;FQL&gt;&lt;Q&gt;DELL^FE_ESTIMATE(SALES,MEAN,ANN_ROLL,2020,NOW,,,'')&lt;/Q&gt;&lt;R&gt;1&lt;/R&gt;&lt;C&gt;1&lt;/C&gt;&lt;D xsi:type="xsd:double"&gt;98717.68&lt;/D&gt;&lt;/FQL&gt;&lt;FQL&gt;&lt;Q&gt;CARB^FE_ESTIMATE(SALES,MEAN,ANN_ROLL,2020,NOW,,,'')&lt;/Q&gt;&lt;R&gt;1&lt;/R&gt;&lt;C&gt;1&lt;/C&gt;&lt;D xsi:type="xsd:double"&gt;561.9294&lt;/D&gt;&lt;/FQL&gt;&lt;FQL&gt;&lt;Q&gt;CLDR^FE_ESTIMATE(SALES,MEAN,ANN_ROLL,2020,NOW,,,'')&lt;/Q&gt;&lt;R&gt;1&lt;/R&gt;&lt;C&gt;1&lt;/C&gt;&lt;D xsi:type="xsd:double"&gt;1020.7439&lt;/D&gt;&lt;/FQL&gt;&lt;FQL&gt;&lt;Q&gt;CSOD^FE_ESTIMATE(SALES,MEAN,ANN_ROLL,2020,NOW,,,'')&lt;/Q&gt;&lt;R&gt;1&lt;/R&gt;&lt;C&gt;1&lt;/C&gt;&lt;D xsi:type="xsd:double"&gt;640.7217&lt;/D&gt;&lt;/FQL&gt;&lt;FQL&gt;&lt;Q&gt;PFPT^FE_ESTIMATE(SALES,MEAN,ANN_ROLL,2020,NOW,,,'')&lt;/Q&gt;&lt;R&gt;1&lt;/R&gt;&lt;C&gt;1&lt;/C&gt;&lt;D xsi:type="xsd:double"&gt;1056.1316&lt;/D&gt;&lt;/FQL&gt;&lt;FQL&gt;&lt;Q&gt;WDAY^FE_ESTIMATE(SALES,MEAN,ANN_ROLL,2020,NOW,,,'')&lt;/Q&gt;&lt;R&gt;1&lt;/R&gt;&lt;C&gt;1&lt;/C&gt;&lt;D xsi:type="xsd:double"&gt;4339.646&lt;/D&gt;&lt;/FQL&gt;&lt;FQL&gt;&lt;Q&gt;NOW^FE_ESTIMATE(SALES,MEAN,ANN_ROLL,2020,NOW,,,'')&lt;/Q&gt;&lt;R&gt;1&lt;/R&gt;&lt;C&gt;1&lt;/C&gt;&lt;D xsi:type="xsd:double"&gt;4400.0127&lt;/D&gt;&lt;/FQL&gt;&lt;FQL&gt;&lt;Q&gt;CRM^FE_ESTIMATE(SALES,MEAN,ANN_ROLL,2020,NOW,,,'')&lt;/Q&gt;&lt;R&gt;1&lt;/R&gt;&lt;C&gt;1&lt;/C&gt;&lt;D xsi:type="xsd:double"&gt;19169.164&lt;/D&gt;&lt;/FQL&gt;&lt;FQL&gt;&lt;Q&gt;CARB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561.9294&lt;/D&gt;&lt;/FQL&gt;&lt;FQL&gt;&lt;Q&gt;CLDR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1020.7439&lt;/D&gt;&lt;/FQL&gt;&lt;FQL&gt;&lt;Q&gt;CSOD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640.7217&lt;/D&gt;&lt;/FQL&gt;&lt;FQL&gt;&lt;Q&gt;PFPT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1056.1316&lt;/D&gt;&lt;/FQL&gt;&lt;FQL&gt;&lt;Q&gt;WDAY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4339.646&lt;/D&gt;&lt;/FQL&gt;&lt;FQL&gt;&lt;Q&gt;NOW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4400.0127&lt;/D&gt;&lt;/FQL&gt;&lt;FQL&gt;&lt;Q&gt;CRM^IF(P_DATE(0,,,"DATEN")&amp;gt;FE_ESTIMATE_DATE(RPT_DATE,,ANN_ROLL,2020,'YYYYMMDD',0,,,''),AVAIL(AVAIL(FF_ADJ_SALES(ANN,2020),FF_ARPT_SERIES('RV','ANN',2020,,'M','IS')),FF_SALES(ANN,2020)),FE_ESTIMATE(SALES,MEAN,ANN_ROLL,2020,NOW,,,''))&lt;/Q&gt;&lt;R&gt;1&lt;/R&gt;&lt;C&gt;1&lt;/C&gt;&lt;D xsi:type="xsd:double"&gt;19169.164&lt;/D&gt;&lt;/FQL&gt;&lt;FQL&gt;&lt;Q&gt;DELL^FE_ESTIMATE(EBIT_ADJ,MEAN,ANN_ROLL,2019,NOW,,,'')&lt;/Q&gt;&lt;R&gt;1&lt;/R&gt;&lt;C&gt;1&lt;/C&gt;&lt;D xsi:type="xsd:double"&gt;9328.35&lt;/D&gt;&lt;/FQL&gt;&lt;FQL&gt;&lt;Q&gt;CARB^FE_ESTIMATE(EBIT_ADJ,MEAN,ANN_ROLL,2019,NOW,,,'')&lt;/Q&gt;&lt;R&gt;1&lt;/R&gt;&lt;C&gt;1&lt;/C&gt;&lt;D xsi:type="xsd:double"&gt;110.782&lt;/D&gt;&lt;/FQL&gt;&lt;FQL&gt;&lt;Q&gt;CLDR^FE_ESTIMATE(EBIT_ADJ,MEAN,ANN_ROLL,2019,NOW,,,'')&lt;/Q&gt;&lt;R&gt;1&lt;/R&gt;&lt;C&gt;1&lt;/C&gt;&lt;D xsi:type="xsd:double"&gt;-99.63082&lt;/D&gt;&lt;/FQL&gt;&lt;FQL&gt;&lt;Q&gt;CSOD^FE_ESTIMATE(EBIT_ADJ,MEAN,ANN_ROLL,2019,NOW,,,'')&lt;/Q&gt;&lt;R&gt;1&lt;/R&gt;&lt;C&gt;1&lt;/C&gt;&lt;D xsi:type="xsd:double"&gt;78.99186&lt;/D&gt;&lt;/FQL&gt;&lt;FQL&gt;&lt;Q&gt;PFPT^FE_ESTIMATE(EBIT_ADJ,MEAN,ANN_ROLL,2019,NOW,,,'')&lt;/Q&gt;&lt;R&gt;1&lt;/R&gt;&lt;C&gt;1&lt;/C&gt;&lt;D xsi:type="xsd:double"&gt;100.129875&lt;/D&gt;&lt;/FQL&gt;&lt;FQL&gt;&lt;Q&gt;WDAY^FE_ESTIMATE(EBIT_ADJ,MEAN,ANN_ROLL,2019,NOW,,,'')&lt;/Q&gt;&lt;R&gt;1&lt;/R&gt;&lt;C&gt;1&lt;/C&gt;&lt;D xsi:type="xsd:double"&gt;436.87595&lt;/D&gt;&lt;/FQL&gt;&lt;FQL&gt;&lt;Q&gt;NOW^FE_ESTIMATE(EBIT_ADJ,MEAN,ANN_ROLL,2019,NOW,,,'')&lt;/Q&gt;&lt;R&gt;1&lt;/R&gt;&lt;C&gt;1&lt;/C&gt;&lt;D xsi:type="xsd:double"&gt;727.8035&lt;/D&gt;&lt;/FQL&gt;&lt;FQL&gt;&lt;Q&gt;CRM^FE_ESTIMATE(EBIT_ADJ,MEAN,ANN_ROLL,2019,NOW,,,'')&lt;/Q&gt;&lt;R&gt;1&lt;/R&gt;&lt;C&gt;1&lt;/C&gt;&lt;D xsi:type="xsd:double"&gt;2934.5088&lt;/D&gt;&lt;/FQL&gt;&lt;FQL&gt;&lt;Q&gt;CARB^IF(P_DATE(0,,,"DATEN")&amp;gt;FE_ESTIMATE_DATE(RPT_DATE,,ANN_ROLL,2019,'YYYYMMDD',0,,,''),AVAIL(AVAIL(FF_ADJ_EBIT(ANN,2019),FF_ARPT_SERIES('OPERATING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xsi:type="xsd:double"&gt;110.782&lt;/D&gt;&lt;/FQL&gt;&lt;FQL&gt;&lt;Q&gt;CLDR^IF(P_DATE(0,,,"DATEN")&amp;gt;FE_ESTIMATE_DATE(RPT_DATE,,ANN_ROLL,2019,'YYYYMMDD',0,,,''),AVAIL(AVAIL(FF_ADJ_EBIT(ANN,2019),FF_ARPT_SERIES('OPERATING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xsi:type="xsd:double"&gt;-99.63082&lt;/D&gt;&lt;/FQL&gt;&lt;FQL&gt;&lt;Q&gt;CSOD^IF(P_DATE(0,,,"DATEN")&amp;gt;FE_ESTIMATE_DATE(RPT_DATE,,ANN_ROLL,2019,'YYYYMMDD',0,,,''),AVAIL(AVAIL(FF_ADJ_EBIT(ANN,2019),FF_ARPT_SERIES('OPERATING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xsi:type="xsd:double"&gt;78.99186&lt;/D&gt;&lt;/FQL&gt;&lt;FQL&gt;&lt;Q&gt;PFPT^IF(P_DATE(0,,,"DATEN")&amp;gt;FE_ESTIMATE_DATE(RPT_DATE,,ANN_ROLL,2019,'YYYYMMDD',0,,,''),AVAIL(AVAIL(FF_ADJ_EBIT(ANN,2019),FF_ARPT_SERIES('OPERATING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xsi:type="xsd:double"&gt;100.129875&lt;/D&gt;&lt;/FQL&gt;&lt;FQL&gt;&lt;Q&gt;WDAY^IF(P_DATE(0,,,"DATEN")&amp;gt;FE_ESTIMATE_DATE(RPT_DATE,,ANN_ROLL,2019,'YYYYMMDD',0,,,''),AVAIL(AVAIL(FF_ADJ_EBIT(ANN,2019),FF_ARPT_SERIES('OPERATING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xsi:type="xsd:double"&gt;436.87595&lt;/D&gt;&lt;/FQL&gt;&lt;FQL&gt;&lt;Q&gt;NOW^IF(P_DATE(0,,,"DATEN")&amp;gt;FE_ESTIMATE_DATE(RPT_DATE,,ANN_ROLL,2019,'YYYYMMDD',0,,,''),AVAIL(AVAIL(FF_ADJ_EBIT(ANN,2019),FF_ARPT_SERIES('OPERATING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xsi:type="xsd:double"&gt;727.8035&lt;/D&gt;&lt;/FQL&gt;&lt;FQL&gt;&lt;Q&gt;CRM^IF(P_DATE(0,,,"DATEN")&amp;gt;FE_ESTIMATE_DATE(RPT_DATE,,ANN_ROLL,2019,'YYYYMMDD',0,,,''),AVAIL(AVAIL(FF_ADJ_EBIT(ANN,2019),FF_ARPT_SERIES('OPERATING INCOME / LOSS','ANN',2019,,'M','IS')),FF_EBIT_OPER(ANN,2019)),FE_ESTIMATE(EBIT_ADJ,MEAN,ANN_ROLL,2019,NOW,,,''))&lt;/Q&gt;&lt;R&gt;1&lt;/R&gt;&lt;C&gt;1&lt;/C&gt;&lt;D xsi:type="xsd:double"&gt;2934.5088&lt;/D&gt;&lt;/FQL&gt;&lt;FQL&gt;&lt;Q&gt;DELL^IF(FE_ACTUAL(FLAG,EBIT_ADJ,ANN_ROLL,2019,,,,'')!=3,FE_ACTUAL(ACTUAL,EBIT_ADJ,ANN_ROLL,2019,,,,''),FLOAT_NA)&lt;/Q&gt;&lt;R&gt;0&lt;/R&gt;&lt;C&gt;0&lt;/C&gt;&lt;/FQL&gt;&lt;FQL&gt;&lt;Q&gt;CARB^IF(FE_ACTUAL(FLAG,EBIT_ADJ,ANN_ROLL,2019,,,,'')!=3,FE_ACTUAL(ACTUAL,EBIT_ADJ,ANN_ROLL,2019,,,,''),FLOAT_NA)&lt;/Q&gt;&lt;R&gt;0&lt;/R&gt;&lt;C&gt;0&lt;/C&gt;&lt;/FQL&gt;&lt;FQL&gt;&lt;Q&gt;CLDR^IF(FE_ACTUAL(FLAG,EBIT_ADJ,ANN_ROLL,2019,,,,'')!=3,FE_ACTUAL(ACTUAL,EBIT_ADJ,ANN_ROLL,2019,,,,''),FLOAT_NA)&lt;/Q&gt;&lt;R&gt;0&lt;/R&gt;&lt;C&gt;0&lt;/C&gt;&lt;/FQL&gt;&lt;FQL&gt;&lt;Q&gt;CSOD^IF(FE_ACTUAL(FLAG,EBIT_ADJ,ANN_ROLL,2019,,,,'')!=3,FE_ACTUAL(ACTUAL,EBIT_ADJ,ANN_ROLL,2019,,,,''),FLOAT_NA)&lt;/Q&gt;&lt;R&gt;0&lt;/R&gt;&lt;C&gt;0&lt;/C&gt;&lt;/FQL&gt;&lt;FQL&gt;&lt;Q&gt;PFPT^IF(FE_ACTUAL(FLAG,EBIT_ADJ,ANN_ROLL,2019,,,,'')!=3,FE_ACTUAL(ACTUAL,EBIT_ADJ,ANN_ROLL,2019,,,,''),FLOAT_NA)&lt;/Q&gt;&lt;R&gt;0&lt;/R&gt;&lt;C&gt;0&lt;/C&gt;&lt;/FQL&gt;&lt;FQL&gt;&lt;Q&gt;WDAY^IF(FE_ACTUAL(FLAG,EBIT_ADJ,ANN_ROLL,2019,,,,'')!=3,FE_ACTUAL(ACTUAL,EBIT_ADJ,ANN_ROLL,2019,,,,''),FLOAT_NA)&lt;/Q&gt;&lt;R&gt;0&lt;/R&gt;&lt;C&gt;0&lt;/C&gt;&lt;/FQL&gt;&lt;FQL&gt;&lt;Q&gt;NOW^IF(FE_ACTUAL(FLAG,EBIT_ADJ,ANN_ROLL,2019,,,,'')!=3,FE_ACTUAL(ACTUAL,EBIT_ADJ,ANN_ROLL,2019,,,,''),FLOAT_NA)&lt;/Q&gt;&lt;R&gt;0&lt;/R&gt;&lt;C&gt;0&lt;/C&gt;&lt;/FQL&gt;&lt;FQL&gt;&lt;Q&gt;CRM^IF(FE_ACTUAL(FLAG,EBIT_ADJ,ANN_ROLL,2019,,,,'')!=3,FE_ACTUAL(ACTUAL,EBIT_ADJ,ANN_ROLL,2019,,,,''),FLOAT_NA)&lt;/Q&gt;&lt;R&gt;0&lt;/R&gt;&lt;C&gt;0&lt;/C&gt;&lt;/FQL&gt;&lt;FQL&gt;&lt;Q&gt;DELL^FF_EBIT_OPER(ANN,2019)&lt;/Q&gt;&lt;R&gt;1&lt;/R&gt;&lt;C&gt;1&lt;/C&gt;&lt;D xsi:type="xsd:double"&gt;549&lt;/D&gt;&lt;/FQL&gt;&lt;FQL&gt;&lt;Q&gt;CARB^FF_EBIT_OPER(ANN,2019)&lt;/Q&gt;&lt;R&gt;1&lt;/R&gt;&lt;C&gt;1&lt;/C&gt;&lt;D xsi:type="xsd:double"&gt;11.237&lt;/D&gt;&lt;/FQL&gt;&lt;FQL&gt;&lt;Q&gt;CLDR^FF_EBIT_OPER(ANN,2019)&lt;/Q&gt;&lt;R&gt;1&lt;/R&gt;&lt;C&gt;1&lt;/C&gt;&lt;D xsi:type="xsd:double"&gt;-193.764&lt;/D&gt;&lt;/FQL&gt;&lt;FQL&gt;&lt;Q&gt;CSOD^FF_EBIT_OPER(ANN,2019)&lt;/Q&gt;&lt;R&gt;1&lt;/R&gt;&lt;C&gt;1&lt;/C&gt;&lt;D xsi:type="xsd:double"&gt;2.277&lt;/D&gt;&lt;/FQL&gt;&lt;FQL&gt;&lt;Q&gt;PFPT^FF_EBIT_OPER(ANN,2019)&lt;/Q&gt;&lt;R&gt;1&lt;/R&gt;&lt;C&gt;1&lt;/C&gt;&lt;D xsi:type="xsd:double"&gt;-101.071&lt;/D&gt;&lt;/FQL&gt;&lt;FQL&gt;&lt;Q&gt;WDAY^FF_EBIT_OPER(ANN,2019)&lt;/Q&gt;&lt;R&gt;1&lt;/R&gt;&lt;C&gt;1&lt;/C&gt;&lt;D xsi:type="xsd:double"&gt;-431.272&lt;/D&gt;&lt;/FQL&gt;&lt;FQL&gt;&lt;Q&gt;NOW^FF_EBIT_OPER(ANN,2019)&lt;/Q&gt;&lt;R&gt;1&lt;/R&gt;&lt;C&gt;1&lt;/C&gt;&lt;D xsi:type="xsd:double"&gt;-41.426&lt;/D&gt;&lt;/FQL&gt;&lt;FQL&gt;&lt;Q&gt;CRM^FF_EBIT_OPER(ANN,2019)&lt;/Q&gt;&lt;R&gt;1&lt;/R&gt;&lt;C&gt;1&lt;/C&gt;&lt;D xsi:type="xsd:double"&gt;562&lt;/D&gt;&lt;/FQL&gt;&lt;FQL&gt;&lt;Q&gt;DELL^AVAIL(AVAIL(AVAIL(AVAIL(FF_ARPT_SERIES('OPERATING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xsi:type="xsd:double"&gt;-191&lt;/D&gt;&lt;/FQL&gt;&lt;FQL&gt;&lt;Q&gt;CARB^AVAIL(AVAIL(AVAIL(AVAIL(FF_ARPT_SERIES('OPERATING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xsi:type="xsd:double"&gt;3.667&lt;/D&gt;&lt;/FQL&gt;&lt;FQL&gt;&lt;Q&gt;CLDR^AVAIL(AVAIL(AVAIL(AVAIL(FF_ARPT_SERIES('OPERATING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OPERATIONS','ANN',2019,,'M','IS'))&lt;/Q&gt;&lt;R&gt;0&lt;/R&gt;&lt;C&gt;0&lt;/C&gt;&lt;/FQL&gt;&lt;FQL&gt;&lt;Q&gt;CSOD^AVAIL(AVAIL(AVAIL(AVAIL(FF_ARPT_SERIES('OPERATING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xsi:type="xsd:double"&gt;-7.769&lt;/D&gt;&lt;/FQL&gt;&lt;FQL&gt;&lt;Q&gt;PFPT^AVAIL(AVAIL(AVAIL(AVAIL(FF_ARPT_SERIES('OPERATING INCOME / LOSS','ANN',2019,,'M','IS'),FF_ARPT_SERIES('INCOME / LOSS FROM OPERATIONS','ANN',2019,,'M','IS')),FF_ARPT_SERIES('LOSS / INCOME FROM OPERATIONS','ANN',2019,,'M','IS')),FF_ARPT_</t>
        </r>
      </text>
    </comment>
    <comment ref="A3" authorId="0" shapeId="0" xr:uid="{ADDAF8F3-D73A-4D3B-AE36-6987AFF7CFE0}">
      <text>
        <r>
          <rPr>
            <b/>
            <sz val="9"/>
            <color indexed="81"/>
            <rFont val="Tahoma"/>
            <family val="2"/>
          </rPr>
          <t>SERIES('OPERATING LOSS','ANN',2019,,'M','IS')),FF_ARPT_SERIES('LOSS FROM OPERATIONS','ANN',2019,,'M','IS'))&lt;/Q&gt;&lt;R&gt;1&lt;/R&gt;&lt;C&gt;1&lt;/C&gt;&lt;D xsi:type="xsd:double"&gt;-101.710999&lt;/D&gt;&lt;/FQL&gt;&lt;FQL&gt;&lt;Q&gt;WDAY^AVAIL(AVAIL(AVAIL(AVAIL(FF_ARPT_SERIES('OPERATING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xsi:type="xsd:double"&gt;-463.283997&lt;/D&gt;&lt;/FQL&gt;&lt;FQL&gt;&lt;Q&gt;NOW^AVAIL(AVAIL(AVAIL(AVAIL(FF_ARPT_SERIES('OPERATING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xsi:type="xsd:double"&gt;-42.425999&lt;/D&gt;&lt;/FQL&gt;&lt;FQL&gt;&lt;Q&gt;CRM^AVAIL(AVAIL(AVAIL(AVAIL(FF_ARPT_SERIES('OPERATING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OPERATIONS','ANN',2019,,'M','IS'))&lt;/Q&gt;&lt;R&gt;1&lt;/R&gt;&lt;C&gt;1&lt;/C&gt;&lt;D xsi:type="xsd:double"&gt;535&lt;/D&gt;&lt;/FQL&gt;&lt;FQL&gt;&lt;Q&gt;DELL^AVAIL(FF_ARPT_SERIES('NON-GAAP OPERATING INCOME','ANN',2019,,'M','NG-IS'),FF_ARPT_SERIES('NON-GAAP INCOME FROM OPERATIONS','ANN',2019,,'M','NG-IS'))&lt;/Q&gt;&lt;R&gt;1&lt;/R&gt;&lt;C&gt;1&lt;/C&gt;&lt;D xsi:type="xsd:double"&gt;8854&lt;/D&gt;&lt;/FQL&gt;&lt;FQL&gt;&lt;Q&gt;CARB^AVAIL(FF_ARPT_SERIES('NON-GAAP OPERATING INCOME','ANN',2019,,'M','NG-IS'),FF_ARPT_SERIES('NON-GAAP INCOME FROM OPERATIONS','ANN',2019,,'M','NG-IS'))&lt;/Q&gt;&lt;R&gt;0&lt;/R&gt;&lt;C&gt;0&lt;/C&gt;&lt;/FQL&gt;&lt;FQL&gt;&lt;Q&gt;CLDR^AVAIL(FF_ARPT_SERIES('NON-GAAP OPERATING INCOME','ANN',2019,,'M','NG-IS'),FF_ARPT_SERIES('NON-GAAP INCOME FROM OPERATIONS','ANN',2019,,'M','NG-IS'))&lt;/Q&gt;&lt;R&gt;0&lt;/R&gt;&lt;C&gt;0&lt;/C&gt;&lt;/FQL&gt;&lt;FQL&gt;&lt;Q&gt;CSOD^AVAIL(FF_ARPT_SERIES('NON-GAAP OPERATING INCOME','ANN',2019,,'M','NG-IS'),FF_ARPT_SERIES('NON-GAAP INCOME FROM OPERATIONS','ANN',2019,,'M','NG-IS'))&lt;/Q&gt;&lt;R&gt;0&lt;/R&gt;&lt;C&gt;0&lt;/C&gt;&lt;/FQL&gt;&lt;FQL&gt;&lt;Q&gt;PFPT^AVAIL(FF_ARPT_SERIES('NON-GAAP OPERATING INCOME','ANN',2019,,'M','NG-IS'),FF_ARPT_SERIES('NON-GAAP INCOME FROM OPERATIONS','ANN',2019,,'M','NG-IS'))&lt;/Q&gt;&lt;R&gt;0&lt;/R&gt;&lt;C&gt;0&lt;/C&gt;&lt;/FQL&gt;&lt;FQL&gt;&lt;Q&gt;WDAY^AVAIL(FF_ARPT_SERIES('NON-GAAP OPERATING INCOME','ANN',2019,,'M','NG-IS'),FF_ARPT_SERIES('NON-GAAP INCOME FROM OPERATIONS','ANN',2019,,'M','NG-IS'))&lt;/Q&gt;&lt;R&gt;0&lt;/R&gt;&lt;C&gt;0&lt;/C&gt;&lt;/FQL&gt;&lt;FQL&gt;&lt;Q&gt;NOW^AVAIL(FF_ARPT_SERIES('NON-GAAP OPERATING INCOME','ANN',2019,,'M','NG-IS'),FF_ARPT_SERIES('NON-GAAP INCOME FROM OPERATIONS','ANN',2019,,'M','NG-IS'))&lt;/Q&gt;&lt;R&gt;1&lt;/R&gt;&lt;C&gt;1&lt;/C&gt;&lt;D xsi:type="xsd:double"&gt;527.763&lt;/D&gt;&lt;/FQL&gt;&lt;FQL&gt;&lt;Q&gt;CRM^AVAIL(FF_ARPT_SERIES('NON-GAAP OPERATING INCOME','ANN',2019,,'M','NG-IS'),FF_ARPT_SERIES('NON-GAAP INCOME FROM OPERATIONS','ANN',2019,,'M','NG-IS'))&lt;/Q&gt;&lt;R&gt;1&lt;/R&gt;&lt;C&gt;1&lt;/C&gt;&lt;D xsi:type="xsd:double"&gt;2265&lt;/D&gt;&lt;/FQL&gt;&lt;FQL&gt;&lt;Q&gt;DELL^FF_ADJ_EBIT(ANN,2019)&lt;/Q&gt;&lt;R&gt;1&lt;/R&gt;&lt;C&gt;1&lt;/C&gt;&lt;D xsi:type="xsd:double"&gt;8854&lt;/D&gt;&lt;/FQL&gt;&lt;FQL&gt;&lt;Q&gt;CARB^FF_ADJ_EBIT(ANN,2019)&lt;/Q&gt;&lt;R&gt;0&lt;/R&gt;&lt;C&gt;0&lt;/C&gt;&lt;/FQL&gt;&lt;FQL&gt;&lt;Q&gt;CLDR^FF_ADJ_EBIT(ANN,2019)&lt;/Q&gt;&lt;R&gt;1&lt;/R&gt;&lt;C&gt;1&lt;/C&gt;&lt;D xsi:type="xsd:double"&gt;-67.27&lt;/D&gt;&lt;/FQL&gt;&lt;FQL&gt;&lt;Q&gt;CSOD^FF_ADJ_EBIT(ANN,2019)&lt;/Q&gt;&lt;R&gt;1&lt;/R&gt;&lt;C&gt;1&lt;/C&gt;&lt;D xsi:type="xsd:double"&gt;63.397&lt;/D&gt;&lt;/FQL&gt;&lt;FQL&gt;&lt;Q&gt;PFPT^FF_ADJ_EBIT(ANN,2019)&lt;/Q&gt;&lt;R&gt;1&lt;/R&gt;&lt;C&gt;1&lt;/C&gt;&lt;D xsi:type="xsd:double"&gt;83.587&lt;/D&gt;&lt;/FQL&gt;&lt;FQL&gt;&lt;Q&gt;WDAY^FF_ADJ_EBIT(ANN,2019)&lt;/Q&gt;&lt;R&gt;1&lt;/R&gt;&lt;C&gt;1&lt;/C&gt;&lt;D xsi:type="xsd:double"&gt;291.257&lt;/D&gt;&lt;/FQL&gt;&lt;FQL&gt;&lt;Q&gt;NOW^FF_ADJ_EBIT(ANN,2019)&lt;/Q&gt;&lt;R&gt;1&lt;/R&gt;&lt;C&gt;1&lt;/C&gt;&lt;D xsi:type="xsd:double"&gt;527.763&lt;/D&gt;&lt;/FQL&gt;&lt;FQL&gt;&lt;Q&gt;CRM^FF_ADJ_EBIT(ANN,2019)&lt;/Q&gt;&lt;R&gt;1&lt;/R&gt;&lt;C&gt;1&lt;/C&gt;&lt;D xsi:type="xsd:double"&gt;2265&lt;/D&gt;&lt;/FQL&gt;&lt;FQL&gt;&lt;Q&gt;DELL^FE_ESTIMATE(EBITDA_ADJ,MEAN,ANN_ROLL,2019,NOW,,,'')&lt;/Q&gt;&lt;R&gt;1&lt;/R&gt;&lt;C&gt;1&lt;/C&gt;&lt;D xsi:type="xsd:double"&gt;11235.75&lt;/D&gt;&lt;/FQL&gt;&lt;FQL&gt;&lt;Q&gt;CARB^FE_ESTIMATE(EBITDA_ADJ,MEAN,ANN_ROLL,2019,NOW,,,'')&lt;/Q&gt;&lt;R&gt;1&lt;/R&gt;&lt;C&gt;1&lt;/C&gt;&lt;D xsi:type="xsd:double"&gt;130.6425&lt;/D&gt;&lt;/FQL&gt;&lt;FQL&gt;&lt;Q&gt;CLDR^FE_ESTIMATE(EBITDA_ADJ,MEAN,ANN_ROLL,2019,NOW,,,'')&lt;/Q&gt;&lt;R&gt;1&lt;/R&gt;&lt;C&gt;1&lt;/C&gt;&lt;D xsi:type="xsd:double"&gt;-31.7562&lt;/D&gt;&lt;/FQL&gt;&lt;FQL&gt;&lt;Q&gt;CSOD^FE_ESTIMATE(EBITDA_ADJ,MEAN,ANN_ROLL,2019,NOW,,,'')&lt;/Q&gt;&lt;R&gt;1&lt;/R&gt;&lt;C&gt;1&lt;/C&gt;&lt;D xsi:type="xsd:double"&gt;131.3425&lt;/D&gt;&lt;/FQL&gt;&lt;FQL&gt;&lt;Q&gt;PFPT^FE_ESTIMATE(EBITDA_ADJ,MEAN,ANN_ROLL,2019,NOW,,,'')&lt;/Q&gt;&lt;R&gt;1&lt;/R&gt;&lt;C&gt;1&lt;/C&gt;&lt;D xsi:type="xsd:double"&gt;132.3619&lt;/D&gt;&lt;/FQL&gt;&lt;FQL&gt;&lt;Q&gt;WDAY^FE_ESTIMATE(EBITDA_ADJ,MEAN,ANN_ROLL,2019,NOW,,,'')&lt;/Q&gt;&lt;R&gt;1&lt;/R&gt;&lt;C&gt;1&lt;/C&gt;&lt;D xsi:type="xsd:double"&gt;681.997&lt;/D&gt;&lt;/FQL&gt;&lt;FQL&gt;&lt;Q&gt;NOW^FE_ESTIMATE(EBITDA_ADJ,MEAN,ANN_ROLL,2019,NOW,,,'')&lt;/Q&gt;&lt;R&gt;1&lt;/R&gt;&lt;C&gt;1&lt;/C&gt;&lt;D xsi:type="xsd:double"&gt;901.89374&lt;/D&gt;&lt;/FQL&gt;&lt;FQL&gt;&lt;Q&gt;CRM^FE_ESTIMATE(EBITDA_ADJ,MEAN,ANN_ROLL,2019,NOW,,,'')&lt;/Q&gt;&lt;R&gt;1&lt;/R&gt;&lt;C&gt;1&lt;/C&gt;&lt;D xsi:type="xsd:double"&gt;3771.5222&lt;/D&gt;&lt;/FQL&gt;&lt;FQL&gt;&lt;Q&gt;CARB^IF(P_DATE(0,,,"DATEN")&amp;gt;FE_ESTIMATE_DATE(RPT_DATE,,ANN_ROLL,2019,'YYYYMMDD',0,,,''),AVAIL(AVAIL(FF_ADJ_EBITDA(ANN,2019),FF_ARPT_SERIES('ADJUSTED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xsi:type="xsd:double"&gt;130.6425&lt;/D&gt;&lt;/FQL&gt;&lt;FQL&gt;&lt;Q&gt;CLDR^IF(P_DATE(0,,,"DATEN")&amp;gt;FE_ESTIMATE_DATE(RPT_DATE,,ANN_ROLL,2019,'YYYYMMDD',0,,,''),AVAIL(AVAIL(FF_ADJ_EBITDA(ANN,2019),FF_ARPT_SERIES('ADJUSTED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xsi:type="xsd:double"&gt;-31.7562&lt;/D&gt;&lt;/FQL&gt;&lt;FQL&gt;&lt;Q&gt;CSOD^IF(P_DATE(0,,,"DATEN")&amp;gt;FE_ESTIMATE_DATE(RPT_DATE,,ANN_ROLL,2019,'YYYYMMDD',0,,,''),AVAIL(AVAIL(FF_ADJ_EBITDA(ANN,2019),FF_ARPT_SERIES('ADJUSTED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xsi:type="xsd:double"&gt;131.3425&lt;/D&gt;&lt;/FQL&gt;&lt;FQL&gt;&lt;Q&gt;PFPT^IF(P_DATE(0,,,"DATEN")&amp;gt;FE_ESTIMATE_DATE(RPT_DATE,,ANN_ROLL,2019,'YYYYMMDD',0,,,''),AVAIL(AVAIL(FF_ADJ_EBITDA(ANN,2019),FF_ARPT_SERIES('ADJUSTED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xsi:type="xsd:double"&gt;132.3619&lt;/D&gt;&lt;/FQL&gt;&lt;FQL&gt;&lt;Q&gt;WDAY^IF(P_DATE(0,,,"DATEN")&amp;gt;FE_ESTIMATE_DATE(RPT_DATE,,ANN_ROLL,2019,'YYYYMMDD',0,,,''),AVAIL(AVAIL(FF_ADJ_EBITDA(ANN,2019),FF_ARPT_SERIES('ADJUSTED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xsi:type="xsd:double"&gt;681.997&lt;/D&gt;&lt;/FQL&gt;&lt;FQL&gt;&lt;Q&gt;NOW^IF(P_DATE(0,,,"DATEN")&amp;gt;FE_ESTIMATE_DATE(RPT_DATE,,ANN_ROLL,2019,'YYYYMMDD',0,,,''),AVAIL(AVAIL(FF_ADJ_EBITDA(ANN,2019),FF_ARPT_SERIES('ADJUSTED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xsi:type="xsd:double"&gt;901.89374&lt;/D&gt;&lt;/FQL&gt;&lt;FQL&gt;&lt;Q&gt;CRM^IF(P_DATE(0,,,"DATEN")&amp;gt;FE_ESTIMATE_DATE(RPT_DATE,,ANN_ROLL,2019,'YYYYMMDD',0,,,''),AVAIL(AVAIL(FF_ADJ_EBITDA(ANN,2019),FF_ARPT_SERIES('ADJUSTED EBITDA','ANN',2019,,'M','NG-IS')),FF_EBITDA_OPER(ANN,2019)),FE_ESTIMATE(EBITDA_ADJ,MEAN,ANN_ROLL,2019,NOW,,,''))&lt;/Q&gt;&lt;R&gt;1&lt;/R&gt;&lt;C&gt;1&lt;/C&gt;&lt;D xsi:type="xsd:double"&gt;3771.5222&lt;/D&gt;&lt;/FQL&gt;&lt;FQL&gt;&lt;Q&gt;DELL^IF(FE_ACTUAL(FLAG,EBITDA_ADJ,ANN_ROLL,2019,,,,'')!=3,FE_ACTUAL(ACTUAL,EBITDA_ADJ,ANN_ROLL,2019,,,,''),FLOAT_NA)&lt;/Q&gt;&lt;R&gt;0&lt;/R&gt;&lt;C&gt;0&lt;/C&gt;&lt;/FQL&gt;&lt;FQL&gt;&lt;Q&gt;CARB^IF(FE_ACTUAL(FLAG,EBITDA_ADJ,ANN_ROLL,2019,,,,'')!=3,FE_ACTUAL(ACTUAL,EBITDA_ADJ,ANN_ROLL,2019,,,,''),FLOAT_NA)&lt;/Q&gt;&lt;R&gt;0&lt;/R&gt;&lt;C&gt;0&lt;/C&gt;&lt;/FQL&gt;&lt;FQL&gt;&lt;Q&gt;CLDR^IF(FE_ACTUAL(FLAG,EBITDA_ADJ,ANN_ROLL,2019,,,,'')!=3,FE_ACTUAL(ACTUAL,EBITDA_ADJ,ANN_ROLL,2019,,,,''),FLOAT_NA)&lt;/Q&gt;&lt;R&gt;0&lt;/R&gt;&lt;C&gt;0&lt;/C&gt;&lt;/FQL&gt;&lt;FQL&gt;&lt;Q&gt;CSOD^IF(FE_ACTUAL(FLAG,EBITDA_ADJ,ANN_ROLL,2019,,,,'')!=3,FE_ACTUAL(ACTUAL,EBITDA_ADJ,ANN_ROLL,2019,,,,''),FLOAT_NA)&lt;/Q&gt;&lt;R&gt;0&lt;/R&gt;&lt;C&gt;0&lt;/C&gt;&lt;/FQL&gt;&lt;FQL&gt;&lt;Q&gt;PFPT^IF(FE_ACTUAL(FLAG,EBITDA_ADJ,ANN_ROLL,2019,,,,'')!=3,FE_ACTUAL(ACTUAL,EBITDA_ADJ,ANN_ROLL,2019,,,,''),FLOAT_NA)&lt;/Q&gt;&lt;R&gt;0&lt;/R&gt;&lt;C&gt;0&lt;/C&gt;&lt;/FQL&gt;&lt;FQL&gt;&lt;Q&gt;WDAY^IF(FE_ACTUAL(FLAG,EBITDA_ADJ,ANN_ROLL,2019,,,,'')!=3,FE_ACTUAL(ACTUAL,EBITDA_ADJ,ANN_ROLL,2019,,,,''),FLOAT_NA)&lt;/Q&gt;&lt;R&gt;0&lt;/R&gt;&lt;C&gt;0&lt;/C&gt;&lt;/FQL&gt;&lt;FQL&gt;&lt;Q&gt;NOW^IF(FE_ACTUAL(FLAG,EBITDA_ADJ,ANN_ROLL,2019,,,,'')!=3,FE_ACTUAL(ACTUAL,EBITDA_ADJ,ANN_ROLL,2019,,,,''),FLOAT_NA)&lt;/Q&gt;&lt;R&gt;0&lt;/R&gt;&lt;C&gt;0&lt;/C&gt;&lt;/FQL&gt;&lt;FQL&gt;&lt;Q&gt;CRM^IF(FE_ACTUAL(FLAG,EBITDA_ADJ,ANN_ROLL,2019,,,,'')!=3,FE_ACTUAL(ACTUAL,EBITDA_ADJ,ANN_ROLL,2019,,,,''),FLOAT_NA)&lt;/Q&gt;&lt;R&gt;0&lt;/R&gt;&lt;C&gt;0&lt;/C&gt;&lt;/FQL&gt;&lt;FQL&gt;&lt;Q&gt;DELL^FF_EBITDA_OPER(ANN,2019)&lt;/Q&gt;&lt;R&gt;1&lt;/R&gt;&lt;C&gt;1&lt;/C&gt;&lt;D xsi:type="xsd:double"&gt;8295&lt;/D&gt;&lt;/FQL&gt;&lt;FQL&gt;&lt;Q&gt;CARB^FF_EBITDA_OPER(ANN,2019)&lt;/Q&gt;&lt;R&gt;1&lt;/R&gt;&lt;C&gt;1&lt;/C&gt;&lt;D xsi:type="xsd:double"&gt;53.023&lt;/D&gt;&lt;/FQL&gt;&lt;FQL&gt;&lt;Q&gt;CLDR^FF_EBITDA_OPER(ANN,2019)&lt;/Q&gt;&lt;R&gt;1&lt;/R&gt;&lt;C&gt;1&lt;/C&gt;&lt;D xsi:type="xsd:double"&gt;-176.336&lt;/D&gt;&lt;/FQL&gt;&lt;FQL&gt;&lt;Q&gt;CSOD^FF_EBITDA_OPER(ANN,2019)&lt;/Q&gt;&lt;R&gt;1&lt;/R&gt;&lt;C&gt;1&lt;/C&gt;&lt;D xsi:type="xsd:double"&gt;37.537&lt;/D&gt;&lt;/FQL&gt;&lt;FQL&gt;&lt;Q&gt;PFPT^FF_EBITDA_OPER(ANN,2019)&lt;/Q&gt;&lt;R&gt;1&lt;/R&gt;&lt;C&gt;1&lt;/C&gt;&lt;D xsi:type="xsd:double"&gt;-27.518&lt;/D&gt;&lt;/FQL&gt;&lt;FQL&gt;&lt;Q&gt;WDAY^FF_EBITDA_OPER(ANN,2019)&lt;/Q&gt;&lt;R&gt;1&lt;/R&gt;&lt;C&gt;1&lt;/C&gt;&lt;D xsi:type="xsd:double"&gt;-233.161&lt;/D&gt;&lt;/FQL&gt;&lt;FQL&gt;&lt;Q&gt;NOW^FF_EBITDA_OPER(ANN,2019)&lt;/Q&gt;&lt;R&gt;1&lt;/R&gt;&lt;C&gt;1&lt;/C&gt;&lt;D xsi:type="xsd:double"&gt;106.774&lt;/D&gt;&lt;/FQL&gt;&lt;FQL&gt;&lt;Q&gt;CRM^FF_EBITDA_OPER(ANN,2019)&lt;/Q&gt;&lt;R&gt;1&lt;/R&gt;&lt;C&gt;1&lt;/C&gt;&lt;D xsi:type="xsd:double"&gt;2157&lt;/D&gt;&lt;/FQL&gt;&lt;FQL&gt;&lt;Q&gt;DELL^FF_ARPT_SERIES('ADJUSTED EBITDA','ANN',2019,,'M','NG-IS')&lt;/Q&gt;&lt;R&gt;1&lt;/R&gt;&lt;C&gt;1&lt;/C&gt;&lt;D xsi:type="xsd:double"&gt;10296&lt;/D&gt;&lt;/FQL&gt;&lt;FQL&gt;&lt;Q&gt;CARB^FF_ARPT_SERIES('ADJUSTED EBITDA','ANN',2019,,'M','NG-IS')&lt;/Q&gt;&lt;R&gt;1&lt;/R&gt;&lt;C&gt;1&lt;/C&gt;&lt;D xsi:type="xsd:double"&gt;77.033997&lt;/D&gt;&lt;/FQL&gt;&lt;FQL&gt;&lt;Q&gt;CLDR^FF_ARPT_SERIES('ADJUSTED EBITDA','ANN',2019,,'M','NG-IS')&lt;/Q&gt;&lt;R&gt;0&lt;/R&gt;&lt;C&gt;0&lt;/C&gt;&lt;/FQL&gt;&lt;FQL&gt;&lt;Q&gt;CSOD^FF_ARPT_SERIES('ADJUSTED EBITDA','ANN',2019,,'M','NG-IS')&lt;/Q&gt;&lt;R&gt;0&lt;/R&gt;&lt;C&gt;0&lt;/C&gt;&lt;/FQL&gt;&lt;FQL&gt;&lt;Q&gt;PFPT^FF_ARPT_SERIES('ADJUSTED EBITDA','ANN',2019,,'M','NG-IS')&lt;/Q&gt;&lt;R&gt;0&lt;/R&gt;&lt;C&gt;0&lt;/C&gt;&lt;/FQL&gt;&lt;FQL&gt;&lt;Q&gt;WDAY^FF_ARPT_SERIES('ADJUSTED EBITDA','ANN',2019,,'M','NG-IS')&lt;/Q&gt;&lt;R&gt;0&lt;/R&gt;&lt;C&gt;0&lt;/C&gt;&lt;/FQL&gt;&lt;FQL&gt;&lt;Q&gt;NOW^FF_ARPT_SERIES('ADJUSTED EBITDA','ANN',2019,,'M','NG-IS')&lt;/Q&gt;&lt;R&gt;0&lt;/R&gt;&lt;C&gt;0&lt;/C&gt;&lt;/FQL&gt;&lt;FQL&gt;&lt;Q&gt;CRM^FF_ARPT_SERIES('ADJUSTED EBITDA','ANN',2019,,'M','NG-IS')&lt;/Q&gt;&lt;R&gt;0&lt;/R&gt;&lt;C&gt;0&lt;/C&gt;&lt;/FQL&gt;&lt;FQL&gt;&lt;Q&gt;DELL^FF_ADJ_EBITDA(ANN,2019)&lt;/Q&gt;&lt;R&gt;1&lt;/R&gt;&lt;C&gt;1&lt;/C&gt;&lt;D xsi:type="xsd:double"&gt;10296&lt;/D&gt;&lt;/FQL&gt;&lt;FQL&gt;&lt;Q&gt;CARB^FF_ADJ_EBITDA(ANN,2019)&lt;/Q&gt;&lt;R&gt;1&lt;/R&gt;&lt;C&gt;1&lt;/C&gt;&lt;D xsi:type="xsd:double"&gt;77.034&lt;/D&gt;&lt;/FQL&gt;&lt;FQL&gt;&lt;Q&gt;CLDR^FF_ADJ_EBITDA(ANN,2019)&lt;/Q&gt;&lt;R&gt;0&lt;/R&gt;&lt;C&gt;0&lt;/C&gt;&lt;/FQL&gt;&lt;FQL&gt;&lt;Q&gt;CSOD^FF_ADJ_EBITDA(ANN,2019)&lt;/Q&gt;&lt;R&gt;0&lt;/R&gt;&lt;C&gt;0&lt;/C&gt;&lt;/FQL&gt;&lt;FQL&gt;&lt;Q&gt;PFPT^FF_ADJ_EBITDA(ANN,2019)&lt;/Q&gt;&lt;R&gt;0&lt;/R&gt;&lt;C&gt;0&lt;/C&gt;&lt;/FQL&gt;&lt;FQL&gt;&lt;Q&gt;WDAY^FF_ADJ_EBITDA(ANN,2019)&lt;/Q&gt;&lt;R&gt;0&lt;/R&gt;&lt;C&gt;0&lt;/C&gt;&lt;/FQL&gt;&lt;FQL&gt;&lt;Q&gt;NOW^FF_ADJ_EBITDA(ANN,2019)&lt;/Q&gt;&lt;R&gt;0&lt;/R&gt;&lt;C&gt;0&lt;/C&gt;&lt;/FQL&gt;&lt;FQL&gt;&lt;Q&gt;CRM^FF_ADJ_EBITDA(ANN,2019)&lt;/Q&gt;&lt;R&gt;0&lt;/R&gt;&lt;C&gt;0&lt;/C&gt;&lt;/FQL&gt;&lt;FQL&gt;&lt;Q&gt;DELL^AVAIL(FF_ARPT_SERIES('GROSS MARGIN','ANN',2018,,'M','IS'),FF_ARPT_SERIES('GROSS PROFIT','ANN',2018,,'M','IS'))&lt;/Q&gt;&lt;R&gt;1&lt;/R&gt;&lt;C&gt;1&lt;/C&gt;&lt;D xsi:type="xsd:double"&gt;25053&lt;/D&gt;&lt;/FQL&gt;&lt;FQL&gt;&lt;Q&gt;CARB^AVAIL(FF_ARPT_SERIES('GROSS MARGIN','ANN',2018,,'M','IS'),FF_ARPT_SERIES('GROSS PROFIT','ANN',2018,,'M','IS'))&lt;/Q&gt;&lt;R&gt;1&lt;/R&gt;&lt;C&gt;1&lt;/C&gt;&lt;D xsi:type="xsd:double"&gt;211.024994&lt;/D&gt;&lt;/FQL&gt;&lt;FQL&gt;&lt;Q&gt;CLDR^AVAIL(FF_ARPT_SERIES('GROSS MARGIN','ANN',2018,,'M','IS'),FF_ARPT_SERIES('GROSS PROFIT','ANN',2018,,'M','IS'))&lt;/Q&gt;&lt;R&gt;0&lt;/R&gt;&lt;C&gt;0&lt;/C&gt;&lt;/FQL&gt;&lt;FQL&gt;&lt;Q&gt;CSOD^AVAIL(FF_ARPT_SERIES('GROSS MARGIN','ANN',2018,,'M','IS'),FF_ARPT_SERIES('GROSS PROFIT','ANN',2018,,'M','IS'))&lt;/Q&gt;&lt;R&gt;1&lt;/R&gt;&lt;C&gt;1&lt;/C&gt;&lt;D xsi:type="xsd:double"&gt;393.541992&lt;/D&gt;&lt;/FQL&gt;&lt;FQL&gt;&lt;Q&gt;PFPT^AVAIL(FF_ARPT_SERIES('GROSS MARGIN','ANN',2018,,'M','IS'),FF_ARPT_SERIES('GROSS PROFIT','ANN',2018,,'M','IS'))&lt;/Q&gt;&lt;R&gt;1&lt;/R&gt;&lt;C&gt;1&lt;/C&gt;&lt;D xsi:type="xsd:double"&gt;515.232971&lt;/D&gt;&lt;/FQL&gt;&lt;FQL&gt;&lt;Q&gt;WDAY^AVAIL(FF_ARPT_SERIES('GROSS MARGIN','ANN',2018,,'M','IS'),FF_ARPT_SERIES('GROSS PROFIT','ANN',2018,,'M','IS'))&lt;/Q&gt;&lt;R&gt;0&lt;/R&gt;&lt;C&gt;0&lt;/C&gt;&lt;/FQL&gt;&lt;FQL&gt;&lt;Q&gt;NOW^AVAIL(FF_ARPT_SERIES('GROSS MARGIN','ANN',2018,,'M','IS'),FF_ARPT_SERIES('GROSS PROFIT','ANN',2018,,'M','IS'))&lt;/Q&gt;&lt;R&gt;1&lt;/R&gt;&lt;C&gt;1&lt;/C&gt;&lt;D xsi:type="xsd:double"&gt;1986.157959&lt;/D&gt;&lt;/FQL&gt;&lt;FQL&gt;&lt;Q&gt;CRM^AVAIL(FF_ARPT_SERIES('GROSS MARGIN','ANN',2018,,'M','IS'),FF_ARPT_SERIES('GROSS PROFIT','ANN',2018,,'M','IS'))&lt;/Q&gt;&lt;R&gt;1&lt;/R&gt;&lt;C&gt;1&lt;/C&gt;&lt;D xsi:type="xsd:double"&gt;9831&lt;/D&gt;&lt;/FQL&gt;&lt;FQL&gt;&lt;Q&gt;DELL^AVAIL(FF_ARPT_SERIES('NON-GAAP GROSS MARGIN','ANN',2018,,'M','NG-IS'),FF_ARPT_SERIES('NON-GAAP GROSS PROFIT','ANN',2018,,'M','NG-IS'))&lt;/Q&gt;&lt;R&gt;1&lt;/R&gt;&lt;C&gt;1&lt;/C&gt;&lt;D xsi:type="xsd:double"&gt;29022&lt;/D&gt;&lt;/FQL&gt;&lt;FQL&gt;&lt;Q&gt;CARB^AVAIL(FF_ARPT_SERIES('NON-GAAP GROSS MARGIN','ANN',2018,,'M','NG-IS'),FF_ARPT_SERIES('NON-GAAP GROSS PROFIT','ANN',2018,,'M','NG-IS'))&lt;/Q&gt;&lt;R&gt;1&lt;/R&gt;&lt;C&gt;1&lt;/C&gt;&lt;D xsi:type="xsd:double"&gt;233.763&lt;/D&gt;&lt;/FQL&gt;&lt;FQL&gt;&lt;Q&gt;CLDR^AVAIL(FF_ARPT_SERIES('NON-GAAP GROSS MARGIN','ANN',2018,,'M','NG-IS'),FF_ARPT_SERIES('NON-GAAP GROSS PROFIT','ANN',2018,,'M','NG-IS'))&lt;/Q&gt;&lt;R&gt;0&lt;/R&gt;&lt;C&gt;0&lt;/C&gt;&lt;/FQL&gt;&lt;FQL&gt;&lt;Q&gt;CSOD^AVAIL(FF_ARPT_SERIES('NON-GAAP GROSS MARGIN','ANN',2018,,'M','NG-IS'),FF_ARPT_SERIES('NON-GAAP GROSS PROFIT','ANN',2018,,'M','NG-IS'))&lt;/Q&gt;&lt;R&gt;1&lt;/R&gt;&lt;C&gt;1&lt;/C&gt;&lt;D xsi:type="xsd:double"&gt;398.592987&lt;/D&gt;&lt;/FQL&gt;&lt;FQL&gt;&lt;Q&gt;PFPT^AVAIL(FF_ARPT_SERIES('NON-GAAP GROSS MARGIN','ANN',2018,,'M','NG-IS'),FF_ARPT_SERIES('NON-GAAP GROSS PROFIT','ANN',2018,,'M','NG-IS'))&lt;/Q&gt;&lt;R&gt;1&lt;/R&gt;&lt;C&gt;1&lt;/C&gt;&lt;D xsi:type="xsd:double"&gt;558.502991&lt;/D&gt;&lt;/FQL&gt;&lt;FQL&gt;&lt;Q&gt;WDAY^AVAIL(FF_ARPT_SERIES('NON-GAAP GROSS MARGIN','ANN',2018,,'M','NG-IS'),FF_ARPT_SERIES('NON-GAAP GROSS PROFIT','ANN',2018,,'M','NG-IS'))&lt;/Q&gt;&lt;R&gt;0&lt;/R&gt;&lt;C&gt;0&lt;/C&gt;&lt;/FQL&gt;&lt;FQL&gt;&lt;Q&gt;NOW^AVAIL(FF_ARPT_SERIES('NON-GAAP GROSS MARGIN','ANN',2018,,'M','NG-IS'),FF_ARPT_SERIES('NON-GAAP GROSS PROFIT','ANN',2018,,'M','NG-IS'))&lt;/Q&gt;&lt;R&gt;1&lt;/R&gt;&lt;C&gt;1&lt;/C&gt;&lt;D xsi:type="xsd:double"&gt;2086.705078&lt;/D&gt;&lt;/FQL&gt;&lt;FQL&gt;&lt;Q&gt;CRM^AVAIL(FF_ARPT_SERIES('NON-GAAP GROSS MARGIN','ANN',2018,,'M','NG-IS'),FF_ARPT_SERIES('NON-GAAP GROSS PROFIT','ANN',2018,,'M','NG-IS'))&lt;/Q&gt;&lt;R&gt;1&lt;/R&gt;&lt;C&gt;1&lt;/C&gt;&lt;D xsi:type="xsd:double"&gt;10207&lt;/D&gt;&lt;/FQL&gt;&lt;FQL&gt;&lt;Q&gt;DELL^FF_ADJ_GROSS_INC(ANN,2018)&lt;/Q&gt;&lt;R&gt;1&lt;/R&gt;&lt;C&gt;1&lt;/C&gt;&lt;D xsi:type="xsd:double"&gt;29022&lt;/D&gt;&lt;/FQL&gt;&lt;FQL&gt;&lt;Q&gt;CARB^FF_ADJ_GROSS_INC(ANN,2018)&lt;/Q&gt;&lt;R&gt;1&lt;/R&gt;&lt;C&gt;1&lt;/C&gt;&lt;D xsi:type="xsd:double"&gt;233.763&lt;/D&gt;&lt;/FQL&gt;&lt;FQL&gt;&lt;Q&gt;CLDR^FF_ADJ_GROSS_INC(ANN,2018)&lt;/Q&gt;&lt;R&gt;0&lt;/R&gt;&lt;C&gt;0&lt;/C&gt;&lt;/FQL&gt;&lt;FQL&gt;&lt;Q&gt;CSOD^FF_ADJ_GROSS_INC(ANN,2018)&lt;/Q&gt;&lt;R&gt;1&lt;/R&gt;&lt;C&gt;1&lt;/C&gt;&lt;D xsi:type="xsd:double"&gt;398.593&lt;/D&gt;&lt;/FQL&gt;&lt;FQL&gt;&lt;Q&gt;PFPT^FF_ADJ_GROSS_INC(ANN,2018)&lt;/Q&gt;&lt;R&gt;1&lt;/R&gt;&lt;C&gt;1&lt;/C&gt;&lt;D xsi:type="xsd:double"&gt;558.503&lt;/D&gt;&lt;/FQL&gt;&lt;FQL&gt;&lt;Q&gt;WDAY^FF_ADJ_GROSS_INC(ANN,2018)&lt;/Q&gt;&lt;R&gt;0&lt;/R&gt;&lt;C&gt;0&lt;/C&gt;&lt;/FQL&gt;&lt;FQL&gt;&lt;Q&gt;NOW^FF_ADJ_GROSS_INC(ANN,2018)&lt;/Q&gt;&lt;R&gt;1&lt;/R&gt;&lt;C&gt;1&lt;/C&gt;&lt;D xsi:type="xsd:double"&gt;2086.705&lt;/D&gt;&lt;/FQL&gt;&lt;FQL&gt;&lt;Q&gt;CRM^FF_ADJ_GROSS_INC(ANN,2018)&lt;/Q&gt;&lt;R&gt;1&lt;/R&gt;&lt;C&gt;1&lt;/C&gt;&lt;D xsi:type="xsd:double"&gt;10207&lt;/D&gt;&lt;/FQL&gt;&lt;FQL&gt;&lt;Q&gt;DELL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CARB^IF(FE_ACTUAL(FLAG,GROSS_INC,ANN_ROLL,2018,,,,'')!=3,FE_ACTUAL(ACTUAL,GROSS_INC,ANN_ROLL,2018,,,,''),FLOAT_NA)/IF(FE_ACTUAL(FLAG,SALES,ANN_ROLL,2018,,,,'')!=3,FE_ACTUAL(ACTUAL,SALES,ANN_ROLL,2018,,,,''),FLOAT_NA)&lt;/Q&gt;&lt;R&gt;1&lt;/R&gt;&lt;C&gt;1&lt;/C&gt;&lt;D xsi:type="xsd:double"&gt;0.7743087&lt;/D&gt;&lt;/FQL&gt;&lt;FQL&gt;&lt;Q&gt;CLDR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CSOD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PFPT^IF(FE_ACTUAL(FLAG,GROSS_INC,ANN_ROLL,2018,,,,'')!=3,FE_ACTUAL(ACTUAL,GROSS_INC,ANN_ROLL,2018,,,,''),FLOAT_NA)/IF(FE_ACTUAL(FLAG,SALES,ANN_ROLL,2018,,,,'')!=3,FE_ACTUAL(ACTUAL,SALES,ANN_ROLL,2018,,,,''),FLOAT_NA)&lt;/Q&gt;&lt;R&gt;1&lt;/R&gt;&lt;C&gt;1&lt;/C&gt;&lt;D xsi:type="xsd:double"&gt;0.7789507&lt;/D&gt;&lt;/FQL&gt;&lt;FQL&gt;&lt;Q&gt;WDAY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NOW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CRM^IF(FE_ACTUAL(FLAG,GROSS_INC,ANN_ROLL,2018,,,,'')!=3,FE_ACTUAL(ACTUAL,GROSS_INC,ANN_ROLL,2018,,,,''),FLOAT_NA)/IF(FE_ACTUAL(FLAG,SALES,ANN_ROLL,2018,,,,'')!=3,FE_ACTUAL(ACTUAL,SALES,ANN_ROLL,2018,,,,''),FLOAT_NA)&lt;/Q&gt;&lt;R&gt;0&lt;/R&gt;&lt;C&gt;0&lt;/C&gt;&lt;/FQL&gt;&lt;FQL&gt;&lt;Q&gt;DELL^FE_VALUATION(GROSS_MARGIN,MEAN,ANN_ROLL,2018,0,,,'')/100&lt;/Q&gt;&lt;R&gt;1&lt;/R&gt;&lt;C&gt;1&lt;/C&gt;&lt;D xsi:type="xsd:double"&gt;0.31054816&lt;/D&gt;&lt;/FQL&gt;&lt;FQL&gt;&lt;Q&gt;CARB^FE_VALUATION(GROSS_MARGIN,MEAN,ANN_ROLL,2018,0,,,'')/100&lt;/Q&gt;&lt;R&gt;1&lt;/R&gt;&lt;C&gt;1&lt;/C&gt;&lt;D xsi:type="xsd:double"&gt;0.7743087&lt;/D&gt;&lt;/FQL&gt;&lt;FQL&gt;&lt;Q&gt;CLDR^FE_VALUATION(GROSS_MARGIN,MEAN,ANN_ROLL,2018,0,,,'')/100&lt;/Q&gt;&lt;R&gt;1&lt;/R&gt;&lt;C&gt;1&lt;/C&gt;&lt;D xsi:type="xsd:double"&gt;0.7640376&lt;/D&gt;&lt;/FQL&gt;&lt;FQL&gt;&lt;Q&gt;CSOD^FE_VALUATION(GROSS_MARGIN,MEAN,ANN_ROLL,2018,0,,,'')/100&lt;/Q&gt;&lt;R&gt;1&lt;/R&gt;&lt;C&gt;1&lt;/C&gt;&lt;D xsi:type="xsd:double"&gt;0.74103093&lt;/D&gt;&lt;/FQL&gt;&lt;FQL&gt;&lt;Q&gt;PFPT^FE_VALUATION(GROSS_MARGIN,MEAN,ANN_ROLL,2018,0,,,'')/100&lt;/Q&gt;&lt;R&gt;1&lt;/R&gt;&lt;C&gt;1&lt;/C&gt;&lt;D xsi:type="xsd:double"&gt;0.77895075&lt;/D&gt;&lt;/FQL&gt;&lt;FQL&gt;&lt;Q&gt;WDAY^FE_VALUATION(GROSS_MARGIN,MEAN,ANN_ROLL,2018,0,,,'')/100&lt;/Q&gt;&lt;R&gt;1&lt;/R&gt;&lt;C&gt;1&lt;/C&gt;&lt;D xsi:type="xsd:double"&gt;0.7457992&lt;/D&gt;&lt;/FQL&gt;&lt;FQL&gt;&lt;Q&gt;NOW^FE_VALUATION(GROSS_MARGIN,MEAN,ANN_ROLL,2018,0,,,'')/100&lt;/Q&gt;&lt;R&gt;1&lt;/R&gt;&lt;C&gt;1&lt;/C&gt;&lt;D xsi:type="xsd:double"&gt;0.798263&lt;/D&gt;&lt;/FQL&gt;&lt;FQL&gt;&lt;Q&gt;CRM^FE_VALUATION(GROSS_MARGIN,MEAN,ANN_ROLL,2018,0,,,'')/100&lt;/Q&gt;&lt;R&gt;1&lt;/R&gt;&lt;C&gt;1&lt;/C&gt;&lt;D xsi:type="xsd:double"&gt;0.7646667&lt;/D&gt;&lt;/FQL&gt;&lt;FQL&gt;&lt;Q&gt;DELL^FF_GROSS_MGN(ANN,2018)/100&lt;/Q&gt;&lt;R&gt;1&lt;/R&gt;&lt;C&gt;1&lt;/C&gt;&lt;D xsi:type="xsd:double"&gt;0.27484623213416509&lt;/D&gt;&lt;/FQL&gt;&lt;FQL&gt;&lt;Q&gt;CARB^FF_GROSS_MGN(ANN,2018)/100&lt;/Q&gt;&lt;R&gt;1&lt;/R&gt;&lt;C&gt;1&lt;/C&gt;&lt;D xsi:type="xsd:double"&gt;0.62369436722355664&lt;/D&gt;&lt;/FQL&gt;&lt;FQL&gt;&lt;Q&gt;CLDR^FF_GROSS_MGN(ANN,2018)/100&lt;/Q&gt;&lt;R&gt;1&lt;/R&gt;&lt;C&gt;1&lt;/C&gt;&lt;D xsi:type="xsd:double"&gt;0.70414696806482469&lt;/D&gt;&lt;/FQL&gt;&lt;FQL&gt;&lt;Q&gt;CSOD^FF_GROSS_MGN(ANN,2018)/100&lt;/Q&gt;&lt;R&gt;1&lt;/R&gt;&lt;C&gt;1&lt;/C&gt;&lt;D xsi:type="xsd:double"&gt;0.73163893800044988&lt;/D&gt;&lt;/FQL&gt;&lt;FQL&gt;&lt;Q&gt;PFPT^FF_GROSS_MGN(ANN,2018)/100&lt;/Q&gt;&lt;R&gt;1&lt;/R&gt;&lt;C&gt;1&lt;/C&gt;&lt;D xsi:type="xsd:double"&gt;0.69881616861507911&lt;/D&gt;&lt;/FQL&gt;&lt;FQL&gt;&lt;Q&gt;WDAY^FF_GROSS_MGN(ANN,2018)/100&lt;/Q&gt;&lt;R&gt;1&lt;/R&gt;&lt;C&gt;1&lt;/C&gt;&lt;D xsi:type="xsd:double"&gt;0.70488040401641183&lt;/D&gt;&lt;/FQL&gt;&lt;FQL&gt;&lt;Q&gt;NOW^FF_GROSS_MGN(ANN,2018)/100&lt;/Q&gt;&lt;R&gt;1&lt;/R&gt;&lt;C&gt;1&lt;/C&gt;&lt;D xsi:type="xsd:double"&gt;0.76132544418617476&lt;/D&gt;&lt;/FQL&gt;&lt;FQL&gt;&lt;Q&gt;CRM^FF_GROSS_MGN(ANN,2018)/100&lt;/Q&gt;&lt;R&gt;1&lt;/R&gt;&lt;C&gt;1&lt;/C&gt;&lt;D xsi:type="xsd:double"&gt;0.66721879235054959&lt;/D&gt;&lt;/FQL&gt;&lt;FQL&gt;&lt;Q&gt;DELL^AVAIL(FF_ARPT_SERIES('GROSS MARGIN','ANN',2018,,'M','IS'),FF_ARPT_SERIES('GROSS PROFIT','ANN',2018,,'M','IS'))/FF_ARPT_SERIES('RV','ANN',2018,,'M','IS')&lt;/Q&gt;&lt;R&gt;1&lt;/R&gt;&lt;C&gt;1&lt;/C&gt;&lt;D xsi:type="xsd:double"&gt;0.27645909888436448&lt;/D&gt;&lt;/FQL&gt;&lt;FQL&gt;&lt;Q&gt;CARB^AVAIL(FF_ARPT_SERIES('GROSS MARGIN','ANN',2018,,'M','IS'),FF_ARPT_SERIES('GROSS PROFIT','ANN',2018,,'M','IS'))/FF_ARPT_SERIES('RV','ANN',2018,,'M','IS')&lt;/Q&gt;&lt;R&gt;1&lt;/R&gt;&lt;C&gt;1&lt;/C&gt;&lt;D xsi:type="xsd:double"&gt;0.71194097702966785&lt;/D&gt;&lt;/FQL&gt;&lt;FQL&gt;&lt;Q&gt;CLDR^AVAIL(FF_ARPT_SERIES('GROSS MARGIN','ANN',2018,,'M','IS'),FF_ARPT_SERIES('GROSS PROFIT','ANN',2018,,'M','IS'))/FF_ARPT_SERIES('RV','ANN',2018,,'M','IS')&lt;/Q&gt;&lt;R&gt;0&lt;/R&gt;&lt;C&gt;0&lt;/C&gt;&lt;/FQL&gt;&lt;FQL&gt;&lt;Q&gt;CSOD^AVAIL(FF_ARPT_SERIES('GROSS MARGIN','ANN',2018,,'M','IS'),FF_ARPT_SERIES('GROSS PROFIT','ANN',2018,,'M','IS'))/FF_ARPT_SERIES('RV','ANN',2018,,'M','IS')&lt;/Q&gt;&lt;R&gt;1&lt;/R&gt;&lt;C&gt;1&lt;/C&gt;&lt;D xsi:type="xsd:double"&gt;0.73163893536934144&lt;/D&gt;&lt;/FQL&gt;&lt;FQL&gt;&lt;Q&gt;PFPT^AVAIL(FF_ARPT_SERIES('GROSS MARGIN','ANN',2018,,'M','IS'),FF_ARPT_SERIES('GROSS PROFIT','ANN',2018,,'M','IS'))/FF_ARPT_SERIES('RV','ANN',2018,,'M','IS')&lt;/Q&gt;&lt;R&gt;1&lt;/R&gt;&lt;C&gt;1&lt;/C&gt;&lt;D xsi:type="xsd:double"&gt;0.71860149087240854&lt;/D&gt;&lt;/FQL&gt;&lt;FQL&gt;&lt;Q&gt;WDAY^AVAIL(FF_ARPT_SERIES('GROSS MARGIN','ANN',2018,,'M','IS'),FF_ARPT_SERIES('GROSS PROFIT','ANN',2018,,'M','IS'))/FF_ARPT_SERIES('RV','ANN',2018,,'M','IS')&lt;/Q&gt;&lt;R&gt;0&lt;/R&gt;&lt;C&gt;0&lt;/C&gt;&lt;/FQL&gt;&lt;FQL&gt;&lt;Q&gt;NOW^AVAIL(FF_ARPT_SERIES('GROSS MARGIN','ANN',2018,,'M','IS'),FF_ARPT_SERIES('GROSS PROFIT','ANN',2018,,'M','IS'))/FF_ARPT_SERIES('RV','ANN',2018,,'M','IS')&lt;/Q&gt;&lt;R&gt;1&lt;/R&gt;&lt;C&gt;1&lt;/C&gt;&lt;D xsi:type="xsd:double"&gt;0.76132545240012606&lt;/D&gt;&lt;/FQL&gt;&lt;FQL&gt;&lt;Q&gt;CRM^AVAIL(FF_ARPT_SERIES('GROSS MARGIN','ANN',2018,,'M','IS'),FF_ARPT_SERIES('GROSS PROFIT','ANN',2018,,'M','IS'))/FF_ARPT_SERIES('RV','ANN',2018,,'M','IS')&lt;/Q&gt;&lt;R&gt;1&lt;/R&gt;&lt;C&gt;1&lt;/C&gt;&lt;D xsi:type="xsd:double"&gt;0.740174672489083&lt;/D&gt;&lt;/FQL&gt;&lt;FQL&gt;&lt;Q&gt;DELL^AVAIL(FF_ARPT_SERIES('NON-GAAP GROSS MARGIN','ANN',2018,,'M','NG-IS'),FF_ARPT_SERIES('NON-GAAP GROSS PROFIT','ANN',2018,,'M','NG-IS'))/FF_ARPT_SERIES('NG-RV','ANN',2018,,'M','NG-IS')&lt;/Q&gt;&lt;R&gt;1&lt;/R&gt;&lt;C&gt;1&lt;/C&gt;&lt;D xsi:type="xsd:double"&gt;0.31779159914151811&lt;/D&gt;&lt;/FQL&gt;&lt;FQL&gt;&lt;Q&gt;CARB^AVAIL(FF_ARPT_SERIES('NON-GAAP GROSS MARGIN','ANN',2018,,'M','NG-IS'),FF_ARPT_SERIES('NON-GAAP GROSS PROFIT','ANN',2018,,'M','NG-IS'))/FF_ARPT_SERIES('NG-RV','ANN',2018,,'M','NG-IS')&lt;/Q&gt;&lt;R&gt;1&lt;/R&gt;&lt;C&gt;1&lt;/C&gt;&lt;D xsi:type="xsd:double"&gt;0.77430865973723861&lt;/D&gt;&lt;/FQL&gt;&lt;FQL&gt;&lt;Q&gt;CLDR^AVAIL(FF_ARPT_SERIES('NON-GAAP GROSS MARGIN','ANN',2018,,'M','NG-IS'),FF_ARPT_SERIES('NON-GAAP GROSS PROFIT','ANN',2018,,'M','NG-IS'))/FF_ARPT_SERIES('NG-RV','ANN',2018,,'M','NG-IS')&lt;/Q&gt;&lt;R&gt;0&lt;/R&gt;&lt;C&gt;0&lt;/C&gt;&lt;/FQL&gt;&lt;FQL&gt;&lt;Q&gt;CSOD^AVAIL(FF_ARPT_SERIES('NON-GAAP GROSS MARGIN','ANN',2018,,'M','NG-IS'),FF_ARPT_SERIES('NON-GAAP GROSS PROFIT','ANN',2018,,'M','NG-IS'))/FF_ARPT_SERIES('NG-RV','ANN',2018,,'M','NG-IS')&lt;/Q&gt;&lt;R&gt;0&lt;/R&gt;&lt;C&gt;0&lt;/C&gt;&lt;/FQL&gt;&lt;FQL&gt;&lt;Q&gt;PFPT^AVAIL(FF_ARPT_SERIES('NON-GAAP GROSS MARGIN','ANN',2018,,'M','NG-IS'),FF_ARPT_SERIES('NON-GAAP GROSS PROFIT','ANN',2018,,'M','NG-IS'))/FF_ARPT_SERIES('NG-RV','ANN',2018,,'M','NG-IS')&lt;/Q&gt;&lt;R&gt;0&lt;/R&gt;&lt;C&gt;0&lt;/C&gt;&lt;/FQL&gt;&lt;FQL&gt;&lt;Q&gt;WDAY^AVAIL(FF_ARPT_SERIES('NON-GAAP GROSS MARGIN','ANN',2018,,'M','NG-IS'),FF_ARPT_SERIES('NON-GAAP GROSS PROFIT','ANN',2018,,'M','NG-IS'))/FF_ARPT_SERIES('NG-RV','ANN',2018,,'M','NG-IS')&lt;/Q&gt;&lt;R&gt;0&lt;/R&gt;&lt;C&gt;0&lt;/C&gt;&lt;/FQL&gt;&lt;FQL&gt;&lt;Q&gt;NOW^AVAIL(FF_ARPT_SERIES('NON-GAAP GROSS MARGIN','ANN',2018,,'M','NG-IS'),FF_ARPT_SERIES('NON-GAAP GROSS PROFIT','ANN',2018,,'M','NG-IS'))/FF_ARPT_SERIES('NG-RV','ANN',2018,,'M','NG-IS')&lt;/Q&gt;&lt;R&gt;1&lt;/R&gt;&lt;C&gt;1&lt;/C&gt;&lt;D xsi:type="xsd:double"&gt;0.67556379811384815&lt;/D&gt;&lt;/FQL&gt;&lt;FQL&gt;&lt;Q&gt;CRM^AVAIL(FF_ARPT_SERIES('NON-GAAP GROSS MARGIN','ANN',2018,,'M','NG-IS'),FF_ARPT_SERIES('NON-GAAP GROSS PROFIT','ANN',2018,,'M','NG-IS'))/FF_ARPT_SERIES('NG-RV','ANN',2018,,'M','NG-IS')&lt;/Q&gt;&lt;R&gt;0&lt;/R&gt;&lt;C&gt;0&lt;/C&gt;&lt;/FQL&gt;&lt;FQL&gt;&lt;Q&gt;DELL^FF_ADJ_GROSS_INC(ANN,2018)/FF_ADJ_SALES(ANN,2018)&lt;/Q&gt;&lt;R&gt;1&lt;/R&gt;&lt;C&gt;1&lt;/C&gt;&lt;D xsi:type="xsd:double"&gt;0.31779159914151811&lt;/D&gt;&lt;/FQL&gt;&lt;FQL&gt;&lt;Q&gt;CARB^FF_ADJ_GROSS_INC(ANN,2018)/FF_ADJ_SALES(ANN,2018)&lt;/Q&gt;&lt;R&gt;1&lt;/R&gt;&lt;C&gt;1&lt;/C&gt;&lt;D xsi:type="xsd:double"&gt;0.77430862639492015&lt;/D&gt;&lt;/FQL&gt;&lt;FQL&gt;&lt;Q&gt;CLDR^FF_ADJ_GROSS_INC(ANN,2018)/FF_ADJ_SALES(ANN,2018)&lt;/Q&gt;&lt;R&gt;0&lt;/R&gt;&lt;C&gt;0&lt;/C&gt;&lt;/FQL&gt;&lt;FQL&gt;&lt;Q&gt;CSOD^FF_ADJ_GROSS_INC(ANN,2018)/FF_ADJ_SALES(ANN,2018)&lt;/Q&gt;&lt;R&gt;0&lt;/R&gt;&lt;C&gt;0&lt;/C&gt;&lt;/FQL&gt;&lt;FQL&gt;&lt;Q&gt;PFPT^FF_ADJ_GROSS_INC(ANN,2018)/FF_ADJ_SALES(ANN,2018)&lt;/Q&gt;&lt;R&gt;0&lt;/R&gt;&lt;C&gt;0&lt;/C&gt;&lt;/FQL&gt;&lt;FQL&gt;&lt;Q&gt;WDAY^FF_ADJ_GROSS_INC(ANN,2018)/FF_ADJ_SALES(ANN,2018)&lt;/Q&gt;&lt;R&gt;0&lt;/R&gt;&lt;C&gt;0&lt;/C&gt;&lt;/FQL&gt;&lt;FQL&gt;&lt;Q&gt;NOW^FF_ADJ_GROSS_INC(ANN,2018)/FF_ADJ_SALES(ANN,2018)&lt;/Q&gt;&lt;R&gt;1&lt;/R&gt;&lt;C&gt;1&lt;/C&gt;&lt;D xsi:type="xsd:double"&gt;0.67556376433185972&lt;/D&gt;&lt;/FQL&gt;&lt;FQL&gt;&lt;Q&gt;CRM^FF_ADJ_GROSS_INC(ANN,2018)/FF_ADJ_SALES(ANN,2018)&lt;/Q&gt;&lt;R&gt;0&lt;/R&gt;&lt;C&gt;0&lt;/C&gt;&lt;/FQL&gt;&lt;FQL&gt;&lt;Q&gt;CARB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xsi:type="xsd:double"&gt;0.77430862639492015&lt;/D&gt;&lt;/FQL&gt;&lt;FQL&gt;&lt;Q&gt;CLDR^IF(P_DATE(0,,,"DATEN")&amp;gt;FE_ESTIMATE_DATE(RPT_DATE,,ANN_ROLL,2018,'YYYYMMDD',0,,,''),AVAIL(AVAIL(FF_ADJ_GROSS_INC(ANN,2018)/FF_ADJ_SALES(ANN,2018),AVAIL(FF_ARPT_SERIES('GROSS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xsi:type="xsd:double"&gt;70.414696806482468&lt;/D&gt;&lt;/FQL&gt;&lt;FQL&gt;&lt;Q&gt;CSOD^IF(P_DATE(0,,,"DATEN")&amp;gt;FE_ESTIMATE_DATE(RPT_DATE,,ANN_ROLL,2018,'YYYYMMDD',0,,,''),AVAIL(AVAIL(FF_ADJ_GROSS_INC(ANN,2018)/FF_ADJ_SALES(ANN,2018),AVAIL(FF_ARPT_SERIES('GROSS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xsi:type="xsd:double"&gt;0.73163893536934144&lt;/D&gt;&lt;/FQL&gt;&lt;FQL&gt;&lt;Q&gt;PFPT^IF(P_DATE(0,,,"DATEN")&amp;gt;FE_ESTIMATE_DATE(RPT_DATE,,ANN_ROLL,2018,'YYYYMMDD',0,,,''),AVAIL(AVAIL(FF_ADJ_GROSS_INC(ANN,2018)/FF_ADJ_SALES(ANN,2018),AVAIL(FF_ARPT_SERIES('GROSS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xsi:type="xsd:double"&gt;0.71860149087240854&lt;/D&gt;&lt;/FQL&gt;&lt;FQL&gt;&lt;Q&gt;WDAY^IF(P_DATE(0,,,"DATEN")&amp;gt;FE_ESTIMATE_DATE(RPT_DATE,,ANN_ROLL,2018,'YYYYMMDD',0,,,''),AVAIL(AVAIL(FF_ADJ_GROSS_INC(ANN,2018)/FF_ADJ_SALES(ANN,2018),AVAIL(FF_ARPT_SERIES('GROSS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xsi:type="xsd:double"&gt;70.488040401641186&lt;/D&gt;&lt;/FQL&gt;&lt;FQL&gt;&lt;Q&gt;NOW^IF(P_DATE(0,,,"DATEN")&amp;gt;FE_ESTIMATE_DATE(RPT_DATE,,ANN_ROLL,2018,'YYYYMMDD',0,,,''),AVAIL(AVAIL(FF_ADJ_GROSS_INC(ANN,2018)/FF_ADJ_SALES(ANN,2018),AVAIL(FF_ARPT_SERIES('GROSS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xsi:type="xsd:double"&gt;0.67556376433185972&lt;/D&gt;&lt;/FQL&gt;&lt;FQL&gt;&lt;Q&gt;CRM^IF(P_DATE(0,,,"DATEN")&amp;gt;FE_ESTIMATE_DATE(RPT_DATE,,ANN_ROLL,2018,'YYYYMMDD',0,,,''),AVAIL(AVAIL(FF_ADJ_GROSS_INC(ANN,2018)/FF_ADJ_SALES(ANN,2018),AVAIL(FF_ARPT_SERIES('GROSS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PROFIT','ANN',2018,,'M','IS'))/FF_ARPT_SERIES('RV','ANN',2018,,'M','IS')),FF_GROSS_MGN(ANN,2018)),FE_VALUATION(GROSS_MARGIN,MEAN,ANN_ROLL,2018,0,,,'')/100)&lt;/Q&gt;&lt;R&gt;1&lt;/R&gt;&lt;C&gt;1&lt;/C&gt;&lt;D xsi:type="xsd:double"&gt;0.740174672489083&lt;/D&gt;&lt;/FQL&gt;&lt;FQL&gt;&lt;Q&gt;DELL^FE_ESTIMATE(EBIT_ADJ,MEAN,ANN_ROLL,2020,NOW,,,'')&lt;/Q&gt;&lt;R&gt;1&lt;/R&gt;&lt;C&gt;1&lt;/C&gt;&lt;D xsi:type="xsd:double"&gt;10023.775&lt;/D&gt;&lt;/FQL&gt;&lt;FQL&gt;&lt;Q&gt;CARB^FE_ESTIMATE(EBIT_ADJ,MEAN,ANN_ROLL,2020,NOW,,,'')&lt;/Q&gt;&lt;R&gt;1&lt;/R&gt;&lt;C&gt;1&lt;/C&gt;&lt;D xsi:type="xsd:double"&gt;136.1532&lt;/D&gt;&lt;/FQL&gt;&lt;FQL&gt;&lt;Q&gt;CLDR^FE_ESTIMATE(EBIT_ADJ,MEAN,ANN_ROLL,2020,NOW,,,'')&lt;/Q&gt;&lt;R&gt;1&lt;/R&gt;&lt;C&gt;1&lt;/C&gt;&lt;D xsi:type="xsd:double"&gt;8.794167&lt;/D&gt;&lt;/FQL&gt;&lt;FQL&gt;&lt;Q&gt;CSOD^FE_ESTIMATE(EBIT_ADJ,MEAN,ANN_ROLL,2020,NOW,,,'')&lt;/Q&gt;&lt;R&gt;1&lt;/R&gt;&lt;C&gt;1&lt;/C&gt;&lt;D xsi:type="xsd:double"&gt;109.127335&lt;/D&gt;&lt;/FQL&gt;&lt;FQL&gt;&lt;Q&gt;PFPT^FE_ESTIMATE(EBIT_ADJ,MEAN,ANN_ROLL,2020,NOW,,,'')&lt;/Q&gt;&lt;R&gt;1&lt;/R&gt;&lt;C&gt;1&lt;/C&gt;&lt;D xsi:type="xsd:double"&gt;140.15524&lt;/D&gt;&lt;/FQL&gt;&lt;FQL&gt;&lt;Q&gt;WDAY^FE_ESTIMATE(EBIT_ADJ,MEAN,ANN_ROLL,2020,NOW,,,'')&lt;/Q&gt;&lt;R&gt;1&lt;/R&gt;&lt;C&gt;1&lt;/C&gt;&lt;D xsi:type="xsd:double"&gt;603.62933&lt;/D&gt;&lt;/FQL&gt;&lt;FQL&gt;&lt;Q&gt;NOW^FE_ESTIMATE(EBIT_ADJ,MEAN,ANN_ROLL,2020,NOW,,,'')&lt;/Q&gt;&lt;R&gt;1&lt;/R&gt;&lt;C&gt;1&lt;/C&gt;&lt;D xsi:type="xsd:double"&gt;1015.86774&lt;/D&gt;&lt;/FQL&gt;&lt;FQL&gt;&lt;Q&gt;CRM^FE_ESTIMATE(EBIT_ADJ,MEAN,ANN_ROLL,2020,NOW,,,'')&lt;/Q&gt;&lt;R&gt;1&lt;/R&gt;&lt;C&gt;1&lt;/C&gt;&lt;D xsi:type="xsd:double"&gt;3748.2544&lt;/D&gt;&lt;/FQL&gt;&lt;FQL&gt;&lt;Q&gt;CARB^IF(P_DATE(0,,,"DATEN")&amp;gt;FE_ESTIMATE_DATE(RPT_DATE,,ANN_ROLL,2020,'YYYYMMDD',0,,,''),AVAIL(AVAIL(FF_ADJ_EBIT(ANN,2020),FF_ARPT_SERIES('OPERATING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xsi:type="xsd:double"&gt;136.1532&lt;/D&gt;&lt;/FQL&gt;&lt;FQL&gt;&lt;Q&gt;CLDR^IF(P_DATE(0,,,"DATEN")&amp;gt;FE_ESTIMATE_DATE(RPT_DATE,,ANN_ROLL,2020,'YYYYMMDD',0,,,''),AVAIL(AVAIL(FF_ADJ_EBIT(ANN,2020),FF_ARPT_SERIES('OPERATING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xsi:type="xsd:double"&gt;8.794167&lt;/D&gt;&lt;/FQL&gt;&lt;FQL&gt;&lt;Q&gt;CSOD^IF(P_DATE(0,,,"DATEN")&amp;gt;FE_ESTIMATE_DATE(RPT_DATE,,ANN_ROLL,2020,'YYYYMMDD',0,,,''),AVAIL(AVAIL(FF_ADJ_EBIT(ANN,2020),FF_ARPT_SERIES('OPERATING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xsi:type="xsd:double"&gt;109.127335&lt;/D&gt;&lt;/FQL&gt;&lt;FQL&gt;&lt;Q&gt;PFPT^IF(P_DATE(0,,,"DATEN")&amp;gt;FE_ESTIMATE_DATE(RPT_DATE,,ANN_ROLL,2020,'YYYYMMDD',0,,,''),AVAIL(AVAIL(FF_ADJ_EBIT(ANN,2020),FF_ARPT_SERIES('OPERATING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xsi:type="xsd:double"&gt;140.15524&lt;/D&gt;&lt;/FQL&gt;&lt;FQL&gt;&lt;Q&gt;WDAY^IF(P_DATE(0,,,"DATEN")&amp;gt;FE_ESTIMATE_DATE(RPT_DATE,,ANN_ROLL,2020,'YYYYMMDD',0,,,''),AVAIL(AVAIL(FF_ADJ_EBIT(ANN,2020),FF_ARPT_SERIES('OPERATING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xsi:type="xsd:double"&gt;603.62933&lt;/D&gt;&lt;/FQL&gt;&lt;FQL&gt;&lt;Q&gt;NOW^IF(P_DATE(0,,,"DATEN")&amp;gt;FE_ESTIMATE_DATE(RPT_DATE,,ANN_ROLL,2020,'YYYYMMDD',0,,,''),AVAIL(AVAIL(FF_ADJ_EBIT(ANN,2020),FF_ARPT_SERIES('OPERATING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xsi:type="xsd:double"&gt;1015.86774&lt;/D&gt;&lt;/FQL&gt;&lt;FQL&gt;&lt;Q&gt;CRM^IF(P_DATE(0,,,"DATEN")&amp;gt;FE_ESTIMATE_DATE(RPT_DATE,,ANN_ROLL,2020,'YYYYMMDD',0,,,''),AVAIL(AVAIL(FF_ADJ_EBIT(ANN,2020),FF_ARPT_SERIES('OPERATING INCOME / LOSS','ANN',2020,,'M','IS')),FF_EBIT_OPER(ANN,2020)),FE_ESTIMATE(EBIT_ADJ,MEAN,ANN_ROLL,2020,NOW,,,''))&lt;/Q&gt;&lt;R&gt;1&lt;/R&gt;&lt;C&gt;1&lt;/C&gt;&lt;D xsi:type="xsd:double"&gt;3748.2544&lt;/D&gt;&lt;/FQL&gt;&lt;FQL&gt;&lt;Q&gt;DELL^FE_ESTIMATE(EBITDA_ADJ,MEAN,ANN_ROLL,2020,NOW,,,'')&lt;/Q&gt;&lt;R&gt;1&lt;/R&gt;&lt;C&gt;1&lt;/C&gt;&lt;D xsi:type="xsd:double"&gt;12178.75&lt;/D&gt;&lt;/FQL&gt;&lt;FQL&gt;&lt;Q&gt;CARB^FE_ESTIMATE(EBITDA_ADJ,MEAN,ANN_ROLL,2020,NOW,,,'')&lt;/Q&gt;&lt;R&gt;1&lt;/R&gt;&lt;C&gt;1&lt;/C&gt;&lt;D xsi:type="xsd:double"&gt;157.6765&lt;/D&gt;&lt;/FQL&gt;&lt;FQL&gt;&lt;Q&gt;CLDR^FE_ESTIMATE(EBITDA_ADJ,MEAN,ANN_ROLL,2020,NOW,,,'')&lt;/Q&gt;&lt;R&gt;1&lt;/R&gt;&lt;C&gt;1&lt;/C&gt;&lt;D xsi:type="xsd:double"&gt;141.4308&lt;/D&gt;&lt;/FQL&gt;&lt;FQL&gt;&lt;Q&gt;CSOD^FE_ESTIMATE(EBITDA_ADJ,MEAN,ANN_ROLL,2020,NOW,,,'')&lt;/Q&gt;&lt;R&gt;1&lt;/R&gt;&lt;C&gt;1&lt;/C&gt;&lt;D xsi:type="xsd:double"&gt;176.424&lt;/D&gt;&lt;/FQL&gt;&lt;FQL&gt;&lt;Q&gt;PFPT^FE_ESTIMATE(EBITDA_ADJ,MEAN,ANN_ROLL,2020,NOW,,,'')&lt;/Q&gt;&lt;R&gt;1&lt;/R&gt;&lt;C&gt;1&lt;/C&gt;&lt;D xsi:type="xsd:double"&gt;182.14423&lt;/D&gt;&lt;/FQL&gt;&lt;FQL&gt;&lt;Q&gt;WDAY^FE_ESTIMATE(EBITDA_ADJ,MEAN,ANN_ROLL,2020,NOW,,,'')&lt;/Q&gt;&lt;R&gt;1&lt;/R&gt;&lt;C&gt;1&lt;/C&gt;&lt;D xsi:type="xsd:double"&gt;859.2455&lt;/D&gt;&lt;/FQL&gt;&lt;FQL&gt;&lt;Q&gt;NOW^FE_ESTIMATE(EBITDA_ADJ,MEAN,ANN_ROLL,2020,NOW,,,'')&lt;/Q&gt;&lt;R&gt;1&lt;/R&gt;&lt;C&gt;1&lt;/C&gt;&lt;D xsi:type="xsd:double"&gt;1206.595&lt;/D&gt;&lt;/FQL&gt;&lt;FQL&gt;&lt;Q&gt;CRM^FE_ESTIMATE(EBITDA_ADJ,MEAN,ANN_ROLL,2020,NOW,,,'')&lt;/Q&gt;&lt;R&gt;1&lt;/R&gt;&lt;C&gt;1&lt;/C&gt;&lt;D xsi:type="xsd:double"&gt;4566.4297&lt;/D&gt;&lt;/FQL&gt;&lt;FQL&gt;&lt;Q&gt;CARB^IF(P_DATE(0,,,"DATEN")&amp;gt;FE_ESTIMATE_DATE(RPT_DATE,,ANN_ROLL,2020,'YYYYMMDD',0,,,''),AVAIL(AVAIL(FF_ADJ_EBITDA(ANN,2020),FF_ARPT_SERIES('ADJUSTED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xsi:type="xsd:double"&gt;157.6765&lt;/D&gt;&lt;/FQL&gt;&lt;FQL&gt;&lt;Q&gt;CLDR^IF(P_DATE(0,,,"DATEN")&amp;gt;FE_ESTIMATE_DATE(RPT_DATE,,ANN_ROLL,2020,'YYYYMMDD',0,,,''),AVAIL(AVAIL(FF_ADJ_EBITDA(ANN,2020),FF_ARPT_SERIES('ADJUSTED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xsi:type="xsd:double"&gt;141.4308&lt;/D&gt;&lt;/FQL&gt;&lt;FQL&gt;&lt;Q&gt;CSOD^IF(P_DATE(0,,,"DATEN")&amp;gt;FE_ESTIMATE_DATE(RPT_DATE,,ANN_ROLL,2020,'YYYYMMDD',0,,,''),AVAIL(AVAIL(FF_ADJ_EBITDA(ANN,2020),FF_ARPT_SERIES('ADJUSTED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xsi:type="xsd:double"&gt;176.424&lt;/D&gt;&lt;/FQL&gt;&lt;FQL&gt;&lt;Q&gt;PFPT^IF(P_DATE(0,,,"DATEN")&amp;gt;FE_ESTIMATE_DATE(RPT_DATE,,ANN_ROLL,2020,'YYYYMMDD',0,,,''),AVAIL(AVAIL(FF_ADJ_EBITDA(ANN,2020),FF_ARPT_SERIES('ADJUSTED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xsi:type="xsd:double"&gt;182.14423&lt;/D&gt;&lt;/FQL&gt;&lt;FQL&gt;&lt;Q&gt;WDAY^IF(P_DATE(0,,,"DATEN")&amp;gt;FE_ESTIMATE_DATE(RPT_DATE,,ANN_ROLL,2020,'YYYYMMDD',0,,,''),AVAIL(AVAIL(FF_ADJ_EBITDA(ANN,2020),FF_ARPT_SERIES('ADJUSTED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xsi:type="xsd:double"&gt;859.2455&lt;/D&gt;&lt;/FQL&gt;&lt;FQL&gt;&lt;Q&gt;NOW^IF(P_DATE(0,,,"DATEN")&amp;gt;FE_ESTIMATE_DATE(RPT_DATE,,ANN_ROLL,2020,'YYYYMMDD',0,,,''),AVAIL(AVAIL(FF_ADJ_EBITDA(ANN,2020),FF_ARPT_SERIES('ADJUSTED EBITDA','ANN',2020,,'M','NG-IS')),FF_EBITDA_OPER(ANN,2020)),FE_ESTIMATE(EBITDA_ADJ,MEAN,ANN_ROLL,2020,NOW,,,''))&lt;/Q&gt;&lt;R&gt;1&lt;/R&gt;&lt;C&gt;1&lt;/C&gt;&lt;D xsi:type="xsd:double"&gt;1206.595&lt;/D&gt;&lt;/FQL&gt;&lt;FQL&gt;&lt;Q&gt;CRM^IF(P_DATE(0,,,"DATEN")&amp;gt;FE_ESTIMATE_DATE(RPT_DATE,,ANN_ROLL,2020,'YYYYMMDD',0,,,''),AVAIL(AVAIL(FF_ADJ_EBITDA(ANN,2020),FF_ARPT_SERIES('ADJUSTED EBITDA','ANN',2020,,'M','NG-IS')),FF_EBITDA_OPER(ANN,2020)),FE_ESTIMATE(EBITDA_ADJ,MEAN,ANN_ROLL,2020,NOW,,,'</t>
        </r>
      </text>
    </comment>
    <comment ref="A4" authorId="0" shapeId="0" xr:uid="{8CD48CFB-AA9E-463A-8DDF-65F8AAE0D5CD}">
      <text>
        <r>
          <rPr>
            <b/>
            <sz val="9"/>
            <color indexed="81"/>
            <rFont val="Tahoma"/>
            <family val="2"/>
          </rPr>
          <t>'))&lt;/Q&gt;&lt;R&gt;1&lt;/R&gt;&lt;C&gt;1&lt;/C&gt;&lt;D xsi:type="xsd:double"&gt;4566.4297&lt;/D&gt;&lt;/FQL&gt;&lt;FQL&gt;&lt;Q&gt;DELL^FE_ESTIMATE(FCF,MEAN,ANN_ROLL,2019,NOW,,,'')&lt;/Q&gt;&lt;R&gt;1&lt;/R&gt;&lt;C&gt;1&lt;/C&gt;&lt;D xsi:type="xsd:double"&gt;6610.75&lt;/D&gt;&lt;/FQL&gt;&lt;FQL&gt;&lt;Q&gt;CARB^FE_ESTIMATE(FCF,MEAN,ANN_ROLL,2019,NOW,,,'')&lt;/Q&gt;&lt;R&gt;1&lt;/R&gt;&lt;C&gt;1&lt;/C&gt;&lt;D xsi:type="xsd:double"&gt;84.798&lt;/D&gt;&lt;/FQL&gt;&lt;FQL&gt;&lt;Q&gt;CLDR^FE_ESTIMATE(FCF,MEAN,ANN_ROLL,2019,NOW,,,'')&lt;/Q&gt;&lt;R&gt;1&lt;/R&gt;&lt;C&gt;1&lt;/C&gt;&lt;D xsi:type="xsd:double"&gt;-43.297546&lt;/D&gt;&lt;/FQL&gt;&lt;FQL&gt;&lt;Q&gt;CSOD^FE_ESTIMATE(FCF,MEAN,ANN_ROLL,2019,NOW,,,'')&lt;/Q&gt;&lt;R&gt;1&lt;/R&gt;&lt;C&gt;1&lt;/C&gt;&lt;D xsi:type="xsd:double"&gt;80.1548&lt;/D&gt;&lt;/FQL&gt;&lt;FQL&gt;&lt;Q&gt;PFPT^FE_ESTIMATE(FCF,MEAN,ANN_ROLL,2019,NOW,,,'')&lt;/Q&gt;&lt;R&gt;1&lt;/R&gt;&lt;C&gt;1&lt;/C&gt;&lt;D xsi:type="xsd:double"&gt;199.74078&lt;/D&gt;&lt;/FQL&gt;&lt;FQL&gt;&lt;Q&gt;WDAY^FE_ESTIMATE(FCF,MEAN,ANN_ROLL,2019,NOW,,,'')&lt;/Q&gt;&lt;R&gt;1&lt;/R&gt;&lt;C&gt;1&lt;/C&gt;&lt;D xsi:type="xsd:double"&gt;460.07254&lt;/D&gt;&lt;/FQL&gt;&lt;FQL&gt;&lt;Q&gt;NOW^FE_ESTIMATE(FCF,MEAN,ANN_ROLL,2019,NOW,,,'')&lt;/Q&gt;&lt;R&gt;1&lt;/R&gt;&lt;C&gt;1&lt;/C&gt;&lt;D xsi:type="xsd:double"&gt;961.0932&lt;/D&gt;&lt;/FQL&gt;&lt;FQL&gt;&lt;Q&gt;CRM^FE_ESTIMATE(FCF,MEAN,ANN_ROLL,2019,NOW,,,'')&lt;/Q&gt;&lt;R&gt;1&lt;/R&gt;&lt;C&gt;1&lt;/C&gt;&lt;D xsi:type="xsd:double"&gt;3434.9443&lt;/D&gt;&lt;/FQL&gt;&lt;FQL&gt;&lt;Q&gt;CARB^IF(P_DATE(0,,,"DATEN")&amp;gt;FE_ESTIMATE_DATE(RPT_DATE,,ANN_ROLL,2019,'YYYYMMDD',0,,,''),FF_FREE_CF(ANN_R_FCF,2019),FE_ESTIMATE(FCF,MEAN,ANN_ROLL,2019,NOW,,,''))&lt;/Q&gt;&lt;R&gt;1&lt;/R&gt;&lt;C&gt;1&lt;/C&gt;&lt;D xsi:type="xsd:double"&gt;84.798&lt;/D&gt;&lt;/FQL&gt;&lt;FQL&gt;&lt;Q&gt;CLDR^IF(P_DATE(0,,,"DATEN")&amp;gt;FE_ESTIMATE_DATE(RPT_DATE,,ANN_ROLL,2019,'YYYYMMDD',0,,,''),FF_FREE_CF(ANN_R_FCF,2019),FE_ESTIMATE(FCF,MEAN,ANN_ROLL,2019,NOW,,,''))&lt;/Q&gt;&lt;R&gt;1&lt;/R&gt;&lt;C&gt;1&lt;/C&gt;&lt;D xsi:type="xsd:double"&gt;-43.297546&lt;/D&gt;&lt;/FQL&gt;&lt;FQL&gt;&lt;Q&gt;CSOD^IF(P_DATE(0,,,"DATEN")&amp;gt;FE_ESTIMATE_DATE(RPT_DATE,,ANN_ROLL,2019,'YYYYMMDD',0,,,''),FF_FREE_CF(ANN_R_FCF,2019),FE_ESTIMATE(FCF,MEAN,ANN_ROLL,2019,NOW,,,''))&lt;/Q&gt;&lt;R&gt;1&lt;/R&gt;&lt;C&gt;1&lt;/C&gt;&lt;D xsi:type="xsd:double"&gt;80.1548&lt;/D&gt;&lt;/FQL&gt;&lt;FQL&gt;&lt;Q&gt;PFPT^IF(P_DATE(0,,,"DATEN")&amp;gt;FE_ESTIMATE_DATE(RPT_DATE,,ANN_ROLL,2019,'YYYYMMDD',0,,,''),FF_FREE_CF(ANN_R_FCF,2019),FE_ESTIMATE(FCF,MEAN,ANN_ROLL,2019,NOW,,,''))&lt;/Q&gt;&lt;R&gt;1&lt;/R&gt;&lt;C&gt;1&lt;/C&gt;&lt;D xsi:type="xsd:double"&gt;199.74078&lt;/D&gt;&lt;/FQL&gt;&lt;FQL&gt;&lt;Q&gt;WDAY^IF(P_DATE(0,,,"DATEN")&amp;gt;FE_ESTIMATE_DATE(RPT_DATE,,ANN_ROLL,2019,'YYYYMMDD',0,,,''),FF_FREE_CF(ANN_R_FCF,2019),FE_ESTIMATE(FCF,MEAN,ANN_ROLL,2019,NOW,,,''))&lt;/Q&gt;&lt;R&gt;1&lt;/R&gt;&lt;C&gt;1&lt;/C&gt;&lt;D xsi:type="xsd:double"&gt;460.07254&lt;/D&gt;&lt;/FQL&gt;&lt;FQL&gt;&lt;Q&gt;NOW^IF(P_DATE(0,,,"DATEN")&amp;gt;FE_ESTIMATE_DATE(RPT_DATE,,ANN_ROLL,2019,'YYYYMMDD',0,,,''),FF_FREE_CF(ANN_R_FCF,2019),FE_ESTIMATE(FCF,MEAN,ANN_ROLL,2019,NOW,,,''))&lt;/Q&gt;&lt;R&gt;1&lt;/R&gt;&lt;C&gt;1&lt;/C&gt;&lt;D xsi:type="xsd:double"&gt;961.0932&lt;/D&gt;&lt;/FQL&gt;&lt;FQL&gt;&lt;Q&gt;CRM^IF(P_DATE(0,,,"DATEN")&amp;gt;FE_ESTIMATE_DATE(RPT_DATE,,ANN_ROLL,2019,'YYYYMMDD',0,,,''),FF_FREE_CF(ANN_R_FCF,2019),FE_ESTIMATE(FCF,MEAN,ANN_ROLL,2019,NOW,,,''))&lt;/Q&gt;&lt;R&gt;1&lt;/R&gt;&lt;C&gt;1&lt;/C&gt;&lt;D xsi:type="xsd:double"&gt;3434.9443&lt;/D&gt;&lt;/FQL&gt;&lt;FQL&gt;&lt;Q&gt;DELL^IF(FE_ACTUAL(FLAG,FCF,ANN_ROLL,2019,,,,'')!=3,FE_ACTUAL(ACTUAL,FCF,ANN_ROLL,2019,,,,''),FLOAT_NA)&lt;/Q&gt;&lt;R&gt;0&lt;/R&gt;&lt;C&gt;0&lt;/C&gt;&lt;/FQL&gt;&lt;FQL&gt;&lt;Q&gt;CARB^IF(FE_ACTUAL(FLAG,FCF,ANN_ROLL,2019,,,,'')!=3,FE_ACTUAL(ACTUAL,FCF,ANN_ROLL,2019,,,,''),FLOAT_NA)&lt;/Q&gt;&lt;R&gt;0&lt;/R&gt;&lt;C&gt;0&lt;/C&gt;&lt;/FQL&gt;&lt;FQL&gt;&lt;Q&gt;CLDR^IF(FE_ACTUAL(FLAG,FCF,ANN_ROLL,2019,,,,'')!=3,FE_ACTUAL(ACTUAL,FCF,ANN_ROLL,2019,,,,''),FLOAT_NA)&lt;/Q&gt;&lt;R&gt;0&lt;/R&gt;&lt;C&gt;0&lt;/C&gt;&lt;/FQL&gt;&lt;FQL&gt;&lt;Q&gt;CSOD^IF(FE_ACTUAL(FLAG,FCF,ANN_ROLL,2019,,,,'')!=3,FE_ACTUAL(ACTUAL,FCF,ANN_ROLL,2019,,,,''),FLOAT_NA)&lt;/Q&gt;&lt;R&gt;0&lt;/R&gt;&lt;C&gt;0&lt;/C&gt;&lt;/FQL&gt;&lt;FQL&gt;&lt;Q&gt;PFPT^IF(FE_ACTUAL(FLAG,FCF,ANN_ROLL,2019,,,,'')!=3,FE_ACTUAL(ACTUAL,FCF,ANN_ROLL,2019,,,,''),FLOAT_NA)&lt;/Q&gt;&lt;R&gt;0&lt;/R&gt;&lt;C&gt;0&lt;/C&gt;&lt;/FQL&gt;&lt;FQL&gt;&lt;Q&gt;WDAY^IF(FE_ACTUAL(FLAG,FCF,ANN_ROLL,2019,,,,'')!=3,FE_ACTUAL(ACTUAL,FCF,ANN_ROLL,2019,,,,''),FLOAT_NA)&lt;/Q&gt;&lt;R&gt;0&lt;/R&gt;&lt;C&gt;0&lt;/C&gt;&lt;/FQL&gt;&lt;FQL&gt;&lt;Q&gt;NOW^IF(FE_ACTUAL(FLAG,FCF,ANN_ROLL,2019,,,,'')!=3,FE_ACTUAL(ACTUAL,FCF,ANN_ROLL,2019,,,,''),FLOAT_NA)&lt;/Q&gt;&lt;R&gt;0&lt;/R&gt;&lt;C&gt;0&lt;/C&gt;&lt;/FQL&gt;&lt;FQL&gt;&lt;Q&gt;CRM^IF(FE_ACTUAL(FLAG,FCF,ANN_ROLL,2019,,,,'')!=3,FE_ACTUAL(ACTUAL,FCF,ANN_ROLL,2019,,,,''),FLOAT_NA)&lt;/Q&gt;&lt;R&gt;0&lt;/R&gt;&lt;C&gt;0&lt;/C&gt;&lt;/FQL&gt;&lt;FQL&gt;&lt;Q&gt;DELL^FF_FREE_CF(ANN_FCF,2019)&lt;/Q&gt;&lt;R&gt;1&lt;/R&gt;&lt;C&gt;1&lt;/C&gt;&lt;D xsi:type="xsd:double"&gt;5833&lt;/D&gt;&lt;/FQL&gt;&lt;FQL&gt;&lt;Q&gt;CARB^FF_FREE_CF(ANN_FCF,2019)&lt;/Q&gt;&lt;R&gt;1&lt;/R&gt;&lt;C&gt;1&lt;/C&gt;&lt;D xsi:type="xsd:double"&gt;40.458&lt;/D&gt;&lt;/FQL&gt;&lt;FQL&gt;&lt;Q&gt;CLDR^FF_FREE_CF(ANN_FCF,2019)&lt;/Q&gt;&lt;R&gt;1&lt;/R&gt;&lt;C&gt;1&lt;/C&gt;&lt;D xsi:type="xsd:double"&gt;24.187&lt;/D&gt;&lt;/FQL&gt;&lt;FQL&gt;&lt;Q&gt;CSOD^FF_FREE_CF(ANN_FCF,2019)&lt;/Q&gt;&lt;R&gt;1&lt;/R&gt;&lt;C&gt;1&lt;/C&gt;&lt;D xsi:type="xsd:double"&gt;75.206&lt;/D&gt;&lt;/FQL&gt;&lt;FQL&gt;&lt;Q&gt;PFPT^FF_FREE_CF(ANN_FCF,2019)&lt;/Q&gt;&lt;R&gt;1&lt;/R&gt;&lt;C&gt;1&lt;/C&gt;&lt;D xsi:type="xsd:double"&gt;155.222&lt;/D&gt;&lt;/FQL&gt;&lt;FQL&gt;&lt;Q&gt;WDAY^FF_FREE_CF(ANN_FCF,2019)&lt;/Q&gt;&lt;R&gt;1&lt;/R&gt;&lt;C&gt;1&lt;/C&gt;&lt;D xsi:type="xsd:double"&gt;404.151&lt;/D&gt;&lt;/FQL&gt;&lt;FQL&gt;&lt;Q&gt;NOW^FF_FREE_CF(ANN_FCF,2019)&lt;/Q&gt;&lt;R&gt;1&lt;/R&gt;&lt;C&gt;1&lt;/C&gt;&lt;D xsi:type="xsd:double"&gt;586.627&lt;/D&gt;&lt;/FQL&gt;&lt;FQL&gt;&lt;Q&gt;CRM^FF_FREE_CF(ANN_FCF,2019)&lt;/Q&gt;&lt;R&gt;1&lt;/R&gt;&lt;C&gt;1&lt;/C&gt;&lt;D xsi:type="xsd:double"&gt;2803&lt;/D&gt;&lt;/FQL&gt;&lt;FQL&gt;&lt;Q&gt;DELL^AVAIL(AVAIL(AVAIL(FF_ARPT_SERIES('NET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xsi:type="xsd:double"&gt;6991&lt;/D&gt;&lt;/FQL&gt;&lt;FQL&gt;&lt;Q&gt;CARB^AVAIL(AVAIL(AVAIL(FF_ARPT_SERIES('NET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xsi:type="xsd:double"&gt;53.59&lt;/D&gt;&lt;/FQL&gt;&lt;FQL&gt;&lt;Q&gt;CLDR^AVAIL(AVAIL(AVAIL(FF_ARPT_SERIES('NET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xsi:type="xsd:double"&gt;34.272999&lt;/D&gt;&lt;/FQL&gt;&lt;FQL&gt;&lt;Q&gt;CSOD^AVAIL(AVAIL(AVAIL(FF_ARPT_SERIES('NET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xsi:type="xsd:double"&gt;90.252998&lt;/D&gt;&lt;/FQL&gt;&lt;FQL&gt;&lt;Q&gt;PFPT^AVAIL(AVAIL(AVAIL(FF_ARPT_SERIES('NET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xsi:type="xsd:double"&gt;184.744003&lt;/D&gt;&lt;/FQL&gt;&lt;FQL&gt;&lt;Q&gt;WDAY^AVAIL(AVAIL(AVAIL(FF_ARPT_SERIES('NET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xsi:type="xsd:double"&gt;606.65802&lt;/D&gt;&lt;/FQL&gt;&lt;FQL&gt;&lt;Q&gt;NOW^AVAIL(AVAIL(AVAIL(FF_ARPT_SERIES('NET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xsi:type="xsd:double"&gt;811.088989&lt;/D&gt;&lt;/FQL&gt;&lt;FQL&gt;&lt;Q&gt;CRM^AVAIL(AVAIL(AVAIL(FF_ARPT_SERIES('NET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ACTIVITIES','ANN',2019,,'M','CF'))&lt;/Q&gt;&lt;R&gt;1&lt;/R&gt;&lt;C&gt;1&lt;/C&gt;&lt;D xsi:type="xsd:double"&gt;3398&lt;/D&gt;&lt;/FQL&gt;&lt;FQL&gt;&lt;Q&gt;DELL^AVAIL(FF_ARPT_SERIES('GROSS MARGIN','ANN',2019,,'M','IS'),FF_ARPT_SERIES('GROSS PROFIT','ANN',2019,,'M','IS'))&lt;/Q&gt;&lt;R&gt;1&lt;/R&gt;&lt;C&gt;1&lt;/C&gt;&lt;D xsi:type="xsd:double"&gt;25053&lt;/D&gt;&lt;/FQL&gt;&lt;FQL&gt;&lt;Q&gt;CARB^AVAIL(FF_ARPT_SERIES('GROSS MARGIN','ANN',2019,,'M','IS'),FF_ARPT_SERIES('GROSS PROFIT','ANN',2019,,'M','IS'))&lt;/Q&gt;&lt;R&gt;1&lt;/R&gt;&lt;C&gt;1&lt;/C&gt;&lt;D xsi:type="xsd:double"&gt;211.024994&lt;/D&gt;&lt;/FQL&gt;&lt;FQL&gt;&lt;Q&gt;CLDR^AVAIL(FF_ARPT_SERIES('GROSS MARGIN','ANN',2019,,'M','IS'),FF_ARPT_SERIES('GROSS PROFIT','ANN',2019,,'M','IS'))&lt;/Q&gt;&lt;R&gt;0&lt;/R&gt;&lt;C&gt;0&lt;/C&gt;&lt;/FQL&gt;&lt;FQL&gt;&lt;Q&gt;CSOD^AVAIL(FF_ARPT_SERIES('GROSS MARGIN','ANN',2019,,'M','IS'),FF_ARPT_SERIES('GROSS PROFIT','ANN',2019,,'M','IS'))&lt;/Q&gt;&lt;R&gt;1&lt;/R&gt;&lt;C&gt;1&lt;/C&gt;&lt;D xsi:type="xsd:double"&gt;393.541992&lt;/D&gt;&lt;/FQL&gt;&lt;FQL&gt;&lt;Q&gt;PFPT^AVAIL(FF_ARPT_SERIES('GROSS MARGIN','ANN',2019,,'M','IS'),FF_ARPT_SERIES('GROSS PROFIT','ANN',2019,,'M','IS'))&lt;/Q&gt;&lt;R&gt;1&lt;/R&gt;&lt;C&gt;1&lt;/C&gt;&lt;D xsi:type="xsd:double"&gt;515.232971&lt;/D&gt;&lt;/FQL&gt;&lt;FQL&gt;&lt;Q&gt;WDAY^AVAIL(FF_ARPT_SERIES('GROSS MARGIN','ANN',2019,,'M','IS'),FF_ARPT_SERIES('GROSS PROFIT','ANN',2019,,'M','IS'))&lt;/Q&gt;&lt;R&gt;0&lt;/R&gt;&lt;C&gt;0&lt;/C&gt;&lt;/FQL&gt;&lt;FQL&gt;&lt;Q&gt;NOW^AVAIL(FF_ARPT_SERIES('GROSS MARGIN','ANN',2019,,'M','IS'),FF_ARPT_SERIES('GROSS PROFIT','ANN',2019,,'M','IS'))&lt;/Q&gt;&lt;R&gt;1&lt;/R&gt;&lt;C&gt;1&lt;/C&gt;&lt;D xsi:type="xsd:double"&gt;1986.157959&lt;/D&gt;&lt;/FQL&gt;&lt;FQL&gt;&lt;Q&gt;CRM^AVAIL(FF_ARPT_SERIES('GROSS MARGIN','ANN',2019,,'M','IS'),FF_ARPT_SERIES('GROSS PROFIT','ANN',2019,,'M','IS'))&lt;/Q&gt;&lt;R&gt;1&lt;/R&gt;&lt;C&gt;1&lt;/C&gt;&lt;D xsi:type="xsd:double"&gt;9831&lt;/D&gt;&lt;/FQL&gt;&lt;FQL&gt;&lt;Q&gt;DELL^AVAIL(FF_ARPT_SERIES('NON-GAAP GROSS MARGIN','ANN',2019,,'M','NG-IS'),FF_ARPT_SERIES('NON-GAAP GROSS PROFIT','ANN',2019,,'M','NG-IS'))&lt;/Q&gt;&lt;R&gt;1&lt;/R&gt;&lt;C&gt;1&lt;/C&gt;&lt;D xsi:type="xsd:double"&gt;29022&lt;/D&gt;&lt;/FQL&gt;&lt;FQL&gt;&lt;Q&gt;CARB^AVAIL(FF_ARPT_SERIES('NON-GAAP GROSS MARGIN','ANN',2019,,'M','NG-IS'),FF_ARPT_SERIES('NON-GAAP GROSS PROFIT','ANN',2019,,'M','NG-IS'))&lt;/Q&gt;&lt;R&gt;1&lt;/R&gt;&lt;C&gt;1&lt;/C&gt;&lt;D xsi:type="xsd:double"&gt;233.763&lt;/D&gt;&lt;/FQL&gt;&lt;FQL&gt;&lt;Q&gt;CLDR^AVAIL(FF_ARPT_SERIES('NON-GAAP GROSS MARGIN','ANN',2019,,'M','NG-IS'),FF_ARPT_SERIES('NON-GAAP GROSS PROFIT','ANN',2019,,'M','NG-IS'))&lt;/Q&gt;&lt;R&gt;0&lt;/R&gt;&lt;C&gt;0&lt;/C&gt;&lt;/FQL&gt;&lt;FQL&gt;&lt;Q&gt;CSOD^AVAIL(FF_ARPT_SERIES('NON-GAAP GROSS MARGIN','ANN',2019,,'M','NG-IS'),FF_ARPT_SERIES('NON-GAAP GROSS PROFIT','ANN',2019,,'M','NG-IS'))&lt;/Q&gt;&lt;R&gt;1&lt;/R&gt;&lt;C&gt;1&lt;/C&gt;&lt;D xsi:type="xsd:double"&gt;398.592987&lt;/D&gt;&lt;/FQL&gt;&lt;FQL&gt;&lt;Q&gt;PFPT^AVAIL(FF_ARPT_SERIES('NON-GAAP GROSS MARGIN','ANN',2019,,'M','NG-IS'),FF_ARPT_SERIES('NON-GAAP GROSS PROFIT','ANN',2019,,'M','NG-IS'))&lt;/Q&gt;&lt;R&gt;1&lt;/R&gt;&lt;C&gt;1&lt;/C&gt;&lt;D xsi:type="xsd:double"&gt;558.502991&lt;/D&gt;&lt;/FQL&gt;&lt;FQL&gt;&lt;Q&gt;WDAY^AVAIL(FF_ARPT_SERIES('NON-GAAP GROSS MARGIN','ANN',2019,,'M','NG-IS'),FF_ARPT_SERIES('NON-GAAP GROSS PROFIT','ANN',2019,,'M','NG-IS'))&lt;/Q&gt;&lt;R&gt;0&lt;/R&gt;&lt;C&gt;0&lt;/C&gt;&lt;/FQL&gt;&lt;FQL&gt;&lt;Q&gt;NOW^AVAIL(FF_ARPT_SERIES('NON-GAAP GROSS MARGIN','ANN',2019,,'M','NG-IS'),FF_ARPT_SERIES('NON-GAAP GROSS PROFIT','ANN',2019,,'M','NG-IS'))&lt;/Q&gt;&lt;R&gt;1&lt;/R&gt;&lt;C&gt;1&lt;/C&gt;&lt;D xsi:type="xsd:double"&gt;2086.705078&lt;/D&gt;&lt;/FQL&gt;&lt;FQL&gt;&lt;Q&gt;CRM^AVAIL(FF_ARPT_SERIES('NON-GAAP GROSS MARGIN','ANN',2019,,'M','NG-IS'),FF_ARPT_SERIES('NON-GAAP GROSS PROFIT','ANN',2019,,'M','NG-IS'))&lt;/Q&gt;&lt;R&gt;1&lt;/R&gt;&lt;C&gt;1&lt;/C&gt;&lt;D xsi:type="xsd:double"&gt;10207&lt;/D&gt;&lt;/FQL&gt;&lt;FQL&gt;&lt;Q&gt;DELL^FF_ADJ_GROSS_INC(ANN,2019)&lt;/Q&gt;&lt;R&gt;1&lt;/R&gt;&lt;C&gt;1&lt;/C&gt;&lt;D xsi:type="xsd:double"&gt;29022&lt;/D&gt;&lt;/FQL&gt;&lt;FQL&gt;&lt;Q&gt;CARB^FF_ADJ_GROSS_INC(ANN,2019)&lt;/Q&gt;&lt;R&gt;1&lt;/R&gt;&lt;C&gt;1&lt;/C&gt;&lt;D xsi:type="xsd:double"&gt;233.763&lt;/D&gt;&lt;/FQL&gt;&lt;FQL&gt;&lt;Q&gt;CLDR^FF_ADJ_GROSS_INC(ANN,2019)&lt;/Q&gt;&lt;R&gt;0&lt;/R&gt;&lt;C&gt;0&lt;/C&gt;&lt;/FQL&gt;&lt;FQL&gt;&lt;Q&gt;CSOD^FF_ADJ_GROSS_INC(ANN,2019)&lt;/Q&gt;&lt;R&gt;1&lt;/R&gt;&lt;C&gt;1&lt;/C&gt;&lt;D xsi:type="xsd:double"&gt;398.593&lt;/D&gt;&lt;/FQL&gt;&lt;FQL&gt;&lt;Q&gt;PFPT^FF_ADJ_GROSS_INC(ANN,2019)&lt;/Q&gt;&lt;R&gt;1&lt;/R&gt;&lt;C&gt;1&lt;/C&gt;&lt;D xsi:type="xsd:double"&gt;558.503&lt;/D&gt;&lt;/FQL&gt;&lt;FQL&gt;&lt;Q&gt;WDAY^FF_ADJ_GROSS_INC(ANN,2019)&lt;/Q&gt;&lt;R&gt;0&lt;/R&gt;&lt;C&gt;0&lt;/C&gt;&lt;/FQL&gt;&lt;FQL&gt;&lt;Q&gt;NOW^FF_ADJ_GROSS_INC(ANN,2019)&lt;/Q&gt;&lt;R&gt;1&lt;/R&gt;&lt;C&gt;1&lt;/C&gt;&lt;D xsi:type="xsd:double"&gt;2086.705&lt;/D&gt;&lt;/FQL&gt;&lt;FQL&gt;&lt;Q&gt;CRM^FF_ADJ_GROSS_INC(ANN,2019)&lt;/Q&gt;&lt;R&gt;1&lt;/R&gt;&lt;C&gt;1&lt;/C&gt;&lt;D xsi:type="xsd:double"&gt;10207&lt;/D&gt;&lt;/FQL&gt;&lt;FQL&gt;&lt;Q&gt;DELL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CARB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CLDR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CSOD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PFPT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WDAY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NOW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CRM^IF(FE_ACTUAL(FLAG,GROSS_INC,ANN_ROLL,2019,,,,'')!=3,FE_ACTUAL(ACTUAL,GROSS_INC,ANN_ROLL,2019,,,,''),FLOAT_NA)/IF(FE_ACTUAL(FLAG,SALES,ANN_ROLL,2019,,,,'')!=3,FE_ACTUAL(ACTUAL,SALES,ANN_ROLL,2019,,,,''),FLOAT_NA)&lt;/Q&gt;&lt;R&gt;0&lt;/R&gt;&lt;C&gt;0&lt;/C&gt;&lt;/FQL&gt;&lt;FQL&gt;&lt;Q&gt;DELL^FE_VALUATION(GROSS_MARGIN,MEAN,ANN_ROLL,2019,0,,,'')/100&lt;/Q&gt;&lt;R&gt;1&lt;/R&gt;&lt;C&gt;1&lt;/C&gt;&lt;D xsi:type="xsd:double"&gt;0.32030937&lt;/D&gt;&lt;/FQL&gt;&lt;FQL&gt;&lt;Q&gt;CARB^FE_VALUATION(GROSS_MARGIN,MEAN,ANN_ROLL,2019,0,,,'')/100&lt;/Q&gt;&lt;R&gt;1&lt;/R&gt;&lt;C&gt;1&lt;/C&gt;&lt;D xsi:type="xsd:double"&gt;0.83252585&lt;/D&gt;&lt;/FQL&gt;&lt;FQL&gt;&lt;Q&gt;CLDR^FE_VALUATION(GROSS_MARGIN,MEAN,ANN_ROLL,2019,0,,,'')/100&lt;/Q&gt;&lt;R&gt;1&lt;/R&gt;&lt;C&gt;1&lt;/C&gt;&lt;D xsi:type="xsd:double"&gt;0.75687903&lt;/D&gt;&lt;/FQL&gt;&lt;FQL&gt;&lt;Q&gt;CSOD^FE_VALUATION(GROSS_MARGIN,MEAN,ANN_ROLL,2019,0,,,'')/100&lt;/Q&gt;&lt;R&gt;1&lt;/R&gt;&lt;C&gt;1&lt;/C&gt;&lt;D xsi:type="xsd:double"&gt;0.757719&lt;/D&gt;&lt;/FQL&gt;&lt;FQL&gt;&lt;Q&gt;PFPT^FE_VALUATION(GROSS_MARGIN,MEAN,ANN_ROLL,2019,0,,,'')/100&lt;/Q&gt;&lt;R&gt;1&lt;/R&gt;&lt;C&gt;1&lt;/C&gt;&lt;D xsi:type="xsd:double"&gt;0.78154063&lt;/D&gt;&lt;/FQL&gt;&lt;FQL&gt;&lt;Q&gt;WDAY^FE_VALUATION(GROSS_MARGIN,MEAN,ANN_ROLL,2019,0,,,'')/100&lt;/Q&gt;&lt;R&gt;1&lt;/R&gt;&lt;C&gt;1&lt;/C&gt;&lt;D xsi:type="xsd:double"&gt;0.75371796&lt;/D&gt;&lt;/FQL&gt;&lt;FQL&gt;&lt;Q&gt;NOW^FE_VALUATION(GROSS_MARGIN,MEAN,ANN_ROLL,2019,0,,,'')/100&lt;/Q&gt;&lt;R&gt;1&lt;/R&gt;&lt;C&gt;1&lt;/C&gt;&lt;D xsi:type="xsd:double"&gt;0.811236&lt;/D&gt;&lt;/FQL&gt;&lt;FQL&gt;&lt;Q&gt;CRM^FE_VALUATION(GROSS_MARGIN,MEAN,ANN_ROLL,2019,0,,,'')/100&lt;/Q&gt;&lt;R&gt;1&lt;/R&gt;&lt;C&gt;1&lt;/C&gt;&lt;D xsi:type="xsd:double"&gt;0.7686584&lt;/D&gt;&lt;/FQL&gt;&lt;FQL&gt;&lt;Q&gt;DELL^FF_GROSS_MGN(ANN,2019)/100&lt;/Q&gt;&lt;R&gt;1&lt;/R&gt;&lt;C&gt;1&lt;/C&gt;&lt;D xsi:type="xsd:double"&gt;0.27484623213416509&lt;/D&gt;&lt;/FQL&gt;&lt;FQL&gt;&lt;Q&gt;CARB^FF_GROSS_MGN(ANN,2019)/100&lt;/Q&gt;&lt;R&gt;1&lt;/R&gt;&lt;C&gt;1&lt;/C&gt;&lt;D xsi:type="xsd:double"&gt;0.62369436722355664&lt;/D&gt;&lt;/FQL&gt;&lt;FQL&gt;&lt;Q&gt;CLDR^FF_GROSS_MGN(ANN,2019)/100&lt;/Q&gt;&lt;R&gt;1&lt;/R&gt;&lt;C&gt;1&lt;/C&gt;&lt;D xsi:type="xsd:double"&gt;0.70414696806482469&lt;/D&gt;&lt;/FQL&gt;&lt;FQL&gt;&lt;Q&gt;CSOD^FF_GROSS_MGN(ANN,2019)/100&lt;/Q&gt;&lt;R&gt;1&lt;/R&gt;&lt;C&gt;1&lt;/C&gt;&lt;D xsi:type="xsd:double"&gt;0.73163893800044988&lt;/D&gt;&lt;/FQL&gt;&lt;FQL&gt;&lt;Q&gt;PFPT^FF_GROSS_MGN(ANN,2019)/100&lt;/Q&gt;&lt;R&gt;1&lt;/R&gt;&lt;C&gt;1&lt;/C&gt;&lt;D xsi:type="xsd:double"&gt;0.69881616861507911&lt;/D&gt;&lt;/FQL&gt;&lt;FQL&gt;&lt;Q&gt;WDAY^FF_GROSS_MGN(ANN,2019)/100&lt;/Q&gt;&lt;R&gt;1&lt;/R&gt;&lt;C&gt;1&lt;/C&gt;&lt;D xsi:type="xsd:double"&gt;0.70488040401641183&lt;/D&gt;&lt;/FQL&gt;&lt;FQL&gt;&lt;Q&gt;NOW^FF_GROSS_MGN(ANN,2019)/100&lt;/Q&gt;&lt;R&gt;1&lt;/R&gt;&lt;C&gt;1&lt;/C&gt;&lt;D xsi:type="xsd:double"&gt;0.76132544418617476&lt;/D&gt;&lt;/FQL&gt;&lt;FQL&gt;&lt;Q&gt;CRM^FF_GROSS_MGN(ANN,2019)/100&lt;/Q&gt;&lt;R&gt;1&lt;/R&gt;&lt;C&gt;1&lt;/C&gt;&lt;D xsi:type="xsd:double"&gt;0.66721879235054959&lt;/D&gt;&lt;/FQL&gt;&lt;FQL&gt;&lt;Q&gt;DELL^AVAIL(FF_ARPT_SERIES('GROSS MARGIN','ANN',2019,,'M','IS'),FF_ARPT_SERIES('GROSS PROFIT','ANN',2019,,'M','IS'))/FF_ARPT_SERIES('RV','ANN',2019,,'M','IS')&lt;/Q&gt;&lt;R&gt;1&lt;/R&gt;&lt;C&gt;1&lt;/C&gt;&lt;D xsi:type="xsd:double"&gt;0.27645909888436448&lt;/D&gt;&lt;/FQL&gt;&lt;FQL&gt;&lt;Q&gt;CARB^AVAIL(FF_ARPT_SERIES('GROSS MARGIN','ANN',2019,,'M','IS'),FF_ARPT_SERIES('GROSS PROFIT','ANN',2019,,'M','IS'))/FF_ARPT_SERIES('RV','ANN',2019,,'M','IS')&lt;/Q&gt;&lt;R&gt;1&lt;/R&gt;&lt;C&gt;1&lt;/C&gt;&lt;D xsi:type="xsd:double"&gt;0.71194097702966785&lt;/D&gt;&lt;/FQL&gt;&lt;FQL&gt;&lt;Q&gt;CLDR^AVAIL(FF_ARPT_SERIES('GROSS MARGIN','ANN',2019,,'M','IS'),FF_ARPT_SERIES('GROSS PROFIT','ANN',2019,,'M','IS'))/FF_ARPT_SERIES('RV','ANN',2019,,'M','IS')&lt;/Q&gt;&lt;R&gt;0&lt;/R&gt;&lt;C&gt;0&lt;/C&gt;&lt;/FQL&gt;&lt;FQL&gt;&lt;Q&gt;CSOD^AVAIL(FF_ARPT_SERIES('GROSS MARGIN','ANN',2019,,'M','IS'),FF_ARPT_SERIES('GROSS PROFIT','ANN',2019,,'M','IS'))/FF_ARPT_SERIES('RV','ANN',2019,,'M','IS')&lt;/Q&gt;&lt;R&gt;1&lt;/R&gt;&lt;C&gt;1&lt;/C&gt;&lt;D xsi:type="xsd:double"&gt;0.73163893536934144&lt;/D&gt;&lt;/FQL&gt;&lt;FQL&gt;&lt;Q&gt;PFPT^AVAIL(FF_ARPT_SERIES('GROSS MARGIN','ANN',2019,,'M','IS'),FF_ARPT_SERIES('GROSS PROFIT','ANN',2019,,'M','IS'))/FF_ARPT_SERIES('RV','ANN',2019,,'M','IS')&lt;/Q&gt;&lt;R&gt;1&lt;/R&gt;&lt;C&gt;1&lt;/C&gt;&lt;D xsi:type="xsd:double"&gt;0.71860149087240854&lt;/D&gt;&lt;/FQL&gt;&lt;FQL&gt;&lt;Q&gt;WDAY^AVAIL(FF_ARPT_SERIES('GROSS MARGIN','ANN',2019,,'M','IS'),FF_ARPT_SERIES('GROSS PROFIT','ANN',2019,,'M','IS'))/FF_ARPT_SERIES('RV','ANN',2019,,'M','IS')&lt;/Q&gt;&lt;R&gt;0&lt;/R&gt;&lt;C&gt;0&lt;/C&gt;&lt;/FQL&gt;&lt;FQL&gt;&lt;Q&gt;NOW^AVAIL(FF_ARPT_SERIES('GROSS MARGIN','ANN',2019,,'M','IS'),FF_ARPT_SERIES('GROSS PROFIT','ANN',2019,,'M','IS'))/FF_ARPT_SERIES('RV','ANN',2019,,'M','IS')&lt;/Q&gt;&lt;R&gt;1&lt;/R&gt;&lt;C&gt;1&lt;/C&gt;&lt;D xsi:type="xsd:double"&gt;0.76132545240012606&lt;/D&gt;&lt;/FQL&gt;&lt;FQL&gt;&lt;Q&gt;CRM^AVAIL(FF_ARPT_SERIES('GROSS MARGIN','ANN',2019,,'M','IS'),FF_ARPT_SERIES('GROSS PROFIT','ANN',2019,,'M','IS'))/FF_ARPT_SERIES('RV','ANN',2019,,'M','IS')&lt;/Q&gt;&lt;R&gt;1&lt;/R&gt;&lt;C&gt;1&lt;/C&gt;&lt;D xsi:type="xsd:double"&gt;0.740174672489083&lt;/D&gt;&lt;/FQL&gt;&lt;FQL&gt;&lt;Q&gt;DELL^AVAIL(FF_ARPT_SERIES('NON-GAAP GROSS MARGIN','ANN',2019,,'M','NG-IS'),FF_ARPT_SERIES('NON-GAAP GROSS PROFIT','ANN',2019,,'M','NG-IS'))/FF_ARPT_SERIES('NG-RV','ANN',2019,,'M','NG-IS')&lt;/Q&gt;&lt;R&gt;1&lt;/R&gt;&lt;C&gt;1&lt;/C&gt;&lt;D xsi:type="xsd:double"&gt;0.31779159914151811&lt;/D&gt;&lt;/FQL&gt;&lt;FQL&gt;&lt;Q&gt;CARB^AVAIL(FF_ARPT_SERIES('NON-GAAP GROSS MARGIN','ANN',2019,,'M','NG-IS'),FF_ARPT_SERIES('NON-GAAP GROSS PROFIT','ANN',2019,,'M','NG-IS'))/FF_ARPT_SERIES('NG-RV','ANN',2019,,'M','NG-IS')&lt;/Q&gt;&lt;R&gt;1&lt;/R&gt;&lt;C&gt;1&lt;/C&gt;&lt;D xsi:type="xsd:double"&gt;0.77430865973723861&lt;/D&gt;&lt;/FQL&gt;&lt;FQL&gt;&lt;Q&gt;CLDR^AVAIL(FF_ARPT_SERIES('NON-GAAP GROSS MARGIN','ANN',2019,,'M','NG-IS'),FF_ARPT_SERIES('NON-GAAP GROSS PROFIT','ANN',2019,,'M','NG-IS'))/FF_ARPT_SERIES('NG-RV','ANN',2019,,'M','NG-IS')&lt;/Q&gt;&lt;R&gt;0&lt;/R&gt;&lt;C&gt;0&lt;/C&gt;&lt;/FQL&gt;&lt;FQL&gt;&lt;Q&gt;CSOD^AVAIL(FF_ARPT_SERIES('NON-GAAP GROSS MARGIN','ANN',2019,,'M','NG-IS'),FF_ARPT_SERIES('NON-GAAP GROSS PROFIT','ANN',2019,,'M','NG-IS'))/FF_ARPT_SERIES('NG-RV','ANN',2019,,'M','NG-IS')&lt;/Q&gt;&lt;R&gt;0&lt;/R&gt;&lt;C&gt;0&lt;/C&gt;&lt;/FQL&gt;&lt;FQL&gt;&lt;Q&gt;PFPT^AVAIL(FF_ARPT_SERIES('NON-GAAP GROSS MARGIN','ANN',2019,,'M','NG-IS'),FF_ARPT_SERIES('NON-GAAP GROSS PROFIT','ANN',2019,,'M','NG-IS'))/FF_ARPT_SERIES('NG-RV','ANN',2019,,'M','NG-IS')&lt;/Q&gt;&lt;R&gt;0&lt;/R&gt;&lt;C&gt;0&lt;/C&gt;&lt;/FQL&gt;&lt;FQL&gt;&lt;Q&gt;WDAY^AVAIL(FF_ARPT_SERIES('NON-GAAP GROSS MARGIN','ANN',2019,,'M','NG-IS'),FF_ARPT_SERIES('NON-GAAP GROSS PROFIT','ANN',2019,,'M','NG-IS'))/FF_ARPT_SERIES('NG-RV','ANN',2019,,'M','NG-IS')&lt;/Q&gt;&lt;R&gt;0&lt;/R&gt;&lt;C&gt;0&lt;/C&gt;&lt;/FQL&gt;&lt;FQL&gt;&lt;Q&gt;NOW^AVAIL(FF_ARPT_SERIES('NON-GAAP GROSS MARGIN','ANN',2019,,'M','NG-IS'),FF_ARPT_SERIES('NON-GAAP GROSS PROFIT','ANN',2019,,'M','NG-IS'))/FF_ARPT_SERIES('NG-RV','ANN',2019,,'M','NG-IS')&lt;/Q&gt;&lt;R&gt;1&lt;/R&gt;&lt;C&gt;1&lt;/C&gt;&lt;D xsi:type="xsd:double"&gt;0.67556379811384815&lt;/D&gt;&lt;/FQL&gt;&lt;FQL&gt;&lt;Q&gt;CRM^AVAIL(FF_ARPT_SERIES('NON-GAAP GROSS MARGIN','ANN',2019,,'M','NG-IS'),FF_ARPT_SERIES('NON-GAAP GROSS PROFIT','ANN',2019,,'M','NG-IS'))/FF_ARPT_SERIES('NG-RV','ANN',2019,,'M','NG-IS')&lt;/Q&gt;&lt;R&gt;0&lt;/R&gt;&lt;C&gt;0&lt;/C&gt;&lt;/FQL&gt;&lt;FQL&gt;&lt;Q&gt;DELL^FF_ADJ_GROSS_INC(ANN,2019)/FF_ADJ_SALES(ANN,2019)&lt;/Q&gt;&lt;R&gt;1&lt;/R&gt;&lt;C&gt;1&lt;/C&gt;&lt;D xsi:type="xsd:double"&gt;0.31779159914151811&lt;/D&gt;&lt;/FQL&gt;&lt;FQL&gt;&lt;Q&gt;CARB^FF_ADJ_GROSS_INC(ANN,2019)/FF_ADJ_SALES(ANN,2019)&lt;/Q&gt;&lt;R&gt;1&lt;/R&gt;&lt;C&gt;1&lt;/C&gt;&lt;D xsi:type="xsd:double"&gt;0.77430862639492015&lt;/D&gt;&lt;/FQL&gt;&lt;FQL&gt;&lt;Q&gt;CLDR^FF_ADJ_GROSS_INC(ANN,2019)/FF_ADJ_SALES(ANN,2019)&lt;/Q&gt;&lt;R&gt;0&lt;/R&gt;&lt;C&gt;0&lt;/C&gt;&lt;/FQL&gt;&lt;FQL&gt;&lt;Q&gt;CSOD^FF_ADJ_GROSS_INC(ANN,2019)/FF_ADJ_SALES(ANN,2019)&lt;/Q&gt;&lt;R&gt;0&lt;/R&gt;&lt;C&gt;0&lt;/C&gt;&lt;/FQL&gt;&lt;FQL&gt;&lt;Q&gt;PFPT^FF_ADJ_GROSS_INC(ANN,2019)/FF_ADJ_SALES(ANN,2019)&lt;/Q&gt;&lt;R&gt;0&lt;/R&gt;&lt;C&gt;0&lt;/C&gt;&lt;/FQL&gt;&lt;FQL&gt;&lt;Q&gt;WDAY^FF_ADJ_GROSS_INC(ANN,2019)/FF_ADJ_SALES(ANN,2019)&lt;/Q&gt;&lt;R&gt;0&lt;/R&gt;&lt;C&gt;0&lt;/C&gt;&lt;/FQL&gt;&lt;FQL&gt;&lt;Q&gt;NOW^FF_ADJ_GROSS_INC(ANN,2019)/FF_ADJ_SALES(ANN,2019)&lt;/Q&gt;&lt;R&gt;1&lt;/R&gt;&lt;C&gt;1&lt;/C&gt;&lt;D xsi:type="xsd:double"&gt;0.67556376433185972&lt;/D&gt;&lt;/FQL&gt;&lt;FQL&gt;&lt;Q&gt;CRM^FF_ADJ_GROSS_INC(ANN,2019)/FF_ADJ_SALES(ANN,2019)&lt;/Q&gt;&lt;R&gt;0&lt;/R&gt;&lt;C&gt;0&lt;/C&gt;&lt;/FQL&gt;&lt;FQL&gt;&lt;Q&gt;CARB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xsi:type="xsd:double"&gt;0.83252585&lt;/D&gt;&lt;/FQL&gt;&lt;FQL&gt;&lt;Q&gt;CLDR^IF(P_DATE(0,,,"DATEN")&amp;gt;FE_ESTIMATE_DATE(RPT_DATE,,ANN_ROLL,2019,'YYYYMMDD',0,,,''),AVAIL(AVAIL(FF_ADJ_GROSS_INC(ANN,2019)/FF_ADJ_SALES(ANN,2019),AVAIL(FF_ARPT_SERIES('GROSS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xsi:type="xsd:double"&gt;0.75687903&lt;/D&gt;&lt;/FQL&gt;&lt;FQL&gt;&lt;Q&gt;CSOD^IF(P_DATE(0,,,"DATEN")&amp;gt;FE_ESTIMATE_DATE(RPT_DATE,,ANN_ROLL,2019,'YYYYMMDD',0,,,''),AVAIL(AVAIL(FF_ADJ_GROSS_INC(ANN,2019)/FF_ADJ_SALES(ANN,2019),AVAIL(FF_ARPT_SERIES('GROSS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xsi:type="xsd:double"&gt;0.757719&lt;/D&gt;&lt;/FQL&gt;&lt;FQL&gt;&lt;Q&gt;PFPT^IF(P_DATE(0,,,"DATEN")&amp;gt;FE_ESTIMATE_DATE(RPT_DATE,,ANN_ROLL,2019,'YYYYMMDD',0,,,''),AVAIL(AVAIL(FF_ADJ_GROSS_INC(ANN,2019)/FF_ADJ_SALES(ANN,2019),AVAIL(FF_ARPT_SERIES('GROSS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xsi:type="xsd:double"&gt;0.78154063&lt;/D&gt;&lt;/FQL&gt;&lt;FQL&gt;&lt;Q&gt;WDAY^IF(P_DATE(0,,,"DATEN")&amp;gt;FE_ESTIMATE_DATE(RPT_DATE,,ANN_ROLL,2019,'YYYYMMDD',0,,,''),AVAIL(AVAIL(FF_ADJ_GROSS_INC(ANN,2019)/FF_ADJ_SALES(ANN,2019),AVAIL(FF_ARPT_SERIES('GROSS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xsi:type="xsd:double"&gt;0.75371796&lt;/D&gt;&lt;/FQL&gt;&lt;FQL&gt;&lt;Q&gt;NOW^IF(P_DATE(0,,,"DATEN")&amp;gt;FE_ESTIMATE_DATE(RPT_DATE,,ANN_ROLL,2019,'YYYYMMDD',0,,,''),AVAIL(AVAIL(FF_ADJ_GROSS_INC(ANN,2019)/FF_ADJ_SALES(ANN,2019),AVAIL(FF_ARPT_SERIES('GROSS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xsi:type="xsd:double"&gt;0.811236&lt;/D&gt;&lt;/FQL&gt;&lt;FQL&gt;&lt;Q&gt;CRM^IF(P_DATE(0,,,"DATEN")&amp;gt;FE_ESTIMATE_DATE(RPT_DATE,,ANN_ROLL,2019,'YYYYMMDD',0,,,''),AVAIL(AVAIL(FF_ADJ_GROSS_INC(ANN,2019)/FF_ADJ_SALES(ANN,2019),AVAIL(FF_ARPT_SERIES('GROSS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PROFIT','ANN',2019,,'M','IS'))/FF_ARPT_SERIES('RV','ANN',2019,,'M','IS')),FF_GROSS_MGN(ANN,2019)),FE_VALUATION(GROSS_MARGIN,MEAN,ANN_ROLL,2019,0,,,'')/100)&lt;/Q&gt;&lt;R&gt;1&lt;/R&gt;&lt;C&gt;1&lt;/C&gt;&lt;D xsi:type="xsd:double"&gt;0.7686584&lt;/D&gt;&lt;/FQL&gt;&lt;FQL&gt;&lt;Q&gt;DELL^FE_ESTIMATE(FCF,MEAN,ANN_ROLL,2020,NOW,,,'')&lt;/Q&gt;&lt;R&gt;1&lt;/R&gt;&lt;C&gt;1&lt;/C&gt;&lt;D xsi:type="xsd:double"&gt;6966.25&lt;/D&gt;&lt;/FQL&gt;&lt;FQL&gt;&lt;Q&gt;CARB^FE_ESTIMATE(FCF,MEAN,ANN_ROLL,2020,NOW,,,'')&lt;/Q&gt;&lt;R&gt;1&lt;/R&gt;&lt;C&gt;1&lt;/C&gt;&lt;D xsi:type="xsd:double"&gt;92.219666&lt;/D&gt;&lt;/FQL&gt;&lt;FQL&gt;&lt;Q&gt;CLDR^FE_ESTIMATE(FCF,MEAN,ANN_ROLL,2020,NOW,,,'')&lt;/Q&gt;&lt;R&gt;1&lt;/R&gt;&lt;C&gt;1&lt;/C&gt;&lt;D xsi:type="xsd:double"&gt;87.2903&lt;/D&gt;&lt;/FQL&gt;&lt;FQL&gt;&lt;Q&gt;CSOD^FE_ESTIMATE(FCF,MEAN,ANN_ROLL,2020,NOW,,,'')&lt;/Q&gt;&lt;R&gt;1&lt;/R&gt;&lt;C&gt;1&lt;/C&gt;&lt;D xsi:type="xsd:double"&gt;151.3294&lt;/D&gt;&lt;/FQL&gt;&lt;FQL&gt;&lt;Q&gt;PFPT^FE_ESTIMATE(FCF,MEAN,ANN_ROLL,2020,NOW,,,'')&lt;/Q&gt;&lt;R&gt;1&lt;/R&gt;&lt;C&gt;1&lt;/C&gt;&lt;D xsi:type="xsd:double"&gt;254.64627&lt;/D&gt;&lt;/FQL&gt;&lt;FQL&gt;&lt;Q&gt;WDAY^FE_ESTIMATE(FCF,MEAN,ANN_ROLL,2020,NOW,,,'')&lt;/Q&gt;&lt;R&gt;1&lt;/R&gt;&lt;C&gt;1&lt;/C&gt;&lt;D xsi:type="xsd:double"&gt;688.3027&lt;/D&gt;&lt;/FQL&gt;&lt;FQL&gt;&lt;Q&gt;NOW^FE_ESTIMATE(FCF,MEAN,ANN_ROLL,2020,NOW,,,'')&lt;/Q&gt;&lt;R&gt;1&lt;/R&gt;&lt;C&gt;1&lt;/C&gt;&lt;D xsi:type="xsd:double"&gt;1259.9253&lt;/D&gt;&lt;/FQL&gt;&lt;FQL&gt;&lt;Q&gt;CRM^FE_ESTIMATE(FCF,MEAN,ANN_ROLL,2020,NOW,,,'')&lt;/Q&gt;&lt;R&gt;1&lt;/R&gt;&lt;C&gt;1&lt;/C&gt;&lt;D xsi:type="xsd:double"&gt;4178.8584&lt;/D&gt;&lt;/FQL&gt;&lt;FQL&gt;&lt;Q&gt;CARB^IF(P_DATE(0,,,"DATEN")&amp;gt;FE_ESTIMATE_DATE(RPT_DATE,,ANN_ROLL,2020,'YYYYMMDD',0,,,''),FF_FREE_CF(ANN_R_FCF,2020),FE_ESTIMATE(FCF,MEAN,ANN_ROLL,2020,NOW,,,''))&lt;/Q&gt;&lt;R&gt;1&lt;/R&gt;&lt;C&gt;1&lt;/C&gt;&lt;D xsi:type="xsd:double"&gt;92.219666&lt;/D&gt;&lt;/FQL&gt;&lt;FQL&gt;&lt;Q&gt;CLDR^IF(P_DATE(0,,,"DATEN")&amp;gt;FE_ESTIMATE_DATE(RPT_DATE,,ANN_ROLL,2020,'YYYYMMDD',0,,,''),FF_FREE_CF(ANN_R_FCF,2020),FE_ESTIMATE(FCF,MEAN,ANN_ROLL,2020,NOW,,,''))&lt;/Q&gt;&lt;R&gt;1&lt;/R&gt;&lt;C&gt;1&lt;/C&gt;&lt;D xsi:type="xsd:double"&gt;87.2903&lt;/D&gt;&lt;/FQL&gt;&lt;FQL&gt;&lt;Q&gt;CSOD^IF(P_DATE(0,,,"DATEN")&amp;gt;FE_ESTIMATE_DATE(RPT_DATE,,ANN_ROLL,2020,'YYYYMMDD',0,,,''),FF_FREE_CF(ANN_R_FCF,2020),FE_ESTIMATE(FCF,MEAN,ANN_ROLL,2020,NOW,,,''))&lt;/Q&gt;&lt;R&gt;1&lt;/R&gt;&lt;C&gt;1&lt;/C&gt;&lt;D xsi:type="xsd:double"&gt;151.3294&lt;/D&gt;&lt;/FQL&gt;&lt;FQL&gt;&lt;Q&gt;PFPT^IF(P_DATE(0,,,"DATEN")&amp;gt;FE_ESTIMATE_DATE(RPT_DATE,,ANN_ROLL,2020,'YYYYMMDD',0,,,''),FF_FREE_CF(ANN_R_FCF,2020),FE_ESTIMATE(FCF,MEAN,ANN_ROLL,2020,NOW,,,''))&lt;/Q&gt;&lt;R&gt;1&lt;/R&gt;&lt;C&gt;1&lt;/C&gt;&lt;D xsi:type="xsd:double"&gt;254.64627&lt;/D&gt;&lt;/FQL&gt;&lt;FQL&gt;&lt;Q&gt;WDAY^IF(P_DATE(0,,,"DATEN")&amp;gt;FE_ESTIMATE_DATE(RPT_DATE,,ANN_ROLL,2020,'YYYYMMDD',0,,,''),FF_FREE_CF(ANN_R_FCF,2020),FE_ESTIMATE(FCF,MEAN,ANN_ROLL,2020,NOW,,,''))&lt;/Q&gt;&lt;R&gt;1&lt;/R&gt;&lt;C&gt;1&lt;/C&gt;&lt;D xsi:type="xsd:double"&gt;688.3027&lt;/D&gt;&lt;/FQL&gt;&lt;FQL&gt;&lt;Q&gt;NOW^IF(P_DATE(0,,,"DATEN")&amp;gt;FE_ESTIMATE_DATE(RPT_DATE,,ANN_ROLL,2020,'YYYYMMDD',0,,,''),FF_FREE_CF(ANN_R_FCF,2020),FE_ESTIMATE(FCF,MEAN,ANN_ROLL,2020,NOW,,,''))&lt;/Q&gt;&lt;R&gt;1&lt;/R&gt;&lt;C&gt;1&lt;/C&gt;&lt;D xsi:type="xsd:double"&gt;1259.9253&lt;/D&gt;&lt;/FQL&gt;&lt;FQL&gt;&lt;Q&gt;CRM^IF(P_DATE(0,,,"DATEN")&amp;gt;FE_ESTIMATE_DATE(RPT_DATE,,ANN_ROLL,2020,'YYYYMMDD',0,,,''),FF_FREE_CF(ANN_R_FCF,2020),FE_ESTIMATE(FCF,MEAN,ANN_ROLL,2020,NOW,,,''))&lt;/Q&gt;&lt;R&gt;1&lt;/R&gt;&lt;C&gt;1&lt;/C&gt;&lt;D xsi:type="xsd:double"&gt;4178.8584&lt;/D&gt;&lt;/FQL&gt;&lt;/Schema&gt;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Brack</author>
  </authors>
  <commentList>
    <comment ref="E11" authorId="0" shapeId="0" xr:uid="{36206B73-B1F9-4DE6-8332-7CEE56DE101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H62" authorId="0" shapeId="0" xr:uid="{3A63D80A-DED0-4FD6-BEF2-E4AC9E740190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P62" authorId="0" shapeId="0" xr:uid="{677FD11B-DD50-47CF-A323-1EFB55C28BA7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X62" authorId="0" shapeId="0" xr:uid="{C43ECA50-D5C7-4BB4-8858-97E7EAE9C98A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F62" authorId="0" shapeId="0" xr:uid="{17383C05-0BE8-4FB3-9785-0B0267ACA92F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N62" authorId="0" shapeId="0" xr:uid="{C28611EA-2F95-4CA2-BE5B-D4D24D60FA5F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V62" authorId="0" shapeId="0" xr:uid="{5F5268EA-BDBB-4EA3-838D-6D7C56E726F8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D62" authorId="0" shapeId="0" xr:uid="{C00513B8-3CB8-4618-95D1-320E877E0836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L62" authorId="0" shapeId="0" xr:uid="{C109627F-54E6-465B-A522-9D32895532D0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T62" authorId="0" shapeId="0" xr:uid="{E736A69F-DA65-4F4C-ACC5-5AE1205EB015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Brack</author>
  </authors>
  <commentList>
    <comment ref="D72" authorId="0" shapeId="0" xr:uid="{D99BF883-6121-4602-979A-B7F284B93A0E}">
      <text>
        <r>
          <rPr>
            <b/>
            <sz val="9"/>
            <color indexed="81"/>
            <rFont val="Tahoma"/>
            <family val="2"/>
          </rPr>
          <t>http://www.forentrepreneurs.com/ltv/
CLTV = ARPA x Gross Margin% x {[(1/(1-K)]+[(G x K)/(1-K)²]}</t>
        </r>
      </text>
    </comment>
    <comment ref="F73" authorId="0" shapeId="0" xr:uid="{64CC5CF2-0599-48A1-9AFA-33B6A08D3714}">
      <text>
        <r>
          <rPr>
            <sz val="9"/>
            <color indexed="81"/>
            <rFont val="Tahoma"/>
            <family val="2"/>
          </rPr>
          <t>E16/2 - consider that the avg life time of a new account in a given year is 6 months (flat distribution)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Brack</author>
  </authors>
  <commentList>
    <comment ref="H47" authorId="0" shapeId="0" xr:uid="{7EDB9D33-F22D-4EAD-A4D2-0A267B2FDA6E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P47" authorId="0" shapeId="0" xr:uid="{EF8319EA-679A-4FAD-85CD-F6EA37D99C2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X47" authorId="0" shapeId="0" xr:uid="{1B236AA3-9473-4F70-915A-F15AA656AA58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F47" authorId="0" shapeId="0" xr:uid="{EE1291A0-9CDC-43D9-96F5-A00932E8543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N47" authorId="0" shapeId="0" xr:uid="{B98D14C9-4F2E-46AF-96D1-B1757F32393B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V47" authorId="0" shapeId="0" xr:uid="{A701B461-0DDA-4D34-BF3D-47DB39FBFE7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D47" authorId="0" shapeId="0" xr:uid="{9B749EA0-8D56-47C6-AF7E-123A64FB439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L47" authorId="0" shapeId="0" xr:uid="{94FC1FD5-013A-4926-86AC-4B08DA789BF6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T47" authorId="0" shapeId="0" xr:uid="{D36B3B5A-4F91-4A16-B593-4957DE1AB27C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Brack</author>
  </authors>
  <commentList>
    <comment ref="H47" authorId="0" shapeId="0" xr:uid="{7EE0E51A-686D-4AB4-A898-94AEDF7174A5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P47" authorId="0" shapeId="0" xr:uid="{A1D727F4-48CA-4D49-89F6-59EC2E60F5F4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X47" authorId="0" shapeId="0" xr:uid="{B8D5238B-0C5B-404A-A5C2-FBF562751282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F47" authorId="0" shapeId="0" xr:uid="{7F0BFA0C-B0AE-4753-96F4-07C45534BEFB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N47" authorId="0" shapeId="0" xr:uid="{EB27D749-FE22-4ADA-8AB5-C1620886344B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V47" authorId="0" shapeId="0" xr:uid="{EA11F93F-A879-4795-A8A2-F3666C62AF0C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D47" authorId="0" shapeId="0" xr:uid="{933E5643-861F-4380-91D1-CF2E62761B66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L47" authorId="0" shapeId="0" xr:uid="{E4C4D69C-C748-4777-BFC6-10578D8E6863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T47" authorId="0" shapeId="0" xr:uid="{708655A2-0224-4114-B35C-2FD1E4B0570A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Brack</author>
  </authors>
  <commentList>
    <comment ref="H47" authorId="0" shapeId="0" xr:uid="{9734F36E-EEFF-4005-84AD-6F5825D9EFA0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P47" authorId="0" shapeId="0" xr:uid="{ED2AF000-3DD8-40C1-9FB7-19E18CB1CC4D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X47" authorId="0" shapeId="0" xr:uid="{AB9CB6F0-3AC5-4A84-A9D1-9647AB855946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F47" authorId="0" shapeId="0" xr:uid="{E3DA0D68-BB1D-4131-BE1E-882F3FF672F7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N47" authorId="0" shapeId="0" xr:uid="{C6CFF4BB-442D-48FF-9497-F1D47A2CA33E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AV47" authorId="0" shapeId="0" xr:uid="{712D3D81-939F-4F0E-A2AC-5D39C26D3F7B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D47" authorId="0" shapeId="0" xr:uid="{30C2D069-9053-4BFD-AC24-D0EAB2742B98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L47" authorId="0" shapeId="0" xr:uid="{8269F258-B91D-41A1-B826-E0EF6553BE2E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  <comment ref="BT47" authorId="0" shapeId="0" xr:uid="{4824E9DC-5B16-48F8-A9DF-69E5E6CD22C3}">
      <text>
        <r>
          <rPr>
            <b/>
            <sz val="9"/>
            <color indexed="81"/>
            <rFont val="Tahoma"/>
            <family val="2"/>
          </rPr>
          <t xml:space="preserve">Increasing ESOP?
</t>
        </r>
        <r>
          <rPr>
            <sz val="9"/>
            <color indexed="81"/>
            <rFont val="Tahoma"/>
            <family val="2"/>
          </rPr>
          <t>If you are increasing the ESOP the data might me OK</t>
        </r>
      </text>
    </comment>
  </commentList>
</comments>
</file>

<file path=xl/sharedStrings.xml><?xml version="1.0" encoding="utf-8"?>
<sst xmlns="http://schemas.openxmlformats.org/spreadsheetml/2006/main" count="1215" uniqueCount="534">
  <si>
    <t>This sheet contains FactSet XML data for use with this workbook's =FDS codes.  Modifying the worksheet's contents may damage the workbook's =FDS functionality.</t>
  </si>
  <si>
    <t xml:space="preserve">A.Brack </t>
  </si>
  <si>
    <t>Project MODEL - Master Inputs</t>
  </si>
  <si>
    <t>INSTRUCTIONS:</t>
  </si>
  <si>
    <t>1. Enter data in Yellow (leave it blank if not relevant or not available).</t>
  </si>
  <si>
    <t>2. Optional data enter in Light Blue cells.</t>
  </si>
  <si>
    <t>General</t>
  </si>
  <si>
    <t>Project Name:</t>
  </si>
  <si>
    <t>MODEL</t>
  </si>
  <si>
    <t>Model as of:</t>
  </si>
  <si>
    <t>Manager Director:</t>
  </si>
  <si>
    <t>MD name</t>
  </si>
  <si>
    <t>Legend:</t>
  </si>
  <si>
    <t>Clean all the input fields in the tab</t>
  </si>
  <si>
    <t>Clean all the input fields in the section</t>
  </si>
  <si>
    <t xml:space="preserve"> Change Column's  formulas position</t>
  </si>
  <si>
    <t xml:space="preserve">Remember to accept to 'UPDATE' the file and 'ENABLE CONTENT'. </t>
  </si>
  <si>
    <t>Project MODEL - Capitalization Table</t>
  </si>
  <si>
    <t>Enter data in Yellow.  Leave it blank if not relevant or not available. Optional data enter in Light Blue cells.</t>
  </si>
  <si>
    <t>Percentage Breakout</t>
  </si>
  <si>
    <t>Current Funding Series</t>
  </si>
  <si>
    <t>Seed</t>
  </si>
  <si>
    <t>Pre-Money Valuation</t>
  </si>
  <si>
    <t>Options</t>
  </si>
  <si>
    <t>Warrants</t>
  </si>
  <si>
    <t>Post-Money Valuation</t>
  </si>
  <si>
    <t>Common</t>
  </si>
  <si>
    <t>Validation</t>
  </si>
  <si>
    <t>Series A</t>
  </si>
  <si>
    <t>Series B</t>
  </si>
  <si>
    <t>Series C</t>
  </si>
  <si>
    <t>Series D</t>
  </si>
  <si>
    <t>Series E</t>
  </si>
  <si>
    <t>Series E-1</t>
  </si>
  <si>
    <t>Series F</t>
  </si>
  <si>
    <t>Series G</t>
  </si>
  <si>
    <t>[Date]</t>
  </si>
  <si>
    <t>Common Stock</t>
  </si>
  <si>
    <t>Total Prfrd
Shares</t>
  </si>
  <si>
    <t>Fully Diluted Shares</t>
  </si>
  <si>
    <t>% Total Prfrd</t>
  </si>
  <si>
    <t>% Fully Diluted</t>
  </si>
  <si>
    <t>TOTAL $$ INVESTED</t>
  </si>
  <si>
    <t>Issue Price</t>
  </si>
  <si>
    <t>Liquidation Preference Multiple</t>
  </si>
  <si>
    <t>Seniority Rank</t>
  </si>
  <si>
    <t>Dell Technologies Capital</t>
  </si>
  <si>
    <t>Investor 1</t>
  </si>
  <si>
    <t>Investor 2</t>
  </si>
  <si>
    <t>Investor 3</t>
  </si>
  <si>
    <t>Investor 4</t>
  </si>
  <si>
    <t>Investor 5</t>
  </si>
  <si>
    <t>Investor 6</t>
  </si>
  <si>
    <t>Investor 7</t>
  </si>
  <si>
    <t>Investor 8</t>
  </si>
  <si>
    <t>Investor 9</t>
  </si>
  <si>
    <t>Investor 10</t>
  </si>
  <si>
    <t>Investor 11</t>
  </si>
  <si>
    <t>Investor 12</t>
  </si>
  <si>
    <t>Investor 13</t>
  </si>
  <si>
    <t>Investor 14</t>
  </si>
  <si>
    <t>Investor 15</t>
  </si>
  <si>
    <t>Investor 16</t>
  </si>
  <si>
    <t>Investor 17</t>
  </si>
  <si>
    <t>Investor 18</t>
  </si>
  <si>
    <t>Investor 19</t>
  </si>
  <si>
    <t>Investor 20</t>
  </si>
  <si>
    <t>Founders/Leadership</t>
  </si>
  <si>
    <t>Others 1</t>
  </si>
  <si>
    <t>Others 2</t>
  </si>
  <si>
    <t>Others 3</t>
  </si>
  <si>
    <t>Others 4</t>
  </si>
  <si>
    <t>ESOP - allocated</t>
  </si>
  <si>
    <t>x</t>
  </si>
  <si>
    <t>Post-Money</t>
  </si>
  <si>
    <t>Available ESOP</t>
  </si>
  <si>
    <t>Pre-Money</t>
  </si>
  <si>
    <t>New ESOP</t>
  </si>
  <si>
    <t>TOTAL</t>
  </si>
  <si>
    <t>CHECK</t>
  </si>
  <si>
    <t>Money Raised</t>
  </si>
  <si>
    <t>Current ESOP %</t>
  </si>
  <si>
    <t>Target %</t>
  </si>
  <si>
    <t>∆ #ESOP needed:</t>
  </si>
  <si>
    <t>total needed</t>
  </si>
  <si>
    <t>y</t>
  </si>
  <si>
    <t>target</t>
  </si>
  <si>
    <t>DTC Cash Flow</t>
  </si>
  <si>
    <t>Round Summary</t>
  </si>
  <si>
    <t>Summary:</t>
  </si>
  <si>
    <t>Round</t>
  </si>
  <si>
    <t>Date</t>
  </si>
  <si>
    <t>DTC Investment</t>
  </si>
  <si>
    <t>Seniority</t>
  </si>
  <si>
    <t>Liq. Multiple</t>
  </si>
  <si>
    <t>TT Invested</t>
  </si>
  <si>
    <t>Total Invested in Preferred Stocks</t>
  </si>
  <si>
    <t>Total DTC Invested</t>
  </si>
  <si>
    <t>New Money DTC Invested</t>
  </si>
  <si>
    <t>Investors Liquidation preference - USD</t>
  </si>
  <si>
    <t>DTC Liquidation preference - USD</t>
  </si>
  <si>
    <t>Preferred Stocks DTC Ownership</t>
  </si>
  <si>
    <t>Fully Diluted DTC Ownership</t>
  </si>
  <si>
    <t>New Money DTC Ownership</t>
  </si>
  <si>
    <r>
      <t xml:space="preserve">Returns Analysis - </t>
    </r>
    <r>
      <rPr>
        <sz val="12"/>
        <rFont val="Calibri"/>
        <family val="2"/>
      </rPr>
      <t>Participating</t>
    </r>
  </si>
  <si>
    <t>Base Scenario</t>
  </si>
  <si>
    <t>Exit</t>
  </si>
  <si>
    <t>Variation from the base</t>
  </si>
  <si>
    <t>DTC proceeds</t>
  </si>
  <si>
    <t>DTC return</t>
  </si>
  <si>
    <r>
      <t xml:space="preserve">Returns Analysis - </t>
    </r>
    <r>
      <rPr>
        <sz val="12"/>
        <rFont val="Calibri"/>
        <family val="2"/>
      </rPr>
      <t>Non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</rPr>
      <t>Participating</t>
    </r>
  </si>
  <si>
    <t>Blended DTC proceeds</t>
  </si>
  <si>
    <t>Blended DTC return</t>
  </si>
  <si>
    <t>New Money DTC proceeds</t>
  </si>
  <si>
    <t>New Money DTC return</t>
  </si>
  <si>
    <t>NO PLAY ANALYSIS</t>
  </si>
  <si>
    <t>NO PLAY - Summary:</t>
  </si>
  <si>
    <t>Diference</t>
  </si>
  <si>
    <t>NO PLAY - DTC Cash Flow</t>
  </si>
  <si>
    <t>Increase other investor's $$</t>
  </si>
  <si>
    <t>Prefered*</t>
  </si>
  <si>
    <t>Warrant*</t>
  </si>
  <si>
    <t>Preferred Stocks DTC ownership</t>
  </si>
  <si>
    <t>Fully Diluted DTC ownership</t>
  </si>
  <si>
    <t>*Remember to use negative amounts as an investment.</t>
  </si>
  <si>
    <r>
      <t xml:space="preserve">NO PLAY - Returns Analysis - </t>
    </r>
    <r>
      <rPr>
        <sz val="12"/>
        <rFont val="Calibri"/>
        <family val="2"/>
      </rPr>
      <t>Participating</t>
    </r>
  </si>
  <si>
    <t>Difference</t>
  </si>
  <si>
    <t>CoC</t>
  </si>
  <si>
    <r>
      <t xml:space="preserve">NO PLAY - Returns Analysis - </t>
    </r>
    <r>
      <rPr>
        <sz val="12"/>
        <rFont val="Calibri"/>
        <family val="2"/>
      </rPr>
      <t>Non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</rPr>
      <t>Participating</t>
    </r>
  </si>
  <si>
    <t>Enterprise SaaS Acqisition Comps</t>
  </si>
  <si>
    <t>Company Name</t>
  </si>
  <si>
    <t>Acquirer</t>
  </si>
  <si>
    <t>Description</t>
  </si>
  <si>
    <t>Total Raised ($M)</t>
  </si>
  <si>
    <t>Valuation ($M)</t>
  </si>
  <si>
    <t>TTM Revenue ($M)</t>
  </si>
  <si>
    <t>Revenue Multiple</t>
  </si>
  <si>
    <t>Mean</t>
  </si>
  <si>
    <t>Median</t>
  </si>
  <si>
    <t>($M)</t>
  </si>
  <si>
    <t>Financing Comps</t>
  </si>
  <si>
    <t>Founded</t>
  </si>
  <si>
    <t>Lead(s)</t>
  </si>
  <si>
    <t>Total Raised</t>
  </si>
  <si>
    <t>Latest Valuation</t>
  </si>
  <si>
    <t>TTM Revenue</t>
  </si>
  <si>
    <t>Project MODEL - Financial STD</t>
  </si>
  <si>
    <t>P&amp;L Data</t>
  </si>
  <si>
    <t>in US$ k</t>
  </si>
  <si>
    <t>Historical</t>
  </si>
  <si>
    <t>Current</t>
  </si>
  <si>
    <t>Projected</t>
  </si>
  <si>
    <t>DTC Sensitized</t>
  </si>
  <si>
    <t>Correction factor Revenue (%)</t>
  </si>
  <si>
    <t>Correction factor Cost (%)</t>
  </si>
  <si>
    <t>Actual/Projected</t>
  </si>
  <si>
    <t>Product Revenue</t>
  </si>
  <si>
    <t>YoY Growth</t>
  </si>
  <si>
    <t>n/a</t>
  </si>
  <si>
    <t>Services Revenue</t>
  </si>
  <si>
    <t>Total Revenue</t>
  </si>
  <si>
    <t>Cost of Goods Sold</t>
  </si>
  <si>
    <t>% of Total Revenue</t>
  </si>
  <si>
    <t>Gross Profit</t>
  </si>
  <si>
    <t>Operating Expenses</t>
  </si>
  <si>
    <t>R&amp;D</t>
  </si>
  <si>
    <t>S&amp;M</t>
  </si>
  <si>
    <t>G&amp;A</t>
  </si>
  <si>
    <t>Depreciation &amp; Amortization</t>
  </si>
  <si>
    <t>Interest</t>
  </si>
  <si>
    <t>Total Operating Expenses</t>
  </si>
  <si>
    <t>Total of Revenue</t>
  </si>
  <si>
    <t>Operating Income</t>
  </si>
  <si>
    <t>Operating Margin</t>
  </si>
  <si>
    <t>Other Income/(Expense)</t>
  </si>
  <si>
    <t>Provision (benefit) for income taxes</t>
  </si>
  <si>
    <t>Tax rate</t>
  </si>
  <si>
    <t>Net Income</t>
  </si>
  <si>
    <t>%Profit Margin</t>
  </si>
  <si>
    <t>Capital Expenditures</t>
  </si>
  <si>
    <t>∆ Accounts Receivable</t>
  </si>
  <si>
    <t>∆ Accounts Payable</t>
  </si>
  <si>
    <t>∆ Inventory</t>
  </si>
  <si>
    <t>∆ Working Capital</t>
  </si>
  <si>
    <t>Net Cash Flow</t>
  </si>
  <si>
    <t>KPIs &amp; Other informations</t>
  </si>
  <si>
    <t>EBITDA</t>
  </si>
  <si>
    <t>EBIT</t>
  </si>
  <si>
    <t>Discount rate</t>
  </si>
  <si>
    <t>Balance Sheet &amp; Related</t>
  </si>
  <si>
    <t xml:space="preserve">Cash and Cash Equivalent </t>
  </si>
  <si>
    <t>Loans / Debt</t>
  </si>
  <si>
    <t>New Fundraising from Investors</t>
  </si>
  <si>
    <t>Founding required to Breakeven (3y)</t>
  </si>
  <si>
    <t>Other Data</t>
  </si>
  <si>
    <t>Number of Employees</t>
  </si>
  <si>
    <r>
      <t xml:space="preserve">Current Cash </t>
    </r>
    <r>
      <rPr>
        <b/>
        <u/>
        <sz val="12"/>
        <color rgb="FF000000"/>
        <rFont val="Calibri"/>
        <family val="2"/>
      </rPr>
      <t>Projections</t>
    </r>
  </si>
  <si>
    <t>Operating Burn Rate (Annual)</t>
  </si>
  <si>
    <t>Cash Out Date</t>
  </si>
  <si>
    <t>Date to CF Break Even</t>
  </si>
  <si>
    <t>Cash Burn to Break Even</t>
  </si>
  <si>
    <t>Project MODEL - Financial XaaS</t>
  </si>
  <si>
    <t>Last year total customers/contract</t>
  </si>
  <si>
    <t>Churn (drop out rate)</t>
  </si>
  <si>
    <t>Number of new customers/contract</t>
  </si>
  <si>
    <t>Customer/contract acquisition cost</t>
  </si>
  <si>
    <t>Cost to maintain customer/contract</t>
  </si>
  <si>
    <t>Cost of delivering (as % of price)</t>
  </si>
  <si>
    <t>XaaS fee (Price)</t>
  </si>
  <si>
    <t>XaaS Revenue</t>
  </si>
  <si>
    <t>Other Revenue</t>
  </si>
  <si>
    <t>Customer Lifetime Value - CLTV</t>
  </si>
  <si>
    <t>Average Revenue per Account</t>
  </si>
  <si>
    <t>Discount Rate for CLTV</t>
  </si>
  <si>
    <t>Growth Rate for remaining customers</t>
  </si>
  <si>
    <t>K</t>
  </si>
  <si>
    <t>Current Cash Projections</t>
  </si>
  <si>
    <t>Total Contract Value - TCV</t>
  </si>
  <si>
    <t>H4sIAAAAAAAEAO1YXW8bRRT15sN2QkCQolKpFEatxFcdE7tx0qAU6sRJG7UVpjblIYrS8e44Hnk9s8zMOnWf+A38BIQQ4kcgVIRACIRACISKhIoKCIFAvCHxAPeOdxsndUtEUwlVseS1Z3bmzJl7zz2zdsJJJBJ/wws/8TU2AJeXyty4jXkpm6TaCZgmZ3lNUdXJkAtMaS7FifxkPpfNZSezkxmyEPomVOyEYKFR1M+QcljzuXuGdaqyycQJEfr+MOJXbsCuWdi1CDZbYYpTn1+mNZ8tULfBbu45WpXBWdZmvm2VuGuABswdAtxUxCq9IFsBVUylT1PdqPDL7H4gcYH6IStTrnRiMDGYft2pdLRhreyC9H1mYXT2FBOwoBt/Lr4awuKmE+NdzK2sRLMqRnGxniEt7Url89pmSKYwGjuJR21mhhbcwnRu9tgUmzw+u7qafmfgNqR693Axf1eZZFbuJEXbUgPL7baMVldXVlGg+B4ZhAu+R1ADQ/jt/5hbLKoUMkw4EfHBt/eyvcNsD/0F1rQXrp2Gy6qryTrDbQyJM3RmFwkjdjIJl9HFS9wQLB89kkJZ/wk5wjwlR6D10HnmMmHIEhdUuJADPTIK3cM4cjfp3Bu+/9a9I20PDmju3kXPH9zi+WOoPFRWKnrbW/bLA/hlLHZcO+PNvTjvxG3/gCreC9V/cdpTu0TWuuyDcDlUyBWmjk/kpqwXiU6JaVfxANPxcqU0Ng5DiktStajRd/BU/jskfLeoY6Htn7PyeL65tjZP3SaIYokz33t0rof+9puPzHX3sb1/wBnaF+0wa1G7jfHoKSq5Dy5XBstKtrnHFJF1QgWRwueCkaAhjVxXNGgQ3aAoTkKDALZPkUGWVBuMuN3AkqCLoAkldcWiuf2mEdOghlDflxuahBpiTmCgoc1oDiQCR3cQiPsGOFHhWSBG4MS0AIzAvDZ3GZFwm7RhEWY6SF7CTUW0dCHCRDCzIRWGIh4P4Fy4fuhh3xJ1WQ0SliHVDW5gpQxZkqHScHwpBp1hq+ZjHzBvdlmUJRSqkqHOkmWjt+yK624oDIesEsBrEAwLLzekADBeph6S5WXpkaoM3QZRoRBIg79YIcdAb3m7mZpsd3cFk4vCU5J7xGN2r/GEuDvfMyU7OvwrqLBfqtG+U7bA1tYS6fHIzJ1fYDg6VXI/tB4uz58rVhdOl+eXS8tCGwpZbzk/w23UdvIADEnHpTTq/AR9uJrF+THGOdhbb+cgUt1nmBKjfokaBvXmXI8ARw7hE5DzfYRjGT4QHzWpvaNmp/7pXIuDTyBoR3LTucL01MSx/Gb0kRPTsl4x0m2i5R2Gga8sXnKZXxI0uywMg1RjeDd57JhEPZ8vsNnpwuzxwgzzasz5Ls7vEZvfb3t1cjWm+gS0HrtBta8xO9/EynsKBv82VMK/LGQQ+ROUcF1RbVToIj2obTdU8LxJAp+aOmgeCkbzdcE8dJbImKCPBZtD21zzGsenVFvYVMgWBc/xmOmKjQAO8TqCtrhLmGhzJUUL4qm3uN6TUPS+DL2JGtWw2r/yoqGBdQx4ho+LcRBqGw0QXcqX1NPWOLhAD+5Z1FJkAnWFLiMMFyGYEGlJwY3siv6mHWS61HAjTGjuoq96FCIM/qKYDqCgmAXGvfgcfmZgfyCVsXh2OXQbqdapAFHbEsSAUhfEw0A0EFO+zg0YbS3UcF5oTWod0qKCrnctN9r+9kW4boJ3ukrCBLBrrmAxwyFggZVXxHtbMDEwMjSEtwJm3dsFYwDr64qX1MDqGRPg/HWzgUeFF0tG2/WXqwQbPbvopoL1zvAhNlDZo87XvcL9KhbuUWiN9xjleeb5UFXOl7FYJ/C5+YayR50vemE+j2Emb1GqeLigrdG4CD6Lqylvq+nTCG0Y0T6J0QrQOtwH7TzlGq0ntt6PY7AZC/ZRL9iHMdhzW0pzq4fjD0IE+iAGmrNA7/cCXYmBXoDWwVsAISPnvRilaFHe7T0J8HAYGIhOA/t3Tzpp/1U9cP3kMDrL4/38K2s7F5WSasuJl0LHeyaRyvdHfe3a1TeKqZn+Ny8+HbJiau52M4u3IEue/eHkff8AgIXouxgWAAA=</t>
  </si>
  <si>
    <t>Total Preferred
Shares</t>
  </si>
  <si>
    <t>% Total Preferred</t>
  </si>
  <si>
    <t>DTC Ventures</t>
  </si>
  <si>
    <t>New ESOP Calculator</t>
  </si>
  <si>
    <t>Project MODEL - Transaction Expenses</t>
  </si>
  <si>
    <t>+</t>
  </si>
  <si>
    <t>Provider Name</t>
  </si>
  <si>
    <t>Amount (USD)</t>
  </si>
  <si>
    <t>or</t>
  </si>
  <si>
    <t>Percentage of Exit (%)</t>
  </si>
  <si>
    <t>Comments</t>
  </si>
  <si>
    <t>[Debt]</t>
  </si>
  <si>
    <t>[Management Carve Out]</t>
  </si>
  <si>
    <t>[Bank Fees]</t>
  </si>
  <si>
    <t>[Accountants Expenses]</t>
  </si>
  <si>
    <t>[Insurance]</t>
  </si>
  <si>
    <t>[Tax Advisor]</t>
  </si>
  <si>
    <t>[Other providers]</t>
  </si>
  <si>
    <t>--End of the formula</t>
  </si>
  <si>
    <t>-</t>
  </si>
  <si>
    <t>Seniority TOTAL</t>
  </si>
  <si>
    <t>Seniority DTC</t>
  </si>
  <si>
    <t>Multiples</t>
  </si>
  <si>
    <t>2017A</t>
  </si>
  <si>
    <t>Mgmt Plan</t>
  </si>
  <si>
    <t>2018A</t>
  </si>
  <si>
    <t>18-'21 CAGR</t>
  </si>
  <si>
    <t>Future Value - 12/31/21 (In $M)</t>
  </si>
  <si>
    <t>Revenue</t>
  </si>
  <si>
    <t xml:space="preserve">   % Growth</t>
  </si>
  <si>
    <t>High Growth</t>
  </si>
  <si>
    <t>Medium Growth</t>
  </si>
  <si>
    <t>DTC % FD</t>
  </si>
  <si>
    <t>DTC $ Inv.</t>
  </si>
  <si>
    <t>Post $</t>
  </si>
  <si>
    <t>Pre $</t>
  </si>
  <si>
    <t>Scenario 1</t>
  </si>
  <si>
    <t>Scenario 2</t>
  </si>
  <si>
    <t>Low Growth</t>
  </si>
  <si>
    <t>Scenario 3</t>
  </si>
  <si>
    <t>DTC Total Returns</t>
  </si>
  <si>
    <t>DTC CoC Returns</t>
  </si>
  <si>
    <t>Lower Growth</t>
  </si>
  <si>
    <t>COMPANY Waterfall</t>
  </si>
  <si>
    <t>*IRR Calculations require manual manipulation</t>
  </si>
  <si>
    <t>*Small (~300k) difference between seed LP and investor LP - probably due to interest shares and rounding</t>
  </si>
  <si>
    <t>LOW EXIT</t>
  </si>
  <si>
    <t>MED EXIT</t>
  </si>
  <si>
    <t>HIGH EXIT</t>
  </si>
  <si>
    <t>Assumptions</t>
  </si>
  <si>
    <t>Acceleration of Options Assumptions</t>
  </si>
  <si>
    <t xml:space="preserve">Vest all unissued options? </t>
  </si>
  <si>
    <t>No</t>
  </si>
  <si>
    <t>Yes</t>
  </si>
  <si>
    <t>Other</t>
  </si>
  <si>
    <t>ESOP Allocated</t>
  </si>
  <si>
    <t>Total ESOP</t>
  </si>
  <si>
    <t>Authorized Common</t>
  </si>
  <si>
    <t>Change to Common</t>
  </si>
  <si>
    <t>Change to RO</t>
  </si>
  <si>
    <t>Do Options Accelerate?</t>
  </si>
  <si>
    <t>1. Model Assumptions</t>
  </si>
  <si>
    <t>Base</t>
  </si>
  <si>
    <t>Exit Date</t>
  </si>
  <si>
    <t>Outstanding FD Shares</t>
  </si>
  <si>
    <t>2. Force acceleration</t>
  </si>
  <si>
    <t>Participating?</t>
  </si>
  <si>
    <t xml:space="preserve"> </t>
  </si>
  <si>
    <t>3. Force no acceleration</t>
  </si>
  <si>
    <t xml:space="preserve">M&amp;A DEAL </t>
  </si>
  <si>
    <t>CONSIDERATIONS</t>
  </si>
  <si>
    <t>Purchase Price ($M)</t>
  </si>
  <si>
    <t xml:space="preserve">Convert to Common? </t>
  </si>
  <si>
    <t>ESCROW Side Calculation (BASE)</t>
  </si>
  <si>
    <t xml:space="preserve">Cash Back ($M) </t>
  </si>
  <si>
    <t>Shares Subject to Escrow</t>
  </si>
  <si>
    <t>Aggregate Exercise Price ($M)</t>
  </si>
  <si>
    <t>DTC Ownership w/i S-t-Escw</t>
  </si>
  <si>
    <t>Company Debt ($M)</t>
  </si>
  <si>
    <t xml:space="preserve">Portion of DTC Escrow </t>
  </si>
  <si>
    <t>Indeminifaction/Escrow Holdback  ($M)"</t>
  </si>
  <si>
    <t>Management Carve-out</t>
  </si>
  <si>
    <t>Transaction Expenses  ($M)</t>
  </si>
  <si>
    <t>Other Expenses ($M) (e.g. transaction fund)</t>
  </si>
  <si>
    <t>Vested Options Repurchase ($M)</t>
  </si>
  <si>
    <t>Hidden as rows 31-32 approximate the same thing (less the exercise price difference)</t>
  </si>
  <si>
    <t>Net Consideration</t>
  </si>
  <si>
    <t>Gross Consideration</t>
  </si>
  <si>
    <t>Liquidation Preference Calculation</t>
  </si>
  <si>
    <t>Exit Price ($M)</t>
  </si>
  <si>
    <t>Remaining Proceeds</t>
  </si>
  <si>
    <t>Proceeds per common share</t>
  </si>
  <si>
    <t xml:space="preserve">Returned Capital by Round </t>
  </si>
  <si>
    <t>Proceeds $M</t>
  </si>
  <si>
    <t xml:space="preserve">CoC (x) </t>
  </si>
  <si>
    <t xml:space="preserve">IRR </t>
  </si>
  <si>
    <t>Unvested Options</t>
  </si>
  <si>
    <t>Returned Capital by Investor</t>
  </si>
  <si>
    <t>Investor</t>
  </si>
  <si>
    <t>IRR</t>
  </si>
  <si>
    <t>Option 1</t>
  </si>
  <si>
    <t>Option 2</t>
  </si>
  <si>
    <t xml:space="preserve">Option 3 </t>
  </si>
  <si>
    <t>Cap Table Summary</t>
  </si>
  <si>
    <t>Summary of Cap Table by ROUND</t>
  </si>
  <si>
    <t>Shareholder</t>
  </si>
  <si>
    <t>FD Shares</t>
  </si>
  <si>
    <t>FD%</t>
  </si>
  <si>
    <t>Share Price</t>
  </si>
  <si>
    <t>$Prfrd</t>
  </si>
  <si>
    <t xml:space="preserve">Investment </t>
  </si>
  <si>
    <t>Liq Pref Value</t>
  </si>
  <si>
    <t>Reserved Options</t>
  </si>
  <si>
    <t>Waterfall Assumptions Summary</t>
  </si>
  <si>
    <t>Waterfall Assumptions Cap Table by ROUND</t>
  </si>
  <si>
    <t>%Prfrd</t>
  </si>
  <si>
    <t>Vested Options</t>
  </si>
  <si>
    <t>Vesting?</t>
  </si>
  <si>
    <t xml:space="preserve">TOTAL </t>
  </si>
  <si>
    <t>Waterfall Assumptions Cap Table by INVESTOR</t>
  </si>
  <si>
    <t>Pfrd Shares</t>
  </si>
  <si>
    <t>Total Investment</t>
  </si>
  <si>
    <t>Allocated</t>
  </si>
  <si>
    <t>FYI</t>
  </si>
  <si>
    <t>Cash Summary by Round and Investor</t>
  </si>
  <si>
    <t>Round Close Date</t>
  </si>
  <si>
    <t>Returns</t>
  </si>
  <si>
    <t xml:space="preserve">      </t>
  </si>
  <si>
    <t>Returns 3</t>
  </si>
  <si>
    <t xml:space="preserve">Cash Summary by Round </t>
  </si>
  <si>
    <t>Return 1</t>
  </si>
  <si>
    <t>Return 2</t>
  </si>
  <si>
    <t>Return 3</t>
  </si>
  <si>
    <t>AwABTAVMT0NBTAFI/////wFQKAEAABZDSVEuSU5URUwuSVFfR1AuQ1kyMDE4AQAAAN8xdQADAAAAAACsQVZuNLHWCDLFX240sdYIJUNJUS5GQi5JUV9MQVNUU0FMRVBSSUNFLjMvMjUvMjAxOS5VU0QBAAAAF9s8AQIAAAAGMTY2LjI5AOwCwuwysdYIzgLX8jKx1ggdQ0lRLkdPT0cuSVFfR1JPU1NfTUFSR0lOLjIwMDABAAAAqHEAAAIAAAAGNTYuNDc2AQgAAAAFAAAAATEBAAAACjE5NDM3NDA4MzQDAAAAAzE2MAIAAAAENDA3NAQAAAABMAcAAAAJMy8yNS8yMDE5CAAAAAoxMi8zMS8yMDE4CQAAAAEw7ALC7DKx1ggvuMvyMrHWCBZDSVEuSU5URUwuSVFfR1AuQ1kyMDE3AQAAAN8xdQADAAAAAACsQVZuNLHWCDLFX240sdYIG0NJUS5JTlRFTC5JUV9FQklUREEuLi4uLlVTRAEAAADfMXUAAgAAAAY3NDEuNTUBCAAAAAUAAAABMQEAAAAKMTQwOTkxNzYzMgMAAAADMTYwAgAAAAQ0MDUxBAAAAAEwBwAAAAkzLzI1LzIwMTkIAAAACTkvMzAvMjAxMAkAAAABMKxBVm40sdYInmFdbjSx1ggqQ0lRLlNNU05HLklRX1JFVkVOVUVfRVNUX0NJUS5DWTIwMTkuLi4uVVNEBQAAAAAAAAAIAAAAFChJbnZhbGlkIElkZW50aWZpZXIplQ/eaTSx1gifV0lqNLHWCCFDSVEuU01TTkcuSVFfRUJJVERBLkNZMjAxNy4uLi5VU0QFAAAAAAAAAAgAAAAUKEludmFsaWQgSWRlbnRpZmllcimVD95pNLHWCJbS4mk0sdYIF0NJUS5GQi5J</t>
  </si>
  <si>
    <t>UV9HUk9TU19NQVJHSU4uAQAAABfbPAECAAAABzgzLjI0NjEBCAAAAAUAAAABMQEAAAAKMTk0MzQxODIzMgMAAAADMTYwAgAAAAQ0MDc0BAAAAAEwBwAAAAkzLzI1LzIwMTkIAAAACjEyLzMxLzIwMTgJAAAAATALJ3Ld/7DWCM/P4QEzsdYIKUNJUS5HT09HLklRX1JFVkVOVUVfRVNUX0NJUS5DWTIwMTkuLi4uVVNEAQAAAKhxAAACAAAADDE2MzQ4My45ODU3MgEOAAAABQAAAAIxMQEAAAABMAIAAAAKMTAwMDEwOTY5NQMAAAAGMTAwMTgwBAAAAAEyBgAAAAEwBwAAAAMxNjAIAAAAATAJAAAAATEKAAAAATALAAAACzExMzY2NzAxMjc2DAAAAAE3DQAAAAkzLzI2LzIwMTkQAAAACTMvMjUvMjAxOewCwuwysdYI+G3v8jKx1gghQ0lRLkFBUEwuSVFfUkVWRU5VRS5DWTIwMTguLi4uVVNEAQAAAGlhAAACAAAABjI2MTYxMgEIAAAABQAAAAExAQAAAAoxOTQzMjc3OTYyAwAAAAMxNjACAAAAAzExMgQAAAABMAcAAAAJMy8yNS8yMDE5CAAAAAoxMi8yOS8yMDE4CQAAAAEw7ALC7DKx1ghQuubyMrHWCBxDSVEuV01ULklRX1RPVEFMX1JFVi4uLi4uVVNEAQAAAN/GBAACAAAABjUxNDQwNQEIAAAABQAAAAExAQAAAAoxOTQ1NzkyMTY3AwAAAAMxNjACAAAAAjI4BAAAAAEwBwAAAAkzLzI1LzIwMTkIAAAACTEvMzEvMjAxOQkAAAABMJ/5YQIzsdYIT4duAjOx1ggcQ0lRLklOVEVMLklRX1JFVkVOVUUuLi4uLlVTRAEAAADf</t>
  </si>
  <si>
    <t>MXUAAgAAAAgxMTIxLjMzNgEIAAAABQAAAAExAQAAAAoxNDA5OTE3NjMyAwAAAAMxNjACAAAAAzExMgQAAAABMAcAAAAJMy8yNS8yMDE5CAAAAAk5LzMwLzIwMTAJAAAAATDgxrxuNLHWCM7mw240sdYIJ0NJUS5TTkFQLklRX0xBU1RTQUxFUFJJQ0UuMy8yNS8yMDE5LlVTRAEAAADzz1oNAgAAAAUxMC43MgDsAsLsMrHWCEVi2PIysdYIF0NJUS4uSVFfUkVWRU5VRS4uLi4uVVNEBQAAAAAAAAAIAAAAFChJbnZhbGlkIElkZW50aWZpZXIpCydy3f+w1ghuUeDyMrHWCCJDSVEuR09PRy5JUV9FQklUREFfRVNUX0NJUS4uLi4uVVNEAQAAAKhxAAACAAAACzU5MjQyLjY4MzY1AQ4AAAAFAAAAAjExAQAAAAEwAgAAAAoxMDAwMTA5Njk1AwAAAAYxMDAxODcEAAAAATIGAAAAATAHAAAAAzE2MAgAAAABMAkAAAABMQoAAAABMAsAAAALMTEzNjY3MDEyODIMAAAAAjEyDQAAAAkzLzI2LzIwMTkQAAAACTMvMjUvMjAxOQsnct3/sNYIArHh8jKx1ggaQ0lRLlNNU05HLklRX1lFQVJISUdILi5VU0QFAAAAAAAAAAgAAAAUKEludmFsaWQgSWRlbnRpZmllcikxMkJqNLHWCJ9XSWo0sdYII0NJUS4uSVFfTEFTVFNBTEVQUklDRS4zLzI1LzIwMTkuVVNEBQAAAAAAAAAIAAAAFChJbnZhbGlkIElkZW50aWZpZXIp7ALC7DKx1gj+hTFwNLHWCB9DSVEuRkIuSVFfUkVWRU5VRS5DWTIwMTguLi4uVVNEAQAAABfbPAECAAAABTU1ODM4</t>
  </si>
  <si>
    <t>AQgAAAAFAAAAATEBAAAACjE5NDM0MTgyMzIDAAAAAzE2MAIAAAADMTEyBAAAAAEwBwAAAAkzLzI1LzIwMTkIAAAACjEyLzMxLzIwMTgJAAAAATDsAsLsMrHWCF3h5vIysdYIIkNJUS5TTVNORy5JUV9SRVZFTlVFLkNZMjAxNy4uLi5VU0QFAAAAAAAAAAgAAAAUKEludmFsaWQgSWRlbnRpZmllcimVD95pNLHWCJ9XSWo0sdYIIkNJUS5BTVpOLklRX1lFQVJISUdILjMvMjUvMjAxOS5VU0QBAAAAPUkAAAIAAAAGMjA1MC41AOwCwuwysdYIXrDY8jKx1ggiQ0lRLlNOQVAuSVFfWUVBUkhJR0guMy8yNS8yMDE5LlVTRAEAAADzz1oNAgAAAAUxNi43NQDsAsLsMrHWCEVi2PIysdYIGUNJUS5GQi5JUV9SRVZFTlVFLi4uLi5VU0QBAAAAF9s8AQIAAAAFNTU4MzgBCAAAAAUAAAABMQEAAAAKMTk0MzQxODIzMgMAAAADMTYwAgAAAAMxMTIEAAAAATAHAAAACTMvMjUvMjAxOQgAAAAKMTIvMzEvMjAxOAkAAAABMAsnct3/sNYIQAPg8jKx1ggUQ0lRLi5JUV9DT01QQU5ZX05BTUUFAAAAAAAAAAgAAAAUKEludmFsaWQgSWRlbnRpZmllcinsAsLsMrHWCP6FMXA0sdYIJkNJUS5HT09HLklRX1RPVEFMX1JFVi4uMy8yNS8yMDE5Li4uVVNEAQAAAKhxAAACAAAABjEzNjgxOQEIAAAABQAAAAExAQAAAAoxOTQzNzQwODM0AwAAAAMxNjACAAAAAjI4BAAAAAEwBwAAAAkzLzI1LzIwMTkIAAAACjEyLzMxLzIwMTgJAAAAATC7b/4B</t>
  </si>
  <si>
    <t>M7HWCB5ccAIzsdYIHkNJUS5JTlRFTC5JUV9UT1RBTF9SRVYuLi4uLlVTRAEAAADfMXUAAgAAAAgxMTIxLjMzNgEIAAAABQAAAAExAQAAAAoxNDA5OTE3NjMyAwAAAAMxNjACAAAAAjI4BAAAAAEwBwAAAAkzLzI1LzIwMTkIAAAACTkvMzAvMjAxMAkAAAABMODGvG40sdYIzubDbjSx1ggVQ0lRLlNOQVAuSVFfR1AuQ1kyMDE3AQAAAPPPWg0CAAAABzE0Ny4zNTQBCAAAAAUAAAABMQEAAAAKMTk0Mzg5Mzg0NwMAAAADMTYwAgAAAAIxMAQAAAABMAcAAAAJMy8yNS8yMDE5CAAAAAoxMi8zMS8yMDE3CQAAAAEw7ALC7DKx1gjNQOjyMrHWCCBDSVEuRkIuSVFfWUVBUkhJR0guMy8yNS8yMDE5LlVTRAEAAAAX2zwBAgAAAAYyMTguNjIA7ALC7DKx1gi+29byMrHWCBlDSVEuQU1aTi5JUV9HUk9TU19NQVJHSU4uAQAAAD1JAAACAAAABzQwLjI0NzQBCAAAAAUAAAABMQEAAAAKMTk0MzUwNzQ0NgMAAAADMTYwAgAAAAQ0MDc0BAAAAAEwBwAAAAkzLzI1LzIwMTkIAAAACjEyLzMxLzIwMTgJAAAAATALJ3Ld/7DWCM/P4QEzsdYIGkNJUS5XTVQuSVFfUkVWRU5VRS4uLi4uVVNEAQAAAN/GBAACAAAABjUxNDQwNQEIAAAABQAAAAExAQAAAAoxOTQ1NzkyMTY3AwAAAAMxNjACAAAAAzExMgQAAAABMAcAAAAJMy8yNS8yMDE5CAAAAAkxLzMxLzIwMTkJAAAAATALJ3Ld/7DWCHwq4PIysdYIJ0NJUS5HT09HLklRX0xBU1RTQUxF</t>
  </si>
  <si>
    <t>UFJJQ0UuMy8yNS8yMDE5LlVTRAEAAACocQAAAgAAAAQxMTkzAOwCwuwysdYI6FDX8jKx1ggoQ0lRLlNNU05HLklRX0xBU1RTQUxFUFJJQ0UuMy8yNS8yMDE5LlVTRAUAAAAAAAAACAAAABQoSW52YWxpZCBJZGVudGlmaWVyKZUP3mk0sdYIn1dJajSx1ggjQ0lRLlNNU05HLklRX0VCSVREQV9FU1RfQ0lRLi4uLi5VU0QFAAAAAAAAAAgAAAAUKEludmFsaWQgSWRlbnRpZmllcikxMkJqNLHWCJ9XSWo0sdYIG0NJUS5BTVpOLklRX1JFVkVOVUUuLi4uLlVTRAEAAAA9SQAAAgAAAAYyMzI4ODcBCAAAAAUAAAABMQEAAAAKMTk0MzUwNzQ0NgMAAAADMTYwAgAAAAMxMTIEAAAAATAHAAAACTMvMjUvMjAxOQgAAAAKMTIvMzEvMjAxOAkAAAABMAsnct3/sNYIfCrg8jKx1ggfQ0lRLkdPT0cuSVFfR1JPU1NfTUFSR0lOLkNZMjAxNwEAAACocQAAAgAAAAc1OC44ODA1AQgAAAAFAAAAATEBAAAACjE5NDM3NDA4MjcDAAAAAzE2MAIAAAAENDA3NAQAAAABMAcAAAAJMy8yNS8yMDE5CAAAAAoxMi8zMS8yMDE3CQAAAAEw7ALC7DKx1gjegNzyMrHWCBFDSVEuLklRX0dQLkNZMjAxNwUAAAAAAAAACAAAABQoSW52YWxpZCBJZGVudGlmaWVyKewCwuwysdYI/oUxcDSx1ggNQ0lRLkZCLklRX0dQLgEAAAAX2zwBAgAAAAU0NjQ4MwEIAAAABQAAAAExAQAAAAoxOTQzNDE4MjMyAwAAAAMxNjACAAAAAjEwBAAAAAEwBwAAAAkzLzI1</t>
  </si>
  <si>
    <t>LzIwMTkIAAAACjEyLzMxLzIwMTgJAAAAATALJ3Ld/7DWCM/P4QEzsdYIJUNJUS4uSVFfUkVWRU5VRV9FU1RfQ0lRLkNZMjAxOS4uLi5VU0QFAAAAAAAAAAgAAAAUKEludmFsaWQgSWRlbnRpZmllcinsAsLsMrHWCP6FMXA0sdYIIENJUS5HT09HLklRX0VCSVREQS5DWTIwMTguLi4uVVNEAQAAAKhxAAACAAAABTQwNDIxAQgAAAAFAAAAATEBAAAACjE5NDM3NDA4MzQDAAAAAzE2MAIAAAAENDA1MQQAAAABMAcAAAAJMy8yNS8yMDE5CAAAAAoxMi8zMS8yMDE4CQAAAAEw7ALC7DKx1gjG7eDyMrHWCClDSVEuV01ULklRX1RPVEFMX1JFVi4yMDAwLjMvMjUvMjAxOS4uLlVTRAEAAADfxgQAAgAAAAY1MTQ0MDUBCAAAAAUAAAABMQEAAAAKMTk0NTc5MjE2NwMAAAADMTYwAgAAAAIyOAQAAAABMAcAAAAJMy8yNS8yMDE5CAAAAAkxLzMxLzIwMTkJAAAAATDsAsLsMrHWCA3G1/IysdYIHUNJUS5BTVpOLklRX1RFVi4zLzI1LzIwMTkuVVNEAQAAAD1JAAACAAAADTg3OTU2MC42Mzk2MTEBBgAAAAUAAAABMQEAAAAKMTk0MzUwNzQ0NAMAAAADMTYwAgAAAAYxMDAwNjAEAAAAATAHAAAACTMvMjUvMjAxOewCwuwysdYISYnY8jKx1ggbQ0lRLlNNU05HLklRX01BUktFVENBUC4uVVNEBQAAAAAAAAAIAAAAFChJbnZhbGlkIElkZW50aWZpZXIpMTJCajSx1gifV0lqNLHWCCpDSVEuQUFQTC5JUV9UT1RBTF9SRVYuMjAwMC4z</t>
  </si>
  <si>
    <t>LzI1LzIwMTkuLi5VU0QBAAAAaWEAAAIAAAAGMjYxNjEyAQgAAAAFAAAAATEBAAAACjE5NDMyNzc5NjIDAAAAAzE2MAIAAAACMjgEAAAAATAHAAAACTMvMjUvMjAxOQgAAAAKMTIvMjkvMjAxOAkAAAABMOwCwuwysdYIdiXZ8jKx1ggRQ0lRLi5JUV9HUC5DWTIwMTgFAAAAAAAAAAgAAAAUKEludmFsaWQgSWRlbnRpZmllcinsAsLsMrHWCP6FMXA0sdYIG0NJUS5GQi5JUV9HUk9TU19NQVJHSU4uMjAwMAEAAAAX2zwBAgAAAAc4My4yNDYxAQgAAAAFAAAAATEBAAAACjE5NDM0MTgyMzIDAAAAAzE2MAIAAAAENDA3NAQAAAABMAcAAAAJMy8yNS8yMDE5CAAAAAoxMi8zMS8yMDE4CQAAAAEw7ALC7DKx1giM8MzyMrHWCCJDSVEuQU1aTi5JUV9FQklUREFfRVNUX0NJUS4uLi4uVVNEAQAAAD1JAAACAAAACzQyMTc4Ljc1NDgzAQ4AAAAFAAAAAjExAQAAAAEwAgAAAAoxMDAwMDkzMTE1AwAAAAYxMDAxODcEAAAAATIGAAAAATAHAAAAAzE2MAgAAAABMAkAAAABMQoAAAABMAsAAAALMTEzNjY2ODE5OTAMAAAAAjEyDQAAAAkzLzI2LzIwMTkQAAAACTMvMjUvMjAxOQsnct3/sNYIBdjh8jKx1ggnQ0lRLldNVC5JUV9FQklUREFfRVNUX0NJUS5DWTIwMjAuLi4uVVNEAQAAAN/GBAACAAAACjMzMjE4LjMyMjcBDgAAAAUAAAACMTEBAAAAATACAAAACjEwMDE4MTg1OTMDAAAABjEwMDE4NwQAAAABMgYAAAABMAcAAAADMTYw</t>
  </si>
  <si>
    <t>CAAAAAEwCQAAAAExCgAAAAEwCwAAAAsxMTM0NzA3ODAxMgwAAAABNw0AAAAJMy8yNi8yMDE5EAAAAAkzLzI1LzIwMTnsAsLsMrHWCKKVGWM0sdYIGkNJUS5BTVpOLklRX0VCSVREQS4uLi4uVVNEAQAAAD1JAAACAAAABTI3NzYyAQgAAAAFAAAAATEBAAAACjE5NDM1MDc0NDYDAAAAAzE2MAIAAAAENDA1MQQAAAABMAcAAAAJMy8yNS8yMDE5CAAAAAoxMi8zMS8yMDE4CQAAAAEwCydy3f+w1gjPz+EBM7HWCClDSVEuSU5URUwuSVFfRUJJVERBX0VTVF9DSVEuQ1kyMDIwLi4uLlVTRAEAAADfMXUAAwAAAAAArEFWbjSx1gjO5sNuNLHWCCJDSVEuSU5URUwuSVFfUkVWRU5VRS5DWTIwMTguLi4uVVNEAQAAAN8xdQADAAAAAACsQVZuNLHWCM7mw240sdYII0NJUS5BQVBMLklRX1JFVkVOVUVfRVNUX0NJUS4uLi4uVVNEAQAAAGlhAAACAAAACzI1NjMxNy40ODAxAQ4AAAAFAAAAAjExAQAAAAEwAgAAAAc4MDc2Mjc5AwAAAAYxMDAxODAEAAAAATIGAAAAATAHAAAAAzE2MAgAAAABMAkAAAABMQoAAAABMAsAAAALMTEzNjY1MDEwNTgMAAAAAjEyDQAAAAkzLzI2LzIwMTkQAAAACTMvMjUvMjAxOQsnct3/sNYIN2vd8jKx1ggcQ0lRLi5JUV9FQklUREEuQ1kyMDE3Li4uLlVTRAUAAAAAAAAACAAAABQoSW52YWxpZCBJZGVudGlmaWVyKewCwuwysdYI/oUxcDSx1ggeQ0lRLkdPT0cuSVFfTEFTVFNBTEVQUklDRS4uVVNE</t>
  </si>
  <si>
    <t>AQAAAKhxAAACAAAABjExOTkuNQAXcIne/7DWCMlVzPIysdYIFUNJUS5JTlRFTC5JUV9URVYuLlVTRAEAAADfMXUAAwAAAAAA4Ma8bjSx1gjO5sNuNLHWCCFDSVEuU05BUC5JUV9SRVZFTlVFLkNZMjAxNy4uLi5VU0QBAAAA889aDQIAAAAHODI0Ljk0OQEIAAAABQAAAAExAQAAAAoxOTQzODkzODQ3AwAAAAMxNjACAAAAAzExMgQAAAABMAcAAAAJMy8yNS8yMDE5CAAAAAoxMi8zMS8yMDE3CQAAAAEw7ALC7DKx1ght7unyMrHWCBxDSVEuRkIuSVFfTEFTVFNBTEVQUklDRS4uVVNEAQAAABfbPAECAAAABjE2NC4zMQAXcIne/7DWCPWzzfIysdYIHENJUS5XTVQuSVFfR1JPU1NfTUFSR0lOLjIwMDABAAAA38YEAAIAAAAHMjUuMDk3NwEIAAAABQAAAAExAQAAAAoxOTQ1NzkyMTY3AwAAAAMxNjACAAAABDQwNzQEAAAAATAHAAAACTMvMjUvMjAxOQgAAAAJMS8zMS8yMDE5CQAAAAEw7ALC7DKx1gj0C8ryMrHWCBpDSVEuU05BUC5JUV9NQVJLRVRDQVAuLlVTRAEAAADzz1oNAgAAAAwxNDE3NC43MTQxMTMBBgAAAAUAAAABMQEAAAAKMTk0Mzg5MzkzNwMAAAADMTYwAgAAAAYxMDAwNTQEAAAAATAHAAAACTMvMjIvMjAxORdwid7/sNYIr4PI8jKx1ggkQ0lRLklOVEVMLklRX1JFVkVOVUVfRVNUX0NJUS4uLi4uVVNEAQAAAN8xdQADAAAAAADgxrxuNLHWCM7mw240sdYIIENJUS5TTVNORy5JUV9HUk9TU19NQVJHSU4u</t>
  </si>
  <si>
    <t>Q1kyMDE3BQAAAAAAAAAIAAAAFChJbnZhbGlkIElkZW50aWZpZXIplQ/eaTSx1giW0uJpNLHWCB5DSVEuRkIuSVFfRUJJVERBLkNZMjAxNy4uLi5VU0QBAAAAF9s8AQIAAAAFMjMyMjgBCAAAAAUAAAABMQEAAAAKMTk0MzQxODIxMQMAAAADMTYwAgAAAAQ0MDUxBAAAAAEwBwAAAAkzLzI1LzIwMTkIAAAACjEyLzMxLzIwMTcJAAAAATDsAsLsMrHWCBN16/IysdYIHUNJUS5BQVBMLklRX0dST1NTX01BUkdJTi4yMDAwAQAAAGlhAAACAAAABzM4LjIwODQBCAAAAAUAAAABMQEAAAAKMTk0MzI3Nzk2MgMAAAADMTYwAgAAAAQ0MDc0BAAAAAEwBwAAAAkzLzI1LzIwMTkIAAAACjEyLzI5LzIwMTgJAAAAATDsAsLsMrHWCJrPQe0ysdYIGUNJUS5BTVpOLklRX1lFQVJISUdILi5VU0QBAAAAPUkAAAIAAAAGMjA1MC41ABdwid7/sNYI1DnG8jKx1ggiQ0lRLldNVC5JUV9NQVJLRVRDQVAuMy8yNS8yMDE5LlVTRAEAAADfxgQAAgAAAA0yODUyMDkuMzc5OTkyAQYAAAAFAAAAATEBAAAACjE5NDU4NTE0NzcDAAAAAzE2MAIAAAAGMTAwMDU0BAAAAAEwBwAAAAkzLzI1LzIwMTnsAsLsMrHWCNk5F2M0sdYIKENJUS5XTVQuSVFfUkVWRU5VRV9FU1RfQ0lRLkNZMjAxOS4uLi5VU0QBAAAA38YEAAIAAAAMNTI1NDUyLjg1OTU2AQ4AAAAFAAAAAjExAQAAAAEwAgAAAAoxMDAxNzQyNDg0AwAAAAYxMDAxODAEAAAAATIGAAAAATAH</t>
  </si>
  <si>
    <t>AAAAAzE2MAgAAAABMAkAAAABMQoAAAABMAsAAAALMTEzNjEwMTgyNDEMAAAAATcNAAAACTMvMjYvMjAxORAAAAAJMy8yNS8yMDE57ALC7DKx1giilRljNLHWCCJDSVEuU05BUC5JUV9FQklUREFfRVNUX0NJUS4uLi4uVVNEAQAAAPPPWg0CAAAACi0zMzIuMjg1MTMBDgAAAAUAAAACMTEBAAAAATACAAAACjEwMDM2MzE0NzgDAAAABjEwMDE4NwQAAAABMgYAAAABMAcAAAADMTYwCAAAAAEwCQAAAAExCgAAAAEwCwAAAAsxMTM1NDk2NjAxOQwAAAACMTINAAAACTMvMjYvMjAxORAAAAAJMy8yNS8yMDE5Cydy3f+w1ggF2OHyMrHWCCdDSVEuV01ULklRX0VCSVREQV9FU1RfQ0lRLkNZMjAxOS4uLi5VU0QBAAAA38YEAAIAAAALMzI0MjYuMDUxODgBDgAAAAUAAAACMTEBAAAAATACAAAACjEwMDE3NDI0ODQDAAAABjEwMDE4NwQAAAABMgYAAAABMAcAAAADMTYwCAAAAAEwCQAAAAExCgAAAAEwCwAAAAsxMTM0NzA3ODAxOQwAAAABNw0AAAAJMy8yNi8yMDE5EAAAAAkzLzI1LzIwMTnsAsLsMrHWCKKVGWM0sdYIIENJUS5GQi5JUV9FQklUREFfRVNUX0NJUS4uLi4uVVNEAQAAABfbPAECAAAACzM2NjYwLjU2MTI5AQ4AAAAFAAAAAjExAQAAAAEwAgAAAAoxMDAxNTMzMTQxAwAAAAYxMDAxODcEAAAAATIGAAAAATAHAAAAAzE2MAgAAAABMAkAAAABMQoAAAABMAsAAAALMTEzNjY3MTQwNzIMAAAAAjEyDQAAAAkzLzI2</t>
  </si>
  <si>
    <t>LzIwMTkQAAAACTMvMjUvMjAxOQsnct3/sNYIArHh8jKx1ggiQ0lRLi5JUV9UT1RBTF9SRVYuLjMvMjUvMjAxOS4uLlVTRAUAAAAAAAAACAAAABQoSW52YWxpZCBJZGVudGlmaWVyKbtv/gEzsdYI/oUxcDSx1ggPQ0lRLkFNWk4uSVFfR1AuAQAAAD1JAAACAAAABTkzNzMxAQgAAAAFAAAAATEBAAAACjE5NDM1MDc0NDYDAAAAAzE2MAIAAAACMTAEAAAAATAHAAAACTMvMjUvMjAxOQgAAAAKMTIvMzEvMjAxOAkAAAABMAsnct3/sNYIz8/hATOx1ggmQ0lRLkFBUEwuSVFfVE9UQUxfUkVWLi4zLzI1LzIwMTkuLi5VU0QBAAAAaWEAAAIAAAAGMjYxNjEyAQgAAAAFAAAAATEBAAAACjE5NDMyNzc5NjIDAAAAAzE2MAIAAAACMjgEAAAAATAHAAAACTMvMjUvMjAxOQgAAAAKMTIvMjkvMjAxOAkAAAABMLtv/gEzsdYI6A1wAjOx1ggdQ0lRLi5JUV9SRVZFTlVFLkNZMjAxOC4uLi5VU0QFAAAAAAAAAAgAAAAUKEludmFsaWQgSWRlbnRpZmllcinsAsLsMrHWCP6FMXA0sdYIHkNJUS5TTVNORy5JUV9URVYuMy8yNS8yMDE5LlVTRAUAAAAAAAAACAAAABQoSW52YWxpZCBJZGVudGlmaWVyKZUP3mk0sdYIn1dJajSx1gggQ0lRLlNNU05HLklRX0dST1NTX01BUkdJTi5DWTIwMTgFAAAAAAAAAAgAAAAUKEludmFsaWQgSWRlbnRpZmllcimVD95pNLHWCJbS4mk0sdYIIENJUS5XTVQuSVFfUkVWRU5VRS5DWTIwMTguLi4uVVNE</t>
  </si>
  <si>
    <t>AQAAAN/GBAACAAAABjUxNDQwNQEIAAAABQAAAAExAQAAAAoxOTQ1NzkyMTY3AwAAAAMxNjACAAAAAzExMgQAAAABMAcAAAAJMy8yNS8yMDE5CAAAAAkxLzMxLzIwMTkJAAAAATDsAsLsMrHWCKKVGWM0sdYIEUNJUS5GQi5JUV9HUC4yMDAwAQAAABfbPAECAAAABTQ2NDgzAQgAAAAFAAAAATEBAAAACjE5NDM0MTgyMzIDAAAAAzE2MAIAAAACMTAEAAAAATAHAAAACTMvMjUvMjAxOQgAAAAKMTIvMzEvMjAxOAkAAAABMOwCwuwysdYIEKPM8jKx1ggjQ0lRLlNNU05HLklRX1lFQVJISUdILjMvMjUvMjAxOS5VU0QFAAAAAAAAAAgAAAAUKEludmFsaWQgSWRlbnRpZmllcimVD95pNLHWCJ9XSWo0sdYIKUNJUS5TTkFQLklRX1JFVkVOVUVfRVNUX0NJUS5DWTIwMTkuLi4uVVNEAQAAAPPPWg0CAAAACjE1NDYuMzA4OTYBDgAAAAUAAAACMTEBAAAAATACAAAACjEwMDM2MzE0NzgDAAAABjEwMDE4MAQAAAABMgYAAAABMAcAAAADMTYwCAAAAAEwCQAAAAExCgAAAAEwCwAAAAsxMTM1NDkyODQ5NAwAAAABNw0AAAAJMy8yNi8yMDE5EAAAAAkzLzI1LzIwMTnsAsLsMrHWCOOT7/IysdYII0NJUS5BTVpOLklRX1JFVkVOVUVfRVNUX0NJUS4uLi4uVVNEAQAAAD1JAAACAAAADDI3NTEzOC4wNzU3NQEOAAAABQAAAAIxMQEAAAABMAIAAAAKMTAwMDA5MzExNQMAAAAGMTAwMTgwBAAAAAEyBgAAAAEwBwAAAAMxNjAIAAAAATAJ</t>
  </si>
  <si>
    <t>AAAAATEKAAAAATALAAAACzExMzY2NjgyMDA4DAAAAAIxMg0AAAAJMy8yNi8yMDE5EAAAAAkzLzI1LzIwMTkLJ3Ld/7DWCDdE3fIysdYIFUNJUS4uSVFfR1JPU1NfTUFSR0lOLgUAAAAAAAAACAAAABQoSW52YWxpZCBJZGVudGlmaWVyKQsnct3/sNYI/oUxcDSx1ggeQ0lRLlNOQVAuSVFfTEFTVFNBTEVQUklDRS4uVVNEAQAAAPPPWg0CAAAABjEwLjc2NQAXcIne/7DWCBpHyfIysdYIE0NJUS5XTVQuSVFfVEVWLi5VU0QBAAAA38YEAAIAAAANMzQyOTc3Ljk1ODU5OAEGAAAABQAAAAExAQAAAAoxOTQ1ODUxNDc3AwAAAAMxNjACAAAABjEwMDA2MAQAAAABMAcAAAAJMy8yMi8yMDE5F3CJ3v+w1ggrM8ryMrHWCCFDSVEuR09PRy5JUV9SRVZFTlVFLkNZMjAxOC4uLi5VU0QBAAAAqHEAAAIAAAAGMTM2ODE5AQgAAAAFAAAAATEBAAAACjE5NDM3NDA4MzQDAAAAAzE2MAIAAAADMTEyBAAAAAEwBwAAAAkzLzI1LzIwMTkIAAAACjEyLzMxLzIwMTgJAAAAATDsAsLsMrHWCF3h5vIysdYIIUNJUS5XTVQuSVFfRUJJVERBX0VTVF9DSVEuLi4uLlVTRAEAAADfxgQAAgAAAAszMjQyNi4wNTE4OAEOAAAABQAAAAIxMQEAAAABMAIAAAAKMTAwMTc0MjQ4NAMAAAAGMTAwMTg3BAAAAAEyBgAAAAEwBwAAAAMxNjAIAAAAATAJAAAAATEKAAAAATALAAAACzExMzQ3MDc4MDE5DAAAAAIxMg0AAAAJMy8yNi8yMDE5EAAAAAkzLzI1</t>
  </si>
  <si>
    <t>LzIwMTkLJ3Ld/7DWCAKx4fIysdYIH0NJUS4uSVFfUkVWRU5VRV9FU1RfQ0lRLi4uLi5VU0QFAAAAAAAAAAgAAAAUKEludmFsaWQgSWRlbnRpZmllcikLJ3Ld/7DWCDdr3fIysdYIIENJUS5TTkFQLklRX0VCSVREQS5DWTIwMTcuLi4uVVNEAQAAAPPPWg0CAAAACS0zMzg0LjQyMQEIAAAABQAAAAExAQAAAAoxOTQzODkzODQ3AwAAAAMxNjACAAAABDQwNTEEAAAAATAHAAAACTMvMjUvMjAxOQgAAAAKMTIvMzEvMjAxNwkAAAABMOwCwuwysdYIUZzr8jKx1ggaQ0lRLlNNU05HLklRX0dST1NTX01BUkdJTi4FAAAAAAAAAAgAAAAUKEludmFsaWQgSWRlbnRpZmllcimVD95pNLHWCJbS4mk0sdYIE0NJUS5BQVBMLklRX0dQLjIwMDABAAAAaWEAAAIAAAAFOTk5NTgBCAAAAAUAAAABMQEAAAAKMTk0MzI3Nzk2MgMAAAADMTYwAgAAAAIxMAQAAAABMAcAAAAJMy8yNS8yMDE5CAAAAAoxMi8yOS8yMDE4CQAAAAEw7ALC7DKx1giaz0HtMrHWCCFDSVEuU05BUC5JUV9UT1RBTF9SRVYuMjAwMC4uLi5VU0QBAAAA889aDQIAAAAIMTE4MC40NDYBCAAAAAUAAAABMQEAAAAKMTk0Mzg5MzkzOQMAAAADMTYwAgAAAAIyOAQAAAABMAcAAAAJMy8yNS8yMDE5CAAAAAoxMi8zMS8yMDE4CQAAAAEwF3CJ3v+w1giy1MjyMrHWCB1DSVEuQU1aTi5JUV9HUk9TU19NQVJHSU4uMjAwMAEAAAA9SQAAAgAAAAc0MC4yNDc0AQgAAAAFAAAA</t>
  </si>
  <si>
    <t>ATEBAAAACjE5NDM1MDc0NDYDAAAAAzE2MAIAAAAENDA3NAQAAAABMAcAAAAJMy8yNS8yMDE5CAAAAAoxMi8zMS8yMDE4CQAAAAEw7ALC7DKx1gjiMUTtMrHWCB9DSVEuRkIuSVFfVE9UQUxfUkVWLjIwMDAuLi4uVVNEAQAAABfbPAECAAAABTU1ODM4AQgAAAAFAAAAATEBAAAACjE5NDM0MTgyMzIDAAAAAzE2MAIAAAACMjgEAAAAATAHAAAACTMvMjUvMjAxOQgAAAAKMTIvMzEvMjAxOAkAAAABMBdwid7/sNYIyGXN8jKx1gghQ0lRLlNNU05HLklRX0VCSVREQS5DWTIwMTguLi4uVVNEBQAAAAAAAAAIAAAAFChJbnZhbGlkIElkZW50aWZpZXIplQ/eaTSx1giW0uJpNLHWCCdDSVEuSU5URUwuSVFfVE9UQUxfUkVWLi4zLzI1LzIwMTkuLi5VU0QBAAAA3zF1AAIAAAAIMTEyMS4zMzYBCAAAAAUAAAABMQEAAAAKMTQwOTkxNzYzMgMAAAADMTYwAgAAAAIyOAQAAAABMAcAAAAJMy8yNS8yMDE5CAAAAAk5LzMwLzIwMTAJAAAAATCsQVZuNLHWCM7mw240sdYIH0NJUS5HT09HLklRX0dST1NTX01BUkdJTi5DWTIwMTgBAAAAqHEAAAIAAAAGNTYuNDc2AQgAAAAFAAAAATEBAAAACjE5NDM3NDA4MzQDAAAAAzE2MAIAAAAENDA3NAQAAAABMAcAAAAJMy8yNS8yMDE5CAAAAAoxMi8zMS8yMDE4CQAAAAEw7ALC7DKx1ghjzPDyMrHWCCNDSVEuU05BUC5JUV9NQVJLRVRDQVAuMy8yNS8yMDE5LlVTRAEAAADzz1oNAgAAAAwx</t>
  </si>
  <si>
    <t>NDE2MS41MDM3NTUBBgAAAAUAAAABMQEAAAAKMTk0Mzg5MzkzNwMAAAADMTYwAgAAAAYxMDAwNTQEAAAAATAHAAAACTMvMjUvMjAxOewCwuwysdYIRzvY8jKx1ggpQ0lRLklOVEVMLklRX0VCSVREQV9FU1RfQ0lRLkNZMjAxOS4uLi5VU0QBAAAA3zF1AAMAAAAAAKxBVm40sdYIzubDbjSx1ggYQ0lRLldNVC5JUV9HUk9TU19NQVJHSU4uAQAAAN/GBAACAAAABzI1LjA5NzcBCAAAAAUAAAABMQEAAAAKMTk0NTc5MjE2NwMAAAADMTYwAgAAAAQ0MDc0BAAAAAEwBwAAAAkzLzI1LzIwMTkIAAAACTEvMzEvMjAxOQkAAAABMAsnct3/sNYIopUZYzSx1gghQ0lRLkdPT0cuSVFfVE9UQUxfUkVWLjIwMDAuLi4uVVNEAQAAAKhxAAACAAAABjEzNjgxOQEIAAAABQAAAAExAQAAAAoxOTQzNzQwODM0AwAAAAMxNjACAAAAAjI4BAAAAAEwBwAAAAkzLzI1LzIwMTkIAAAACjEyLzMxLzIwMTgJAAAAATAXcIne/7DWCCEGzPIysdYIKENJUS5TTkFQLklRX0VCSVREQV9FU1RfQ0lRLkNZMjAxOS4uLi5VU0QBAAAA889aDQIAAAAKLTMzMi4yODUxMwEOAAAABQAAAAIxMQEAAAABMAIAAAAKMTAwMzYzMTQ3OAMAAAAGMTAwMTg3BAAAAAEyBgAAAAEwBwAAAAMxNjAIAAAAATAJAAAAATEKAAAAATALAAAACzExMzU0OTY2MDE5DAAAAAE3DQAAAAkzLzI2LzIwMTkQAAAACTMvMjUvMjAxOewCwuwysdYIOlvu8jKx1gghQ0lRLldNVC5J</t>
  </si>
  <si>
    <t>UV9ZRUFSSElHSC4zLzI1LzIwMTkuVVNEAQAAAN/GBAACAAAABjEwNi4yMQDsAsLsMrHWCKKVGWM0sdYIHkNJUS5TTkFQLklRX0VCSVREQS4yMDAwLi4uLlVTRAEAAADzz1oNAgAAAAktMTE0NS42NTkBCAAAAAUAAAABMQEAAAAKMTk0Mzg5MzkzOQMAAAADMTYwAgAAAAQ0MDUxBAAAAAEwBwAAAAkzLzI1LzIwMTkIAAAACjEyLzMxLzIwMTgJAAAAATDsAsLsMrHWCHoOyPIysdYIHENJUS5GQi5JUV9FQklUREEuMjAwMC4uLi5VU0QBAAAAF9s8AQIAAAAFMjkyMjgBCAAAAAUAAAABMQEAAAAKMTk0MzQxODIzMgMAAAADMTYwAgAAAAQ0MDUxBAAAAAEwBwAAAAkzLzI1LzIwMTkIAAAACjEyLzMxLzIwMTgJAAAAATDsAsLsMrHWCNOMzfIysdYIHUNJUS5BQVBMLklRX1RPVEFMX1JFVi4uLi4uVVNEAQAAAGlhAAACAAAABjI2MTYxMgEIAAAABQAAAAExAQAAAAoxOTQzMjc3OTYyAwAAAAMxNjACAAAAAjI4BAAAAAEwBwAAAAkzLzI1LzIwMTkIAAAACjEyLzI5LzIwMTgJAAAAATCf+WECM7HWCI/8bgIzsdYIGENJUS5BQVBMLklRX0NPTVBBTllfTkFNRQEAAABpYQAAAwAAAApBcHBsZSBJbmMuAOwCwuwysdYI4jFE7TKx1ggaQ0lRLi5JUV9MQVNUU0FMRVBSSUNFLi5VU0QFAAAAAAAAAAgAAAAUKEludmFsaWQgSWRlbnRpZmllcikXcIne/7DWCJrPQe0ysdYIKENJUS5BQVBMLklRX0VCSVREQV9FU1RfQ0lRLkNZMjAx</t>
  </si>
  <si>
    <t>OS4uLi5VU0QBAAAAaWEAAAIAAAAKNzQ4MjMuNTExNQEOAAAABQAAAAIxMQEAAAABMAIAAAAIMTEyMDY3OTUDAAAABjEwMDE4NwQAAAABMgYAAAABMAcAAAADMTYwCAAAAAEwCQAAAAExCgAAAAEwCwAAAAsxMTM2NTEyNDQ2NAwAAAABNw0AAAAJMy8yNi8yMDE5EAAAAAkzLzI1LzIwMTnsAsLsMrHWCA/m7fIysdYIGENJUS5XTVQuSVFfWUVBUkhJR0guLlVTRAEAAADfxgQAAgAAAAYxMDYuMjEAF3CJ3v+w1gjUG8vyMrHWCCNDSVEuU05BUC5JUV9SRVZFTlVFX0VTVF9DSVEuLi4uLlVTRAEAAADzz1oNAgAAAAoxNTQ2LjMwODk2AQ4AAAAFAAAAAjExAQAAAAEwAgAAAAoxMDAzNjMxNDc4AwAAAAYxMDAxODAEAAAAATIGAAAAATAHAAAAAzE2MAgAAAABMAkAAAABMQoAAAABMAsAAAALMTEzNTQ5Mjg0OTQMAAAAAjEyDQAAAAkzLzI2LzIwMTkQAAAACTMvMjUvMjAxOQsnct3/sNYIN0Td8jKx1ggnQ0lRLkZCLklRX1JFVkVOVUVfRVNUX0NJUS5DWTIwMjAuLi4uVVNEAQAAABfbPAECAAAACzgzNDE2LjU1Mjk2AQ4AAAAFAAAAAjExAQAAAAEwAgAAAAoxMDAxNTMzMTQyAwAAAAYxMDAxODAEAAAAATIGAAAAATAHAAAAAzE2MAgAAAABMAkAAAABMQoAAAABMAsAAAALMTEzNjY3MTQ5NzIMAAAAATcNAAAACTMvMjYvMjAxORAAAAAJMy8yNS8yMDE57ALC7DKx1gi41OzyMrHWCCNDSVEuQU1aTi5JUV9NQVJLRVRDQVAu</t>
  </si>
  <si>
    <t>My8yNS8yMDE5LlVTRAEAAAA9SQAAAgAAAA04NzE1MjEuNjM5NjExAQYAAAAFAAAAATEBAAAACjE5NDM1MDc0NDQDAAAAAzE2MAIAAAAGMTAwMDU0BAAAAAEwBwAAAAkzLzI1LzIwMTnsAsLsMrHWCF6w2PIysdYIJkNJUS5GQi5JUV9FQklUREFfRVNUX0NJUS5DWTIwMTkuLi4uVVNEAQAAABfbPAECAAAACzM2NjYwLjU2MTI5AQ4AAAAFAAAAAjExAQAAAAEwAgAAAAoxMDAxNTMzMTQxAwAAAAYxMDAxODcEAAAAATIGAAAAATAHAAAAAzE2MAgAAAABMAkAAAABMQoAAAABMAsAAAALMTEzNjY3MTQwNzIMAAAAATcNAAAACTMvMjYvMjAxORAAAAAJMy8yNS8yMDE57ALC7DKx1gg7De7yMrHWCCVDSVEuLklRX1JFVkVOVUVfRVNUX0NJUS5DWTIwMjAuLi4uVVNEBQAAAAAAAAAIAAAAFChJbnZhbGlkIElkZW50aWZpZXIp7ALC7DKx1gj+hTFwNLHWCB1DSVEuU05BUC5JUV9HUk9TU19NQVJHSU4uMjAwMAEAAADzz1oNAgAAAAczMi4zMjUxAQgAAAAFAAAAATEBAAAACjE5NDM4OTM5MzkDAAAAAzE2MAIAAAAENDA3NAQAAAABMAcAAAAJMy8yNS8yMDE5CAAAAAoxMi8zMS8yMDE4CQAAAAEw7ALC7DKx1ggtJMfyMrHWCBZDSVEuU01TTkcuSVFfR1AuQ1kyMDE4BQAAAAAAAAAIAAAAFChJbnZhbGlkIElkZW50aWZpZXIplQ/eaTSx1giW0uJpNLHWCBlDSVEuLklRX1RFVi4zLzI1LzIwMTkuVVNEBQAAAAAAAAAIAAAAFChJ</t>
  </si>
  <si>
    <t>bnZhbGlkIElkZW50aWZpZXIp7ALC7DKx1gj+hTFwNLHWCBNDSVEuQU1aTi5JUV9HUC4yMDAwAQAAAD1JAAACAAAABTkzNzMxAQgAAAAFAAAAATEBAAAACjE5NDM1MDc0NDYDAAAAAzE2MAIAAAACMTAEAAAAATAHAAAACTMvMjUvMjAxOQgAAAAKMTIvMzEvMjAxOAkAAAABMOwCwuwysdYI4jFE7TKx1ggqQ0lRLlNOQVAuSVFfVE9UQUxfUkVWLjIwMDAuMy8yNS8yMDE5Li4uVVNEAQAAAPPPWg0CAAAACDExODAuNDQ2AQgAAAAFAAAAATEBAAAACjE5NDM4OTM5MzkDAAAAAzE2MAIAAAACMjgEAAAAATAHAAAACTMvMjUvMjAxOQgAAAAKMTIvMzEvMjAxOAkAAAABMOwCwuwysdYISYnY8jKx1ggPQ0lRLi5JUV9HUC4yMDAwBQAAAAAAAAAIAAAAFChJbnZhbGlkIElkZW50aWZpZXIp7ALC7DKx1ghmbT/tMrHWCCFDSVEuR09PRy5JUV9SRVZFTlVFLkNZMjAxNy4uLi5VU0QBAAAAqHEAAAIAAAAGMTEwODU1AQgAAAAFAAAAATEBAAAACjE5NDM3NDA4MjcDAAAAAzE2MAIAAAADMTEyBAAAAAEwBwAAAAkzLzI1LzIwMTkIAAAACjEyLzMxLzIwMTcJAAAAATDsAsLsMrHWCJfH6fIysdYIKUNJUS5HT09HLklRX1JFVkVOVUVfRVNUX0NJUS5DWTIwMjAuLi4uVVNEAQAAAKhxAAACAAAADDE5MDA1Ny4yNDM0MwEOAAAABQAAAAIxMQEAAAABMAIAAAAKMTAwMDk3ODUwNwMAAAAGMTAwMTgwBAAAAAEyBgAAAAEwBwAAAAMxNjAI</t>
  </si>
  <si>
    <t>AAAAATAJAAAAATEKAAAAATALAAAACzExMzY2NzAwOTU4DAAAAAE3DQAAAAkzLzI2LzIwMTkQAAAACTMvMjUvMjAxOewCwuwysdYIuNTs8jKx1ggkQ0lRLlNNU05HLklRX01BUktFVENBUC4zLzI1LzIwMTkuVVNEBQAAAAAAAAAIAAAAFChJbnZhbGlkIElkZW50aWZpZXIplQ/eaTSx1gifV0lqNLHWCBpDSVEuLklRX0VCSVREQS4yMDAwLi4uLlVTRAUAAAAAAAAACAAAABQoSW52YWxpZCBJZGVudGlmaWVyKewCwuwysdYIms9B7TKx1ggPQ0lRLlNOQVAuSVFfR1AuAQAAAPPPWg0CAAAABzM4MS41ODEBCAAAAAUAAAABMQEAAAAKMTk0Mzg5MzkzOQMAAAADMTYwAgAAAAIxMAQAAAABMAcAAAAJMy8yNS8yMDE5CAAAAAoxMi8zMS8yMDE4CQAAAAEwCydy3f+w1gjPz+EBM7HWCBpDSVEuSU5URUwuSVFfWUVBUkhJR0guLlVTRAEAAADfMXUAAwAAAAAA4Ma8bjSx1gjO5sNuNLHWCB1DSVEuR09PRy5JUV9UT1RBTF9SRVYuLi4uLlVTRAEAAACocQAAAgAAAAYxMzY4MTkBCAAAAAUAAAABMQEAAAAKMTk0Mzc0MDgzNAMAAAADMTYwAgAAAAIyOAQAAAABMAcAAAAJMy8yNS8yMDE5CAAAAAoxMi8zMS8yMDE4CQAAAAEwn/lhAjOx1ghPh24CM7HWCBVDSVEuR09PRy5JUV9HUC5DWTIwMTcBAAAAqHEAAAIAAAAFNjUyNzIBCAAAAAUAAAABMQEAAAAKMTk0Mzc0MDgyNwMAAAADMTYwAgAAAAIxMAQAAAABMAcAAAAJMy8yNS8y</t>
  </si>
  <si>
    <t>MDE5CAAAAAoxMi8zMS8yMDE3CQAAAAEw7ALC7DKx1giz8ufyMrHWCCFDSVEuQUFQTC5JUV9SRVZFTlVFLkNZMjAxNy4uLi5VU0QBAAAAaWEAAAIAAAAGMjM5MTc2AQgAAAAFAAAAATEBAAAACjE5NDMyNzc5NTgDAAAAAzE2MAIAAAADMTEyBAAAAAEwBwAAAAkzLzI1LzIwMTkIAAAACjEyLzMwLzIwMTcJAAAAATDsAsLsMrHWCEZ56fIysdYIIUNJUS5JTlRFTC5JUV9FQklUREEuQ1kyMDE3Li4uLlVTRAEAAADfMXUAAwAAAAAArEFWbjSx1ggyxV9uNLHWCBNDSVEuU05BUC5JUV9HUC4yMDAwAQAAAPPPWg0CAAAABzM4MS41ODEBCAAAAAUAAAABMQEAAAAKMTk0Mzg5MzkzOQMAAAADMTYwAgAAAAIxMAQAAAABMAcAAAAJMy8yNS8yMDE5CAAAAAoxMi8zMS8yMDE4CQAAAAEw7ALC7DKx1gjzsMbyMrHWCCBDSVEuSU5URUwuSVFfR1JPU1NfTUFSR0lOLkNZMjAxNwEAAADfMXUAAwAAAAAArEFWbjSx1ggyxV9uNLHWCBVDSVEuR09PRy5JUV9HUC5DWTIwMTgBAAAAqHEAAAIAAAAFNzcyNzABCAAAAAUAAAABMQEAAAAKMTk0Mzc0MDgzNAMAAAADMTYwAgAAAAIxMAQAAAABMAcAAAAJMy8yNS8yMDE5CAAAAAoxMi8zMS8yMDE4CQAAAAEw7ALC7DKx1gip3fHyMrHWCCFDSVEuRkIuSVFfUkVWRU5VRV9FU1RfQ0lRLi4uLi5VU0QBAAAAF9s8AQIAAAALNjg5NDAuMjE0NzYBDgAAAAUAAAACMTEBAAAAATACAAAACjEwMDE1</t>
  </si>
  <si>
    <t>MzMxNDEDAAAABjEwMDE4MAQAAAABMgYAAAABMAcAAAADMTYwCAAAAAEwCQAAAAExCgAAAAEwCwAAAAsxMTM2NjcxNTI1MQwAAAACMTINAAAACTMvMjYvMjAxORAAAAAJMy8yNS8yMDE5Cydy3f+w1ggpHd3yMrHWCCBDSVEuSU5URUwuSVFfR1JPU1NfTUFSR0lOLkNZMjAxOAEAAADfMXUAAwAAAAAArEFWbjSx1ggyxV9uNLHWCBxDSVEuU01TTkcuSVFfUkVWRU5VRS4uLi4uVVNEBQAAAAAAAAAIAAAAFChJbnZhbGlkIElkZW50aWZpZXIpMTJCajSx1gifV0lqNLHWCBtDSVEuR09PRy5JUV9SRVZFTlVFLi4uLi5VU0QBAAAAqHEAAAIAAAAGMTM2ODE5AQgAAAAFAAAAATEBAAAACjE5NDM3NDA4MzQDAAAAAzE2MAIAAAADMTEyBAAAAAEwBwAAAAkzLzI1LzIwMTkIAAAACjEyLzMxLzIwMTgJAAAAATALJ3Ld/7DWCEAD4PIysdYIIUNJUS5BQVBMLklRX1RPVEFMX1JFVi4yMDAwLi4uLlVTRAEAAABpYQAAAgAAAAYyNjE2MTIBCAAAAAUAAAABMQEAAAAKMTk0MzI3Nzk2MgMAAAADMTYwAgAAAAIyOAQAAAABMAcAAAAJMy8yNS8yMDE5CAAAAAoxMi8yOS8yMDE4CQAAAAEwF3CJ3v+w1giaz0HtMrHWCB5DSVEuQU1aTi5JUV9FQklUREEuMjAwMC4uLi5VU0QBAAAAPUkAAAIAAAAFMjc3NjIBCAAAAAUAAAABMQEAAAAKMTk0MzUwNzQ0NgMAAAADMTYwAgAAAAQ0MDUxBAAAAAEwBwAAAAkzLzI1LzIwMTkIAAAACjEyLzMx</t>
  </si>
  <si>
    <t>LzIwMTgJAAAAATDsAsLsMrHWCLPrxfIysdYIHUNJUS5XTVQuSVFfRUJJVERBLjIwMDAuLi4uVVNEAQAAAN/GBAACAAAABTMyNjM1AQgAAAAFAAAAATEBAAAACjE5NDU3OTIxNjcDAAAAAzE2MAIAAAAENDA1MQQAAAABMAcAAAAJMy8yNS8yMDE5CAAAAAkxLzMxLzIwMTkJAAAAATDsAsLsMrHWCJLjyfIysdYIKUNJUS5BQVBMLklRX1JFVkVOVUVfRVNUX0NJUS5DWTIwMTkuLi4uVVNEAQAAAGlhAAACAAAACzI1NjYzOC40MTkxAQ4AAAAFAAAAAjExAQAAAAEwAgAAAAgxMTIwNjc5NQMAAAAGMTAwMTgwBAAAAAEyBgAAAAEwBwAAAAMxNjAIAAAAATAJAAAAATEKAAAAATALAAAACzExMzY3MDQ1MDQxDAAAAAE3DQAAAAkzLzI2LzIwMTkQAAAACTMvMjUvMjAxOewCwuwysdYI+G3v8jKx1ggmQ0lRLlNOQVAuSVFfVE9UQUxfUkVWLi4zLzI1LzIwMTkuLi5VU0QBAAAA889aDQIAAAAIMTE4MC40NDYBCAAAAAUAAAABMQEAAAAKMTk0Mzg5MzkzOQMAAAADMTYwAgAAAAIyOAQAAAABMAcAAAAJMy8yNS8yMDE5CAAAAAoxMi8zMS8yMDE4CQAAAAEwu2/+ATOx1ggCNXACM7HWCClDSVEuQU1aTi5JUV9SRVZFTlVFX0VTVF9DSVEuQ1kyMDIwLi4uLlVTRAEAAAA9SQAAAgAAAAwzMjQ5MzQuOTIyNjYBDgAAAAUAAAACMTEBAAAAATACAAAACjEwMDAwOTMxMTYDAAAABjEwMDE4MAQAAAABMgYAAAABMAcAAAADMTYwCAAAAAEw</t>
  </si>
  <si>
    <t>CQAAAAExCgAAAAEwCwAAAAsxMTM2NjY4MTk2MAwAAAABNw0AAAAJMy8yNi8yMDE5EAAAAAkzLzI1LzIwMTnsAsLsMrHWCJX77PIysdYIJENJUS5GQi5JUV9UT1RBTF9SRVYuLjMvMjUvMjAxOS4uLlVTRAEAAAAX2zwBAgAAAAU1NTgzOAEIAAAABQAAAAExAQAAAAoxOTQzNDE4MjMyAwAAAAMxNjACAAAAAjI4BAAAAAEwBwAAAAkzLzI1LzIwMTkIAAAACjEyLzMxLzIwMTgJAAAAATC7b/4BM7HWCPC/bwIzsdYIJENJUS5JTlRFTC5JUV9NQVJLRVRDQVAuMy8yNS8yMDE5LlVTRAEAAADfMXUAAwAAAAAArEFWbjSx1gjO5sNuNLHWCBlDSVEuSU5URUwuSVFfQ09NUEFOWV9OQU1FAQAAAN8xdQADAAAAFEludGVsc2F0IENvcnBvcmF0aW9uAKxBVm40sdYInmFdbjSx1ggqQ0lRLkdPT0cuSVFfVE9UQUxfUkVWLjIwMDAuMy8yNS8yMDE5Li4uVVNEAQAAAKhxAAACAAAABjEzNjgxOQEIAAAABQAAAAExAQAAAAoxOTQzNzQwODM0AwAAAAMxNjACAAAAAjI4BAAAAAEwBwAAAAkzLzI1LzIwMTkIAAAACjEyLzMxLzIwMTgJAAAAATDsAsLsMrHWCOh31/IysdYIGUNJUS5BQVBMLklRX1lFQVJISUdILi5VU0QBAAAAaWEAAAIAAAAGMjMzLjQ3ABdwid7/sNYI4jFE7TKx1ggWQ0lRLlNNU05HLklRX0dQLkNZMjAxNwUAAAAAAAAACAAAABQoSW52YWxpZCBJZGVudGlmaWVyKZUP3mk0sdYIltLiaTSx1ggfQ0lRLldNVC5JUV9F</t>
  </si>
  <si>
    <t>QklUREEuQ1kyMDE4Li4uLlVTRAEAAADfxgQAAgAAAAUzMjYzNQEIAAAABQAAAAExAQAAAAoxOTQ1NzkyMTY3AwAAAAMxNjACAAAABDQwNTEEAAAAATAHAAAACTMvMjUvMjAxOQgAAAAJMS8zMS8yMDE5CQAAAAEw7ALC7DKx1giilRljNLHWCBtDSVEuRkIuSVFfVE9UQUxfUkVWLi4uLi5VU0QBAAAAF9s8AQIAAAAFNTU4MzgBCAAAAAUAAAABMQEAAAAKMTk0MzQxODIzMgMAAAADMTYwAgAAAAIyOAQAAAABMAcAAAAJMy8yNS8yMDE5CAAAAAoxMi8zMS8yMDE4CQAAAAEwn/lhAjOx1ghPh24CM7HWCBBDSVEuLklRX1RFVi4uVVNEBQAAAAAAAAAIAAAAFChJbnZhbGlkIElkZW50aWZpZXIpF3CJ3v+w1giaz0HtMrHWCBVDSVEuQU1aTi5JUV9HUC5DWTIwMTgBAAAAPUkAAAIAAAAFOTM3MzEBCAAAAAUAAAABMQEAAAAKMTk0MzUwNzQ0NgMAAAADMTYwAgAAAAIxMAQAAAABMAcAAAAJMy8yNS8yMDE5CAAAAAoxMi8zMS8yMDE4CQAAAAEw7ALC7DKx1gip3fHyMrHWCCBDSVEuQUFQTC5JUV9FQklUREEuQ1kyMDE3Li4uLlVTRAEAAABpYQAAAgAAAAU3NDE3NAEIAAAABQAAAAExAQAAAAoxOTQzMjc3OTU4AwAAAAMxNjACAAAABDQwNTEEAAAAATAHAAAACTMvMjUvMjAxOQgAAAAKMTIvMzAvMjAxNwkAAAABMOwCwuwysdYIFE7r8jKx1ggkQ0lRLi5JUV9FQklUREFfRVNUX0NJUS5DWTIwMTkuLi4uVVNEBQAAAAAAAAAI</t>
  </si>
  <si>
    <t>AAAAFChJbnZhbGlkIElkZW50aWZpZXIp7ALC7DKx1gj+hTFwNLHWCBpDSVEuSU5URUwuSVFfR1JPU1NfTUFSR0lOLgEAAADfMXUAAgAAAAc3NC45NzU0AQgAAAAFAAAAATEBAAAACjE0MDk5MTc2MzIDAAAAAzE2MAIAAAAENDA3NAQAAAABMAcAAAAJMy8yNS8yMDE5CAAAAAk5LzMwLzIwMTAJAAAAATCsQVZuNLHWCJ5hXW40sdYIIENJUS5XTVQuSVFfVE9UQUxfUkVWLjIwMDAuLi4uVVNEAQAAAN/GBAACAAAABjUxNDQwNQEIAAAABQAAAAExAQAAAAoxOTQ1NzkyMTY3AwAAAAMxNjACAAAAAjI4BAAAAAEwBwAAAAkzLzI1LzIwMTkIAAAACTEvMzEvMjAxOQkAAAABMBdwid7/sNYIqX/K8jKx1ggZQ0lRLldNVC5JUV9FQklUREEuLi4uLlVTRAEAAADfxgQAAgAAAAUzMjYzNQEIAAAABQAAAAExAQAAAAoxOTQ1NzkyMTY3AwAAAAMxNjACAAAABDQwNTEEAAAAATAHAAAACTMvMjUvMjAxOQgAAAAJMS8zMS8yMDE5CQAAAAEwCydy3f+w1giilRljNLHWCB9DSVEuLklRX01BUktFVENBUC4zLzI1LzIwMTkuVVNEBQAAAAAAAAAIAAAAFChJbnZhbGlkIElkZW50aWZpZXIp7ALC7DKx1gj+hTFwNLHWCB1DSVEuQU1aTi5JUV9UT1RBTF9SRVYuLi4uLlVTRAEAAAA9SQAAAgAAAAYyMzI4ODcBCAAAAAUAAAABMQEAAAAKMTk0MzUwNzQ0NgMAAAADMTYwAgAAAAIyOAQAAAABMAcAAAAJMy8yNS8yMDE5CAAAAAoxMi8zMS8y</t>
  </si>
  <si>
    <t>MDE4CQAAAAEwZyFiAjOx1giZ1W4CM7HWCCBDSVEuR09PRy5JUV9FQklUREEuQ1kyMDE3Li4uLlVTRAEAAACocQAAAgAAAAUzNTc4MQEIAAAABQAAAAExAQAAAAoxOTQzNzQwODI3AwAAAAMxNjACAAAABDQwNTEEAAAAATAHAAAACTMvMjUvMjAxOQgAAAAKMTIvMzEvMjAxNwkAAAABMOwCwuwysdYIE3Xr8jKx1gggQ0lRLkFNWk4uSVFfRUJJVERBLkNZMjAxOC4uLi5VU0QBAAAAPUkAAAIAAAAFMjc3NjIBCAAAAAUAAAABMQEAAAAKMTk0MzUwNzQ0NgMAAAADMTYwAgAAAAQ0MDUxBAAAAAEwBwAAAAkzLzI1LzIwMTkIAAAACjEyLzMxLzIwMTgJAAAAATDsAsLsMrHWCOMU4fIysdYIHUNJUS5XTVQuSVFfTEFTVFNBTEVQUklDRS4uVVNEAQAAAN/GBAACAAAABjk4LjQyOQAXcIne/7DWCEf2yvIysdYIHUNJUS5BQVBMLklRX1RFVi4zLzI1LzIwMTkuVVNEAQAAAGlhAAACAAAACzkxODI2NC45NDcyAQYAAAAFAAAAATEBAAAACjE5NDMyNzY0MDQDAAAAAzE2MAIAAAAGMTAwMDYwBAAAAAEwBwAAAAkzLzI1LzIwMTnsAsLsMrHWCHYl2fIysdYIIENJUS5BQVBMLklRX0VCSVREQS5DWTIwMTguLi4uVVNEAQAAAGlhAAACAAAABTc5NTIzAQgAAAAFAAAAATEBAAAACjE5NDMyNzc5NjIDAAAAAzE2MAIAAAAENDA1MQQAAAABMAcAAAAJMy8yNS8yMDE5CAAAAAoxMi8yOS8yMDE4CQAAAAEw7ALC7DKx1gjjFOHyMrHWCChD</t>
  </si>
  <si>
    <t>SVEuR09PRy5JUV9FQklUREFfRVNUX0NJUS5DWTIwMTkuLi4uVVNEAQAAAKhxAAACAAAACzU5MjQyLjY4MzY1AQ4AAAAFAAAAAjExAQAAAAEwAgAAAAoxMDAwMTA5Njk1AwAAAAYxMDAxODcEAAAAATIGAAAAATAHAAAAAzE2MAgAAAABMAkAAAABMQoAAAABMAsAAAALMTEzNjY3MDEyODIMAAAAATcNAAAACTMvMjYvMjAxORAAAAAJMy8yNS8yMDE57ALC7DKx1ggwNO7yMrHWCBVDSVEuU01TTkcuSVFfVEVWLi5VU0QFAAAAAAAAAAgAAAAUKEludmFsaWQgSWRlbnRpZmllcikxMkJqNLHWCJ9XSWo0sdYIKENJUS5TTkFQLklRX0VCSVREQV9FU1RfQ0lRLkNZMjAyMC4uLi5VU0QBAAAA889aDQIAAAAJLTY5LjQ2MDg1AQ4AAAAFAAAAAjExAQAAAAEwAgAAAAoxMDAzNjMxNDgzAwAAAAYxMDAxODcEAAAAATIGAAAAATAHAAAAAzE2MAgAAAABMAkAAAABMQoAAAABMAsAAAALMTEzNTQ5MjgyMzYMAAAAATcNAAAACTMvMjYvMjAxORAAAAAJMy8yNS8yMDE57ALC7DKx1gi1m+LyMrHWCCZDSVEuRkIuSVFfRUJJVERBX0VTVF9DSVEuQ1kyMDIwLi4uLlVTRAEAAAAX2zwBAgAAAAs0NDM1OS43MDcwOQEOAAAABQAAAAIxMQEAAAABMAIAAAAKMTAwMTUzMzE0MgMAAAAGMTAwMTg3BAAAAAEyBgAAAAEwBwAAAAMxNjAIAAAAATAJAAAAATEKAAAAATALAAAACzExMzY2NzEzOTU4DAAAAAE3DQAAAAkzLzI2LzIwMTkQAAAACTMv</t>
  </si>
  <si>
    <t>MjUvMjAxOewCwuwysdYIcXTi8jKx1ggaQ0lRLkFBUEwuSVFfTUFSS0VUQ0FQLi5VU0QBAAAAaWEAAAIAAAAKOTAwODU0LjI0NAEGAAAABQAAAAExAQAAAAoxOTQzMjc2NDA0AwAAAAMxNjACAAAABjEwMDA1NAQAAAABMAcAAAAJMy8yMi8yMDE5F3CJ3v+w1gjiMUTtMrHWCCRDSVEuU01TTkcuSVFfUkVWRU5VRV9FU1RfQ0lRLi4uLi5VU0QFAAAAAAAAAAgAAAAUKEludmFsaWQgSWRlbnRpZmllcikxMkJqNLHWCJ9XSWo0sdYIH0NJUS5TTVNORy5JUV9MQVNUU0FMRVBSSUNFLi5VU0QFAAAAAAAAAAgAAAAUKEludmFsaWQgSWRlbnRpZmllcikxMkJqNLHWCJ9XSWo0sdYIIkNJUS5HT09HLklRX1lFQVJISUdILjMvMjUvMjAxOS5VU0QBAAAAqHEAAAIAAAAHMTI3My44OQDsAsLsMrHWCOhQ1/IysdYIKENJUS5GQi5JUV9UT1RBTF9SRVYuMjAwMC4zLzI1LzIwMTkuLi5VU0QBAAAAF9s8AQIAAAAFNTU4MzgBCAAAAAUAAAABMQEAAAAKMTk0MzQxODIzMgMAAAADMTYwAgAAAAIyOAQAAAABMAcAAAAJMy8yNS8yMDE5CAAAAAoxMi8zMS8yMDE4CQAAAAEw7ALC7DKx1gjOAtfyMrHWCCNDSVEuSU5URUwuSVFfWUVBUkhJR0guMy8yNS8yMDE5LlVTRAEAAADfMXUAAwAAAAAArEFWbjSx1gjO5sNuNLHWCB1DSVEuLklRX1JFVkVOVUUuQ1kyMDE3Li4uLlVTRAUAAAAAAAAACAAAABQoSW52YWxpZCBJZGVudGlmaWVyKewC</t>
  </si>
  <si>
    <t>wuwysdYI/oUxcDSx1ggeQ0lRLkdPT0cuSVFfRUJJVERBLjIwMDAuLi4uVVNEAQAAAKhxAAACAAAABTQwNDIxAQgAAAAFAAAAATEBAAAACjE5NDM3NDA4MzQDAAAAAzE2MAIAAAAENDA1MQQAAAABMAcAAAAJMy8yNS8yMDE5CAAAAAoxMi8zMS8yMDE4CQAAAAEw7ALC7DKx1ggIkcvyMrHWCChDSVEuQUFQTC5JUV9FQklUREFfRVNUX0NJUS5DWTIwMjAuLi4uVVNEAQAAAGlhAAACAAAACjgwNzczLjMxNTkBDgAAAAUAAAACMTEBAAAAATACAAAACDMxOTQ3Nzc1AwAAAAYxMDAxODcEAAAAATIGAAAAATAHAAAAAzE2MAgAAAABMAkAAAABMQoAAAABMAsAAAALMTEzNjUxMjQyODIMAAAAATcNAAAACTMvMjYvMjAxORAAAAAJMy8yNS8yMDE57ALC7DKx1gjMwuLyMrHWCChDSVEuSU5URUwuSVFfTEFTVFNBTEVQUklDRS4zLzI1LzIwMTkuVVNEAQAAAN8xdQADAAAAAACsQVZuNLHWCM7mw240sdYID0NJUS5HT09HLklRX0dQLgEAAACocQAAAgAAAAU3NzI3MAEIAAAABQAAAAExAQAAAAoxOTQzNzQwODM0AwAAAAMxNjACAAAAAjEwBAAAAAEwBwAAAAkzLzI1LzIwMTkIAAAACjEyLzMxLzIwMTgJAAAAATALJ3Ld/7DWCM/P4QEzsdYIFUNJUS5BTVpOLklRX0dQLkNZMjAxNwEAAAA9SQAAAgAAAAU2NTkzMgEIAAAABQAAAAExAQAAAAoxOTQzNTA3NDQyAwAAAAMxNjACAAAAAjEwBAAAAAEwBwAAAAkzLzI1LzIwMTkIAAAA</t>
  </si>
  <si>
    <t>CjEyLzMxLzIwMTcJAAAAATDsAsLsMrHWCK/L5/IysdYIGkNJUS5TTkFQLklRX0VCSVREQS4uLi4uVVNEAQAAAPPPWg0CAAAACS0xMTQ1LjY1OQEIAAAABQAAAAExAQAAAAoxOTQzODkzOTM5AwAAAAMxNjACAAAABDQwNTEEAAAAATAHAAAACTMvMjUvMjAxOQgAAAAKMTIvMzEvMjAxOAkAAAABMAsnct3/sNYIz8/hATOx1ggnQ0lRLlNNU05HLklRX1RPVEFMX1JFVi4uMy8yNS8yMDE5Li4uVVNEBQAAAAAAAAAIAAAAFChJbnZhbGlkIElkZW50aWZpZXIplQ/eaTSx1gifV0lqNLHWCBRDSVEuR09PRy5JUV9URVYuLlVTRAEAAACocQAAAgAAAA03MzM2NjIuODc0NzMxAQYAAAAFAAAAATEBAAAACjE5NDM3NDA4MzIDAAAAAzE2MAIAAAAGMTAwMDYwBAAAAAEwBwAAAAkzLzIyLzIwMTkXcIne/7DWCOHgy/IysdYIJUNJUS5XTVQuSVFfVE9UQUxfUkVWLi4zLzI1LzIwMTkuLi5VU0QBAAAA38YEAAIAAAAGNTE0NDA1AQgAAAAFAAAAATEBAAAACjE5NDU3OTIxNjcDAAAAAzE2MAIAAAACMjgEAAAAATAHAAAACTMvMjUvMjAxOQgAAAAJMS8zMS8yMDE5CQAAAAEwu2/+ATOx1gjZORdjNLHWCChDSVEuV01ULklRX1JFVkVOVUVfRVNUX0NJUS5DWTIwMjAuLi4uVVNEAQAAAN/GBAACAAAADDU0MjYwMy43OTYzMwEOAAAABQAAAAIxMQEAAAABMAIAAAAKMTAwMTgxODU5MwMAAAAGMTAwMTgwBAAAAAEyBgAAAAEwBwAAAAMx</t>
  </si>
  <si>
    <t>NjAIAAAAATAJAAAAATEKAAAAATALAAAACzExMzYxMDE3ODMwDAAAAAE3DQAAAAkzLzI2LzIwMTkQAAAACTMvMjUvMjAxOewCwuwysdYIopUZYzSx1ggnQ0lRLkFBUEwuSVFfTEFTVFNBTEVQUklDRS4zLzI1LzIwMTkuVVNEAQAAAGlhAAACAAAABjE4OC43NADsAsLsMrHWCGj+2PIysdYIEkNJUS5GQi5JUV9URVYuLlVTRAEAAAAX2zwBAgAAAA00Mjg0MTAuNjgzNzMyAQYAAAAFAAAAATEBAAAACjE5NDM0MTgyMzcDAAAAAzE2MAIAAAAGMTAwMDYwBAAAAAEwBwAAAAkzLzIyLzIwMTkXcIne/7DWCD1QzvIysdYIH0NJUS5BQVBMLklRX0dST1NTX01BUkdJTi5DWTIwMTgBAAAAaWEAAAIAAAAHMzguMjA4NAEIAAAABQAAAAExAQAAAAoxOTQzMjc3OTYyAwAAAAMxNjACAAAABDQwNzQEAAAAATAHAAAACTMvMjUvMjAxOQgAAAAKMTIvMjkvMjAxOAkAAAABMOwCwuwysdYI06Xw8jKx1ggoQ0lRLkFNWk4uSVFfRUJJVERBX0VTVF9DSVEuQ1kyMDIwLi4uLlVTRAEAAAA9SQAAAgAAAAs1NDQ0My4xMjE4NgEOAAAABQAAAAIxMQEAAAABMAIAAAAKMTAwMDA5MzExNgMAAAAGMTAwMTg3BAAAAAEyBgAAAAEwBwAAAAMxNjAIAAAAATAJAAAAATEKAAAAATALAAAACzExMzY2NjgxOTU0DAAAAAE3DQAAAAkzLzI2LzIwMTkQAAAACTMvMjUvMjAxOewCwuwysdYItZvi8jKx1ggfQ0lRLlNOQVAuSVFfR1JPU1NfTUFSR0lOLkNZ</t>
  </si>
  <si>
    <t>MjAxOAEAAADzz1oNAgAAAAczMi4zMjUxAQgAAAAFAAAAATEBAAAACjE5NDM4OTM5MzkDAAAAAzE2MAIAAAAENDA3NAQAAAABMAcAAAAJMy8yNS8yMDE5CAAAAAoxMi8zMS8yMDE4CQAAAAEw7ALC7DKx1ghq8/DyMrHWCBxDSVEuLklRX0VCSVREQS5DWTIwMTguLi4uVVNEBQAAAAAAAAAIAAAAFChJbnZhbGlkIElkZW50aWZpZXIp7ALC7DKx1gj+hTFwNLHWCCdDSVEuQU1aTi5JUV9MQVNUU0FMRVBSSUNFLjMvMjUvMjAxOS5VU0QBAAAAPUkAAAIAAAAHMTc3NC4yNgDsAsLsMrHWCG/X2PIysdYIE0NJUS5HT09HLklRX0dQLjIwMDABAAAAqHEAAAIAAAAFNzcyNzABCAAAAAUAAAABMQEAAAAKMTk0Mzc0MDgzNAMAAAADMTYwAgAAAAIxMAQAAAABMAcAAAAJMy8yNS8yMDE5CAAAAAoxMi8zMS8yMDE4CQAAAAEw7ALC7DKx1gjoacvyMrHWCB1DSVEuR09PRy5JUV9URVYuMy8yNS8yMDE5LlVTRAEAAACocQAAAgAAAA03MjU3NDQuMzkwNzM4AQYAAAAFAAAAATEBAAAACjE5NDM3NDA4MzIDAAAAAzE2MAIAAAAGMTAwMDYwBAAAAAEwBwAAAAkzLzI1LzIwMTnsAsLsMrHWCOh31/IysdYIGkNJUS5HT09HLklRX01BUktFVENBUC4uVVNEAQAAAKhxAAACAAAADTgzODc5MC44NzQ3MzEBBgAAAAUAAAABMQEAAAAKMTk0Mzc0MDgzMgMAAAADMTYwAgAAAAYxMDAwNTQEAAAAATAHAAAACTMvMjIvMjAxORdwid7/sNYI23zM</t>
  </si>
  <si>
    <t>8jKx1ggbQ0lRLkFBUEwuSVFfUkVWRU5VRS4uLi4uVVNEAQAAAGlhAAACAAAABjI2MTYxMgEIAAAABQAAAAExAQAAAAoxOTQzMjc3OTYyAwAAAAMxNjACAAAAAzExMgQAAAABMAcAAAAJMy8yNS8yMDE5CAAAAAoxMi8yOS8yMDE4CQAAAAEwCydy3f+w1ghuUeDyMrHWCCZDSVEuLklRX1RPVEFMX1JFVi4yMDAwLjMvMjUvMjAxOS4uLlVTRAUAAAAAAAAACAAAABQoSW52YWxpZCBJZGVudGlmaWVyKewCwuwysdYIuJrZ8jKx1gggQ0lRLlNOQVAuSVFfRUJJVERBLkNZMjAxOC4uLi5VU0QBAAAA889aDQIAAAAJLTExNDUuNjU5AQgAAAAFAAAAATEBAAAACjE5NDM4OTM5MzkDAAAAAzE2MAIAAAAENDA1MQQAAAABMAcAAAAJMy8yNS8yMDE5CAAAAAoxMi8zMS8yMDE4CQAAAAEw7ALC7DKx1gjG7eDyMrHWCB9DSVEuSU5URUwuSVFfTEFTVFNBTEVQUklDRS4uVVNEAQAAAN8xdQADAAAAAADgxrxuNLHWCM7mw240sdYIFENJUS5BTVpOLklRX1RFVi4uVVNEAQAAAD1JAAACAAAADTg3NDg5OS4xMjQxODUBBgAAAAUAAAABMQEAAAAKMTk0MzUwNzQ0NAMAAAADMTYwAgAAAAYxMDAwNjAEAAAAATAHAAAACTMvMjIvMjAxORdwid7/sNYIT2HG8jKx1ggZQ0lRLi5JUV9UT1RBTF9SRVYuLi4uLlVTRAUAAAAAAAAACAAAABQoSW52YWxpZCBJZGVudGlmaWVyKZ/5YQIzsdYImSNvAjOx1ggYQ0lRLkdPT0cuSVFfQ09NUEFOWV9O</t>
  </si>
  <si>
    <t>QU1FAQAAAKhxAAADAAAADUFscGhhYmV0IEluYy4A7ALC7DKx1gjJVczyMrHWCBZDSVEuLklRX0VCSVREQS4uLi4uVVNEBQAAAAAAAAAIAAAAFChJbnZhbGlkIElkZW50aWZpZXIpCydy3f+w1gj+hTFwNLHWCBNDSVEuRkIuSVFfR1AuQ1kyMDE4AQAAABfbPAECAAAABTQ2NDgzAQgAAAAFAAAAATEBAAAACjE5NDM0MTgyMzIDAAAAAzE2MAIAAAACMTAEAAAAATAHAAAACTMvMjUvMjAxOQgAAAAKMTIvMzEvMjAxOAkAAAABMOwCwuwysdYIqd3x8jKx1gghQ0lRLkFNWk4uSVFfVE9UQUxfUkVWLjIwMDAuLi4uVVNEAQAAAD1JAAACAAAABjIzMjg4NwEIAAAABQAAAAExAQAAAAoxOTQzNTA3NDQ2AwAAAAMxNjACAAAAAjI4BAAAAAEwBwAAAAkzLzI1LzIwMTkIAAAACjEyLzMxLzIwMTgJAAAAATAXcIne/7DWCJidxfIysdYIJENJUS4uSVFfRUJJVERBX0VTVF9DSVEuQ1kyMDIwLi4uLlVTRAUAAAAAAAAACAAAABQoSW52YWxpZCBJZGVudGlmaWVyKewCwuwysdYI/oUxcDSx1ggUQ0lRLldNVC5JUV9HUC5DWTIwMTgBAAAA38YEAAIAAAAGMTI5MTA0AQgAAAAFAAAAATEBAAAACjE5NDU3OTIxNjcDAAAAAzE2MAIAAAACMTAEAAAAATAHAAAACTMvMjUvMjAxOQgAAAAJMS8zMS8yMDE5CQAAAAEw7ALC7DKx1giilRljNLHWCCpDSVEuSU5URUwuSVFfUkVWRU5VRV9FU1RfQ0lRLkNZMjAyMC4uLi5VU0QBAAAA3zF1AAMA</t>
  </si>
  <si>
    <t>AAAAAKxBVm40sdYIzubDbjSx1ggiQ0lRLklOVEVMLklRX1JFVkVOVUUuQ1kyMDE3Li4uLlVTRAEAAADfMXUAAwAAAAAArEFWbjSx1gjO5sNuNLHWCCpDSVEuU01TTkcuSVFfUkVWRU5VRV9FU1RfQ0lRLkNZMjAyMC4uLi5VU0QFAAAAAAAAAAgAAAAUKEludmFsaWQgSWRlbnRpZmllcimVD95pNLHWCJ9XSWo0sdYIGUNJUS5HT09HLklRX0dST1NTX01BUkdJTi4BAAAAqHEAAAIAAAAGNTYuNDc2AQgAAAAFAAAAATEBAAAACjE5NDM3NDA4MzQDAAAAAzE2MAIAAAAENDA3NAQAAAABMAcAAAAJMy8yNS8yMDE5CAAAAAoxMi8zMS8yMDE4CQAAAAEwCydy3f+w1gjPz+EBM7HWCB1DSVEuLklRX1RPVEFMX1JFVi4yMDAwLi4uLlVTRAUAAAAAAAAACAAAABQoSW52YWxpZCBJZGVudGlmaWVyKRdwid7/sNYIms9B7TKx1ggfQ0lRLkFBUEwuSVFfR1JPU1NfTUFSR0lOLkNZMjAxNwEAAABpYQAAAgAAAAczOC40MzI3AQgAAAAFAAAAATEBAAAACjE5NDMyNzc5NTgDAAAAAzE2MAIAAAAENDA3NAQAAAABMAcAAAAJMy8yNS8yMDE5CAAAAAoxMi8zMC8yMDE3CQAAAAEw7ALC7DKx1gjxp9zyMrHWCCJDSVEuQUFQTC5JUV9FQklUREFfRVNUX0NJUS4uLi4uVVNEAQAAAGlhAAACAAAACjc0ODIzLjUxMTUBDgAAAAUAAAACMTEBAAAAATACAAAABzgwNzYyNzkDAAAABjEwMDE4NwQAAAABMgYAAAABMAcAAAADMTYwCAAAAAEwCQAA</t>
  </si>
  <si>
    <t>AAExCgAAAAEwCwAAAAsxMTM2NTEyNDI3MAwAAAACMTINAAAACTMvMjYvMjAxORAAAAAJMy8yNS8yMDE5Cydy3f+w1ggF2OHyMrHWCBdDSVEuV01ULklRX0NPTVBBTllfTkFNRQEAAADfxgQAAwAAAAxXYWxtYXJ0IEluYy4A7ALC7DKx1gjZORdjNLHWCB5DSVEuU01TTkcuSVFfVE9UQUxfUkVWLi4uLi5VU0QFAAAAAAAAAAgAAAAUKEludmFsaWQgSWRlbnRpZmllcikxMkJqNLHWCJ9XSWo0sdYIC0NJUS4uSVFfR1AuBQAAAAAAAAAIAAAAFChJbnZhbGlkIElkZW50aWZpZXIpCydy3f+w1gj+hTFwNLHWCBtDSVEuLklRX0dST1NTX01BUkdJTi5DWTIwMTgFAAAAAAAAAAgAAAAUKEludmFsaWQgSWRlbnRpZmllcinsAsLsMrHWCP6FMXA0sdYIGUNJUS5XTVQuSVFfTUFSS0VUQ0FQLi5VU0QBAAAA38YEAAIAAAANMjg1NTI4Ljk1ODU5OQEGAAAABQAAAAExAQAAAAoxOTQ1ODUxNDc3AwAAAAMxNjACAAAABjEwMDA1NAQAAAABMAcAAAAJMy8yMi8yMDE5F3CJ3v+w1ggrM8ryMrHWCChDSVEuQU1aTi5JUV9FQklUREFfRVNUX0NJUS5DWTIwMTkuLi4uVVNEAQAAAD1JAAACAAAACzQyMTc4Ljc1NDgzAQ4AAAAFAAAAAjExAQAAAAEwAgAAAAoxMDAwMDkzMTE1AwAAAAYxMDAxODcEAAAAATIGAAAAATAHAAAAAzE2MAgAAAABMAkAAAABMQoAAAABMAsAAAALMTEzNjY2ODE5OTAMAAAAATcNAAAACTMvMjYvMjAxORAAAAAJ</t>
  </si>
  <si>
    <t>My8yNS8yMDE57ALC7DKx1gg7De7yMrHWCB9DSVEuV01ULklRX0VCSVREQS5DWTIwMTcuLi4uVVNEAQAAAN/GBAACAAAABTMyNzc4AQgAAAAFAAAAATEBAAAACjE4ODA3MTk3NDYDAAAAAzE2MAIAAAAENDA1MQQAAAABMAcAAAAJMy8yNS8yMDE5CAAAAAkxLzMxLzIwMTgJAAAAATDsAsLsMrHWCKKVGWM0sdYIKUNJUS5TTkFQLklRX1JFVkVOVUVfRVNUX0NJUS5DWTIwMjAuLi4uVVNEAQAAAPPPWg0CAAAACjE5OTcuMDQ3NzMBDgAAAAUAAAACMTEBAAAAATACAAAACjEwMDM2MzE0ODMDAAAABjEwMDE4MAQAAAABMgYAAAABMAcAAAADMTYwCAAAAAEwCQAAAAExCgAAAAEwCwAAAAsxMTM1NDkyOTU1NgwAAAABNw0AAAAJMy8yNi8yMDE5EAAAAAkzLzI1LzIwMTnsAsLsMrHWCJX77PIysdYIHUNJUS5GQi5JUV9HUk9TU19NQVJHSU4uQ1kyMDE4AQAAABfbPAECAAAABzgzLjI0NjEBCAAAAAUAAAABMQEAAAAKMTk0MzQxODIzMgMAAAADMTYwAgAAAAQ0MDc0BAAAAAEwBwAAAAkzLzI1LzIwMTkIAAAACjEyLzMxLzIwMTgJAAAAATDsAsLsMrHWCGPM8PIysdYIIENJUS5XTVQuSVFfUkVWRU5VRS5DWTIwMTcuLi4uVVNEAQAAAN/GBAACAAAABjUwMDM0MwEIAAAABQAAAAExAQAAAAoxODgwNzE5NzQ2AwAAAAMxNjACAAAAAzExMgQAAAABMAcAAAAJMy8yNS8yMDE5CAAAAAkxLzMxLzIwMTgJAAAAATDsAsLsMrHWCKKV</t>
  </si>
  <si>
    <t>GWM0sdYIHkNJUS4uSVFfRUJJVERBX0VTVF9DSVEuLi4uLlVTRAUAAAAAAAAACAAAABQoSW52YWxpZCBJZGVudGlmaWVyKQsnct3/sNYIJv/h8jKx1ggqQ0lRLkFNWk4uSVFfVE9UQUxfUkVWLjIwMDAuMy8yNS8yMDE5Li4uVVNEAQAAAD1JAAACAAAABjIzMjg4NwEIAAAABQAAAAExAQAAAAoxOTQzNTA3NDQ2AwAAAAMxNjACAAAAAjI4BAAAAAEwBwAAAAkzLzI1LzIwMTkIAAAACjEyLzMxLzIwMTgJAAAAATDsAsLsMrHWCG/X2PIysdYIIUNJUS5TTkFQLklRX1JFVkVOVUUuQ1kyMDE4Li4uLlVTRAEAAADzz1oNAgAAAAgxMTgwLjQ0NgEIAAAABQAAAAExAQAAAAoxOTQzODkzOTM5AwAAAAMxNjACAAAAAzExMgQAAAABMAcAAAAJMy8yNS8yMDE5CAAAAAoxMi8zMS8yMDE4CQAAAAEw7ALC7DKx1gg2COfyMrHWCBtDSVEuRkIuSVFfVEVWLjMvMjUvMjAxOS5VU0QBAAAAF9s8AQIAAAANNDMzOTc1Ljk2Mzg0MgEGAAAABQAAAAExAQAAAAoxOTQzNDE4MjM3AwAAAAMxNjACAAAABjEwMDA2MAQAAAABMAcAAAAJMy8yNS8yMDE57ALC7DKx1gjgKdfyMrHWCB1DSVEuU05BUC5JUV9UT1RBTF9SRVYuLi4uLlVTRAEAAADzz1oNAgAAAAgxMTgwLjQ0NgEIAAAABQAAAAExAQAAAAoxOTQzODkzOTM5AwAAAAMxNjACAAAAAjI4BAAAAAEwBwAAAAkzLzI1LzIwMTkIAAAACjEyLzMxLzIwMTgJAAAAATCf+WECM7HWCHSubgIz</t>
  </si>
  <si>
    <t>sdYIG0NJUS4uSVFfR1JPU1NfTUFSR0lOLkNZMjAxNwUAAAAAAAAACAAAABQoSW52YWxpZCBJZGVudGlmaWVyKewCwuwysdYI/oUxcDSx1ggqQ0lRLklOVEVMLklRX1JFVkVOVUVfRVNUX0NJUS5DWTIwMTkuLi4uVVNEAQAAAN8xdQADAAAAAACsQVZuNLHWCM7mw240sdYIGENJUS5BTVpOLklRX0NPTVBBTllfTkFNRQEAAAA9SQAAAwAAABBBbWF6b24uY29tLCBJbmMuAOwCwuwysdYILSTH8jKx1ggTQ0lRLkZCLklRX0dQLkNZMjAxNwEAAAAX2zwBAgAAAAUzNTE5OQEIAAAABQAAAAExAQAAAAoxOTQzNDE4MjExAwAAAAMxNjACAAAAAjEwBAAAAAEwBwAAAAkzLzI1LzIwMTkIAAAACjEyLzMxLzIwMTcJAAAAATDsAsLsMrHWCLPy5/IysdYIFUNJUS5BQVBMLklRX0dQLkNZMjAxNwEAAABpYQAAAgAAAAU5MTkyMgEIAAAABQAAAAExAQAAAAoxOTQzMjc3OTU4AwAAAAMxNjACAAAAAjEwBAAAAAEwBwAAAAkzLzI1LzIwMTkIAAAACjEyLzMwLzIwMTcJAAAAATDsAsLsMrHWCK/L5/IysdYIHkNJUS5BQVBMLklRX0xBU1RTQUxFUFJJQ0UuLlVTRAEAAABpYQAAAgAAAAgxOTAuNDYyOQAXcIne/7DWCOIxRO0ysdYIGUNJUS5HT09HLklRX1lFQVJISUdILi5VU0QBAAAAqHEAAAIAAAAHMTI3My44OQAXcIne/7DWCNt8zPIysdYIHkNJUS5GQi5JUV9FQklUREEuQ1kyMDE4Li4uLlVTRAEAAAAX2zwBAgAAAAUyOTIyOAEI</t>
  </si>
  <si>
    <t>AAAABQAAAAExAQAAAAoxOTQzNDE4MjMyAwAAAAMxNjACAAAABDQwNTEEAAAAATAHAAAACTMvMjUvMjAxOQgAAAAKMTIvMzEvMjAxOAkAAAABMOwCwuwysdYIqsbg8jKx1ggeQ0lRLklOVEVMLklRX1RFVi4zLzI1LzIwMTkuVVNEAQAAAN8xdQADAAAAAACsQVZuNLHWCM7mw240sdYIGUNJUS5BQVBMLklRX0dST1NTX01BUkdJTi4BAAAAaWEAAAIAAAAHMzguMjA4NAEIAAAABQAAAAExAQAAAAoxOTQzMjc3OTYyAwAAAAMxNjACAAAABDQwNzQEAAAAATAHAAAACTMvMjUvMjAxOQgAAAAKMTIvMjkvMjAxOAkAAAABMAsnct3/sNYIz8/hATOx1ggdQ0lRLkZCLklRX0dST1NTX01BUkdJTi5DWTIwMTcBAAAAF9s8AQIAAAAGODYuNTg0AQgAAAAFAAAAATEBAAAACjE5NDM0MTgyMTEDAAAAAzE2MAIAAAAENDA3NAQAAAABMAcAAAAJMy8yNS8yMDE5CAAAAAoxMi8zMS8yMDE3CQAAAAEw7ALC7DKx1gjegNzyMrHWCBhDSVEuRkIuSVFfTUFSS0VUQ0FQLi5VU0QBAAAAF9s8AQIAAAANNDY5MDI0LjY4MzczMgEGAAAABQAAAAExAQAAAAoxOTQzNDE4MjM3AwAAAAMxNjACAAAABjEwMDA1NAQAAAABMAcAAAAJMy8yMi8yMDE5F3CJ3v+w1ggRAs7yMrHWCA5DSVEuV01ULklRX0dQLgEAAADfxgQAAgAAAAYxMjkxMDQBCAAAAAUAAAABMQEAAAAKMTk0NTc5MjE2NwMAAAADMTYwAgAAAAIxMAQAAAABMAcAAAAJMy8yNS8yMDE5</t>
  </si>
  <si>
    <t>CAAAAAkxLzMxLzIwMTkJAAAAATALJ3Ld/7DWCNk5F2M0sdYIIUNJUS5BTVpOLklRX1JFVkVOVUUuQ1kyMDE3Li4uLlVTRAEAAAA9SQAAAgAAAAYxNzc4NjYBCAAAAAUAAAABMQEAAAAKMTk0MzUwNzQ0MgMAAAADMTYwAgAAAAMxMTIEAAAAATAHAAAACTMvMjUvMjAxOQgAAAAKMTIvMzEvMjAxNwkAAAABMOwCwuwysdYIf6Dp8jKx1ggVQ0lRLkFBUEwuSVFfR1AuQ1kyMDE4AQAAAGlhAAACAAAABTk5OTU4AQgAAAAFAAAAATEBAAAACjE5NDMyNzc5NjIDAAAAAzE2MAIAAAACMTAEAAAAATAHAAAACTMvMjUvMjAxOQgAAAAKMTIvMjkvMjAxOAkAAAABMOwCwuwysdYIubbx8jKx1ggoQ0lRLkdPT0cuSVFfRUJJVERBX0VTVF9DSVEuQ1kyMDIwLi4uLlVTRAEAAACocQAAAgAAAAs2ODA5OS40NTgyNwEOAAAABQAAAAIxMQEAAAABMAIAAAAKMTAwMDk3ODUwNwMAAAAGMTAwMTg3BAAAAAEyBgAAAAEwBwAAAAMxNjAIAAAAATAJAAAAATEKAAAAATALAAAACzExMzY2NzAwOTUyDAAAAAE3DQAAAAkzLzI2LzIwMTkQAAAACTMvMjUvMjAxOewCwuwysdYIcXTi8jKx1ggjQ0lRLkFBUEwuSVFfTUFSS0VUQ0FQLjMvMjUvMjAxOS5VU0QBAAAAaWEAAAIAAAALODg5OTYxLjk0NzIBBgAAAAUAAAABMQEAAAAKMTk0MzI3NjQwNAMAAAADMTYwAgAAAAYxMDAwNTQEAAAAATAHAAAACTMvMjUvMjAxOewCwuwysdYIaP7Y8jKx1ggP</t>
  </si>
  <si>
    <t>Q0lRLkFBUEwuSVFfR1AuAQAAAGlhAAACAAAABTk5OTU4AQgAAAAFAAAAATEBAAAACjE5NDMyNzc5NjIDAAAAAzE2MAIAAAACMTAEAAAAATAHAAAACTMvMjUvMjAxOQgAAAAKMTIvMjkvMjAxOAkAAAABMAsnct3/sNYIz8/hATOx1ggVQ0lRLi5JUV9ZRUFSSElHSC4uVVNEBQAAAAAAAAAIAAAAFChJbnZhbGlkIElkZW50aWZpZXIpF3CJ3v+w1giaz0HtMrHWCB5DSVEuLklRX1lFQVJISUdILjMvMjUvMjAxOS5VU0QFAAAAAAAAAAgAAAAUKEludmFsaWQgSWRlbnRpZmllcinsAsLsMrHWCP6FMXA0sdYIHUNJUS5TTkFQLklRX1RFVi4zLzI1LzIwMTkuVVNEAQAAAPPPWg0CAAAADDEyODk5LjI0MDc1NAEGAAAABQAAAAExAQAAAAoxOTQzODkzOTM3AwAAAAMxNjACAAAABjEwMDA2MAQAAAABMAcAAAAJMy8yNS8yMDE57ALC7DKx1ghHO9jyMrHWCBZDSVEuLklRX01BUktFVENBUC4uVVNEBQAAAAAAAAAIAAAAFChJbnZhbGlkIElkZW50aWZpZXIpF3CJ3v+w1giaz0HtMrHWCBlDSVEuU05BUC5JUV9ZRUFSSElHSC4uVVNEAQAAAPPPWg0CAAAABTE2Ljc1ABdwid7/sNYIrlzI8jKx1gghQ0lRLkZCLklRX01BUktFVENBUC4zLzI1LzIwMTkuVVNEAQAAABfbPAECAAAADTQ3NDU4OS45NjM4NDIBBgAAAAUAAAABMQEAAAAKMTk0MzQxODIzNwMAAAADMTYwAgAAAAYxMDAwNTQEAAAAATAHAAAACTMvMjUvMjAxOewCwuwy</t>
  </si>
  <si>
    <t>sdYI47TW8jKx1ggaQ0lRLkFBUEwuSVFfRUJJVERBLi4uLi5VU0QBAAAAaWEAAAIAAAAFNzk1MjMBCAAAAAUAAAABMQEAAAAKMTk0MzI3Nzk2MgMAAAADMTYwAgAAAAQ0MDUxBAAAAAEwBwAAAAkzLzI1LzIwMTkIAAAACjEyLzI5LzIwMTgJAAAAATALJ3Ld/7DWCM/P4QEzsdYIH0NJUS5TTkFQLklRX0dST1NTX01BUkdJTi5DWTIwMTcBAAAA889aDQIAAAAHMTcuODYyMQEIAAAABQAAAAExAQAAAAoxOTQzODkzODQ3AwAAAAMxNjACAAAABDQwNzQEAAAAATAHAAAACTMvMjUvMjAxOQgAAAAKMTIvMzEvMjAxNwkAAAABMOwCwuwysdYI3oDc8jKx1ggfQ0lRLkZCLklRX1JFVkVOVUUuQ1kyMDE3Li4uLlVTRAEAAAAX2zwBAgAAAAU0MDY1MwEIAAAABQAAAAExAQAAAAoxOTQzNDE4MjExAwAAAAMxNjACAAAAAzExMgQAAAABMAcAAAAJMy8yNS8yMDE5CAAAAAoxMi8zMS8yMDE3CQAAAAEw7ALC7DKx1gh/oOnyMrHWCCJDSVEuU01TTkcuSVFfUkVWRU5VRS5DWTIwMTguLi4uVVNEBQAAAAAAAAAIAAAAFChJbnZhbGlkIElkZW50aWZpZXIplQ/eaTSx1gifV0lqNLHWCBVDSVEuU05BUC5JUV9HUC5DWTIwMTgBAAAA889aDQIAAAAHMzgxLjU4MQEIAAAABQAAAAExAQAAAAoxOTQzODkzOTM5AwAAAAMxNjACAAAAAjEwBAAAAAEwBwAAAAkzLzI1LzIwMTkIAAAACjEyLzMxLzIwMTgJAAAAATDsAsLsMrHWCMkE8vIysdYI</t>
  </si>
  <si>
    <t>IUNJUS5BTVpOLklRX1JFVkVOVUUuQ1kyMDE4Li4uLlVTRAEAAAA9SQAAAgAAAAYyMzI4ODcBCAAAAAUAAAABMQEAAAAKMTk0MzUwNzQ0NgMAAAADMTYwAgAAAAMxMTIEAAAAATAHAAAACTMvMjUvMjAxOQgAAAAKMTIvMzEvMjAxOAkAAAABMOwCwuwysdYINgjn8jKx1ggeQ0lRLldNVC5JUV9HUk9TU19NQVJHSU4uQ1kyMDE4AQAAAN/GBAACAAAABzI1LjA5NzcBCAAAAAUAAAABMQEAAAAKMTk0NTc5MjE2NwMAAAADMTYwAgAAAAQ0MDc0BAAAAAEwBwAAAAkzLzI1LzIwMTkIAAAACTEvMzEvMjAxOQkAAAABMOwCwuwysdYIopUZYzSx1ggYQ0lRLlNOQVAuSVFfQ09NUEFOWV9OQU1FAQAAAPPPWg0DAAAACVNuYXAgSW5jLgDsAsLsMrHWCPgfyfIysdYIIUNJUS5JTlRFTC5JUV9FQklUREEuQ1kyMDE4Li4uLlVTRAEAAADfMXUAAwAAAAAArEFWbjSx1ggyxV9uNLHWCBlDSVEuU01TTkcuSVFfQ09NUEFOWV9OQU1FBQAAAAAAAAAIAAAAFChJbnZhbGlkIElkZW50aWZpZXIplQ/eaTSx1giW0uJpNLHWCBRDSVEuU05BUC5JUV9URVYuLlVTRAEAAADzz1oNAgAAAAwxMjkxMi40NTExMTIBBgAAAAUAAAABMQEAAAAKMTk0Mzg5MzkzNwMAAAADMTYwAgAAAAYxMDAwNjAEAAAAATAHAAAACTMvMjIvMjAxORdwid7/sNYIr4PI8jKx1ggaQ0lRLkdPT0cuSVFfRUJJVERBLi4uLi5VU0QBAAAAqHEAAAIAAAAFNDA0MjEBCAAA</t>
  </si>
  <si>
    <t>AAUAAAABMQEAAAAKMTk0Mzc0MDgzNAMAAAADMTYwAgAAAAQ0MDUxBAAAAAEwBwAAAAkzLzI1LzIwMTkIAAAACjEyLzMxLzIwMTgJAAAAATALJ3Ld/7DWCM/P4QEzsdYIJkNJUS5XTVQuSVFfTEFTVFNBTEVQUklDRS4zLzI1LzIwMTkuVVNEAQAAAN/GBAACAAAABTk4LjE3AOwCwuwysdYIopUZYzSx1ggUQ0lRLkFBUEwuSVFfVEVWLi5VU0QBAAAAaWEAAAIAAAAKOTI5MTU3LjI0NAEGAAAABQAAAAExAQAAAAoxOTQzMjc2NDA0AwAAAAMxNjACAAAABjEwMDA2MAQAAAABMAcAAAAJMy8yMi8yMDE5F3CJ3v+w1gjiMUTtMrHWCCdDSVEuRkIuSVFfUkVWRU5VRV9FU1RfQ0lRLkNZMjAxOS4uLi5VU0QBAAAAF9s8AQIAAAALNjg5NDAuMjE0NzYBDgAAAAUAAAACMTEBAAAAATACAAAACjEwMDE1MzMxNDEDAAAABjEwMDE4MAQAAAABMgYAAAABMAcAAAADMTYwCAAAAAEwCQAAAAExCgAAAAEwCwAAAAsxMTM2NjcxNTI1MQwAAAABNw0AAAAJMy8yNi8yMDE5EAAAAAkzLzI1LzIwMTnsAsLsMrHWCPht7/IysdYIG0NJUS5TTVNORy5JUV9FQklUREEuLi4uLlVTRAUAAAAAAAAACAAAABQoSW52YWxpZCBJZGVudGlmaWVyKZUP3mk0sdYIltLiaTSx1ggeQ0lRLldNVC5JUV9HUk9TU19NQVJHSU4uQ1kyMDE3AQAAAN/GBAACAAAABzI1LjM3MTkBCAAAAAUAAAABMQEAAAAKMTg4MDcxOTc0NgMAAAADMTYwAgAAAAQ0MDc0BAAA</t>
  </si>
  <si>
    <t>AAEwBwAAAAkzLzI1LzIwMTkIAAAACTEvMzEvMjAxOAkAAAABMOwCwuwysdYIopUZYzSx1ggfQ0lRLkFNWk4uSVFfR1JPU1NfTUFSR0lOLkNZMjAxOAEAAAA9SQAAAgAAAAc0MC4yNDc0AQgAAAAFAAAAATEBAAAACjE5NDM1MDc0NDYDAAAAAzE2MAIAAAAENDA3NAQAAAABMAcAAAAJMy8yNS8yMDE5CAAAAAoxMi8zMS8yMDE4CQAAAAEw7ALC7DKx1gjTpfDyMrHWCBRDSVEuV01ULklRX0dQLkNZMjAxNwEAAADfxgQAAgAAAAYxMjY5NDcBCAAAAAUAAAABMQEAAAAKMTg4MDcxOTc0NgMAAAADMTYwAgAAAAIxMAQAAAABMAcAAAAJMy8yNS8yMDE5CAAAAAkxLzMxLzIwMTgJAAAAATDsAsLsMrHWCKKVGWM0sdYIKUNJUS5BQVBMLklRX1JFVkVOVUVfRVNUX0NJUS5DWTIwMjAuLi4uVVNEAQAAAGlhAAACAAAACzI3MTg1NS43MDMyAQ4AAAAFAAAAAjExAQAAAAEwAgAAAAgzMTk0Nzc3NQMAAAAGMTAwMTgwBAAAAAEyBgAAAAEwBwAAAAMxNjAIAAAAATAJAAAAATEKAAAAATALAAAACzExMzY3MDQ1MDY1DAAAAAE3DQAAAAkzLzI2LzIwMTkQAAAACTMvMjUvMjAxOewCwuwysdYIq63s8jKx1ggXQ0lRLkZCLklRX1lFQVJISUdILi5VU0QBAAAAF9s8AQIAAAAGMjE4LjYyABdwid7/sNYIEQLO8jKx1ggpQ0lRLkFNWk4uSVFfUkVWRU5VRV9FU1RfQ0lRLkNZMjAxOS4uLi5VU0QBAAAAPUkAAAIAAAAMMjc1MTM4LjA3NTc1</t>
  </si>
  <si>
    <t>AQ4AAAAFAAAAAjExAQAAAAEwAgAAAAoxMDAwMDkzMTE1AwAAAAYxMDAxODAEAAAAATIGAAAAATAHAAAAAzE2MAgAAAABMAkAAAABMQoAAAABMAsAAAALMTEzNjY2ODIwMDgMAAAAATcNAAAACTMvMjYvMjAxORAAAAAJMy8yNS8yMDE57ALC7DKx1gjjk+/yMrHWCCNDSVEuR09PRy5JUV9SRVZFTlVFX0VTVF9DSVEuLi4uLlVTRAEAAACocQAAAgAAAAwxNjM0ODMuOTg1NzIBDgAAAAUAAAACMTEBAAAAATACAAAACjEwMDAxMDk2OTUDAAAABjEwMDE4MAQAAAABMgYAAAABMAcAAAADMTYwCAAAAAEwCQAAAAExCgAAAAEwCwAAAAsxMTM2NjcwMTI3NgwAAAACMTINAAAACTMvMjYvMjAxORAAAAAJMy8yNS8yMDE5Cydy3f+w1ggpHd3yMrHWCCBDSVEuQU1aTi5JUV9FQklUREEuQ1kyMDE3Li4uLlVTRAEAAAA9SQAAAgAAAAUxNTU4NAEIAAAABQAAAAExAQAAAAoxOTQzNTA3NDQyAwAAAAMxNjACAAAABDQwNTEEAAAAATAHAAAACTMvMjUvMjAxOQgAAAAKMTIvMzEvMjAxNwkAAAABMOwCwuwysdYIFE7r8jKx1ggpQ0lRLlNNU05HLklRX0VCSVREQV9FU1RfQ0lRLkNZMjAxOS4uLi5VU0QFAAAAAAAAAAgAAAAUKEludmFsaWQgSWRlbnRpZmllcimVD95pNLHWCJ9XSWo0sdYIHkNJUS5BQVBMLklRX0VCSVREQS4yMDAwLi4uLlVTRAEAAABpYQAAAgAAAAU3OTUyMwEIAAAABQAAAAExAQAAAAoxOTQzMjc3OTYyAwAAAAMx</t>
  </si>
  <si>
    <t>NjACAAAABDQwNTEEAAAAATAHAAAACTMvMjUvMjAxOQgAAAAKMTIvMjkvMjAxOAkAAAABMOwCwuwysdYI4jFE7TKx1ggbQ0lRLklOVEVMLklRX01BUktFVENBUC4uVVNEAQAAAN8xdQADAAAAAADgxrxuNLHWCM7mw240sdYIEkNJUS5XTVQuSVFfR1AuMjAwMAEAAADfxgQAAgAAAAYxMjkxMDQBCAAAAAUAAAABMQEAAAAKMTk0NTc5MjE2NwMAAAADMTYwAgAAAAIxMAQAAAABMAcAAAAJMy8yNS8yMDE5CAAAAAkxLzMxLzIwMTkJAAAAATDsAsLsMrHWCH68yfIysdYIGkNJUS5BTVpOLklRX01BUktFVENBUC4uVVNEAQAAAD1JAAACAAAADTg2Njg2MC4xMjQxODUBBgAAAAUAAAABMQEAAAAKMTk0MzUwNzQ0NAMAAAADMTYwAgAAAAYxMDAwNTQEAAAAATAHAAAACTMvMjIvMjAxORdwid7/sNYIT2HG8jKx1ggQQ0lRLklOVEVMLklRX0dQLgEAAADfMXUAAgAAAAc4NDAuNzI3AQgAAAAFAAAAATEBAAAACjE0MDk5MTc2MzIDAAAAAzE2MAIAAAACMTAEAAAAATAHAAAACTMvMjUvMjAxOQgAAAAJOS8zMC8yMDEwCQAAAAEwrEFWbjSx1gieYV1uNLHWCClDSVEuU01TTkcuSVFfRUJJVERBX0VTVF9DSVEuQ1kyMDIwLi4uLlVTRAUAAAAAAAAACAAAABQoSW52YWxpZCBJZGVudGlmaWVyKZUP3mk0sdYIn1dJajSx1ggjQ0lRLklOVEVMLklRX0VCSVREQV9FU1RfQ0lRLi4uLi5VU0QBAAAA3zF1AAMAAAAAAODGvG40sdYIzubD</t>
  </si>
  <si>
    <t>bjSx1ggbQ0lRLlNOQVAuSVFfUkVWRU5VRS4uLi4uVVNEAQAAAPPPWg0CAAAACDExODAuNDQ2AQgAAAAFAAAAATEBAAAACjE5NDM4OTM5MzkDAAAAAzE2MAIAAAADMTEyBAAAAAEwBwAAAAkzLzI1LzIwMTkIAAAACjEyLzMxLzIwMTgJAAAAATALJ3Ld/7DWCHwq4PIysdYIH0NJUS5BTVpOLklRX0dST1NTX01BUkdJTi5DWTIwMTcBAAAAPUkAAAIAAAAHMzcuMDY4MwEIAAAABQAAAAExAQAAAAoxOTQzNTA3NDQyAwAAAAMxNjACAAAABDQwNzQEAAAAATAHAAAACTMvMjUvMjAxOQgAAAAKMTIvMzEvMjAxNwkAAAABMOwCwuwysdYI8afc8jKx1ggQQ0lRLlNNU05HLklRX0dQLgUAAAAAAAAACAAAABQoSW52YWxpZCBJZGVudGlmaWVyKZUP3mk0sdYIltLiaTSx1ggiQ0lRLldNVC5JUV9SRVZFTlVFX0VTVF9DSVEuLi4uLlVTRAEAAADfxgQAAgAAAAw1MjU0NTIuODU5NTYBDgAAAAUAAAACMTEBAAAAATACAAAACjEwMDE3NDI0ODQDAAAABjEwMDE4MAQAAAABMgYAAAABMAcAAAADMTYwCAAAAAEwCQAAAAExCgAAAAEwCwAAAAsxMTM2MTAxODI0MQwAAAACMTINAAAACTMvMjYvMjAxORAAAAAJMy8yNS8yMDE5Cydy3f+w1gg3RN3yMrHWCBlDSVEuU05BUC5JUV9HUk9TU19NQVJHSU4uAQAAAPPPWg0CAAAABzMyLjMyNTEBCAAAAAUAAAABMQEAAAAKMTk0Mzg5MzkzOQMAAAADMTYwAgAAAAQ0MDc0BAAAAAEwBwAAAAkz</t>
  </si>
  <si>
    <t>LzI1LzIwMTkIAAAACjEyLzMxLzIwMTgJAAAAATALJ3Ld/7DWCM/P4QEzsdYIHkNJUS5BTVpOLklRX0xBU1RTQUxFUFJJQ0UuLlVTRAEAAAA9SQAAAgAAAAcxNzcwLjc4ABdwid7/sNYIeBPG8jKx1ggZQ0lRLi5JUV9HUk9TU19NQVJHSU4uMjAwMAUAAAAAAAAACAAAABQoSW52YWxpZCBJZGVudGlmaWVyKewCwuwysdYIms9B7TKx1ggcQ0lRLldNVC5JUV9URVYuMy8yNS8yMDE5LlVTRAEAAADfxgQAAgAAAA0zNDI2NTguMzc5OTkyAQYAAAAFAAAAATEBAAAACjE5NDU4NTE0NzcDAAAAAzE2MAIAAAAGMTAwMDYwBAAAAAEwBwAAAAkzLzI1LzIwMTnsAsLsMrHWCKKVGWM0sdYIJkNJUS5BTVpOLklRX1RPVEFMX1JFVi4uMy8yNS8yMDE5Li4uVVNEAQAAAD1JAAACAAAABjIzMjg4NwEIAAAABQAAAAExAQAAAAoxOTQzNTA3NDQ2AwAAAAMxNjACAAAAAjI4BAAAAAEwBwAAAAkzLzI1LzIwMTkIAAAACjEyLzMxLzIwMTgJAAAAATC7b/4BM7HWCOgNcAIzsdYIFkNJUS5GQi5JUV9DT01QQU5ZX05BTUUBAAAAF9s8AQMAAAAORmFjZWJvb2ssIEluYy4A7ALC7DKx1gj1s83yMrHWCCNDSVEuR09PRy5JUV9NQVJLRVRDQVAuMy8yNS8yMDE5LlVTRAEAAACocQAAAgAAAA04MzA4NzIuMzkwNzM4AQYAAAAFAAAAATEBAAAACjE5NDM3NDA4MzIDAAAAAzE2MAIAAAAGMTAwMDU0BAAAAAEwBwAAAAkzLzI1LzIwMTnsAsLsMrHW</t>
  </si>
  <si>
    <t>CP+e1/IysdYIGENJUS5GQi5JUV9FQklUREEuLi4uLlVTRAEAAAAX2zwBAgAAAAUyOTIyOAEIAAAABQAAAAExAQAAAAoxOTQzNDE4MjMyAwAAAAMxNjACAAAABDQwNTEEAAAAATAHAAAACTMvMjUvMjAxOQgAAAAKMTIvMzEvMjAxOAkAAAABMAsnct3/sNYIz8/hATOx1ggiQ0lRLkFBUEwuSVFfWUVBUkhJR0guMy8yNS8yMDE5LlVTRAEAAABpYQAAAgAAAAYyMzMuNDcA7ALC7DKx1gho/tjyMrHWCA==</t>
  </si>
  <si>
    <t>Project MODEL - Public Comps</t>
  </si>
  <si>
    <t>Year</t>
  </si>
  <si>
    <t>Public Comps</t>
  </si>
  <si>
    <t>(CY $US millions)</t>
  </si>
  <si>
    <t xml:space="preserve">Stock </t>
  </si>
  <si>
    <t>Valuation Metrics</t>
  </si>
  <si>
    <t>Operating Metrics</t>
  </si>
  <si>
    <t>Financials</t>
  </si>
  <si>
    <t>Price</t>
  </si>
  <si>
    <t>52-week</t>
  </si>
  <si>
    <t>% of 52-</t>
  </si>
  <si>
    <t>Market</t>
  </si>
  <si>
    <t xml:space="preserve">Ent. </t>
  </si>
  <si>
    <t>Revenue Multiples</t>
  </si>
  <si>
    <t>EBITDA Multiples</t>
  </si>
  <si>
    <t>LTM Financials</t>
  </si>
  <si>
    <t>Revenue Growth</t>
  </si>
  <si>
    <t>Gross Margin</t>
  </si>
  <si>
    <t>EBITDA Margin</t>
  </si>
  <si>
    <t>Company</t>
  </si>
  <si>
    <t>high</t>
  </si>
  <si>
    <t>wk high</t>
  </si>
  <si>
    <t>Cap</t>
  </si>
  <si>
    <t>Value</t>
  </si>
  <si>
    <t>Rev</t>
  </si>
  <si>
    <t>2Y CAGR</t>
  </si>
  <si>
    <t>LTM</t>
  </si>
  <si>
    <t>SECTOR/MARKET</t>
  </si>
  <si>
    <t>FB</t>
  </si>
  <si>
    <t>GOOG</t>
  </si>
  <si>
    <t>WMT</t>
  </si>
  <si>
    <t>SNAP</t>
  </si>
  <si>
    <t>AMZN</t>
  </si>
  <si>
    <t>AAPL</t>
  </si>
  <si>
    <t>SECTOR/Market</t>
  </si>
  <si>
    <t>Data Source: CapIQ</t>
  </si>
  <si>
    <t>Year 1 (t - 2)</t>
  </si>
  <si>
    <t>Trading Multiples</t>
  </si>
  <si>
    <t>Non-GAAP Operating Metrics</t>
  </si>
  <si>
    <t>Non-GAAP CapIQ Financials</t>
  </si>
  <si>
    <t>Enterprise</t>
  </si>
  <si>
    <t>EBIT Margin</t>
  </si>
  <si>
    <t>FCF Margin</t>
  </si>
  <si>
    <t>FCF</t>
  </si>
  <si>
    <t>SaaS Companies</t>
  </si>
  <si>
    <t>CRM</t>
  </si>
  <si>
    <t>NOW</t>
  </si>
  <si>
    <t>WDAY</t>
  </si>
  <si>
    <t>PFPT</t>
  </si>
  <si>
    <t>CSOD</t>
  </si>
  <si>
    <t>CLDR</t>
  </si>
  <si>
    <t>CARB</t>
  </si>
  <si>
    <t>1st Quartile</t>
  </si>
  <si>
    <t>3rd Quartile</t>
  </si>
  <si>
    <t>Standardized Financials (HISTORICAL - Non-GAAP)</t>
  </si>
  <si>
    <t>Gross Income</t>
  </si>
  <si>
    <t>As Reported Financials (HISTORICAL - Non-GAAP)</t>
  </si>
  <si>
    <t>As Reported Financials (HISTORICAL - GAAP)</t>
  </si>
  <si>
    <t>Standardized Financials (HISTORICAL - GAAP)</t>
  </si>
  <si>
    <t>Non-GAAP Financials (Broker Actuals and Estimates)</t>
  </si>
  <si>
    <t>Non-GAAP Financials (Company Actuals)</t>
  </si>
  <si>
    <t>Project MODEL - M&amp;A Comps</t>
  </si>
  <si>
    <t>Precedent M&amp;As</t>
  </si>
  <si>
    <t>PBID</t>
  </si>
  <si>
    <t>Enterprise Value ($M)</t>
  </si>
  <si>
    <t>LTM Revenue ($M)</t>
  </si>
  <si>
    <t>EV/LTM Revenue Multiple</t>
  </si>
  <si>
    <t>Company Description</t>
  </si>
  <si>
    <t>Facebook</t>
  </si>
  <si>
    <t>Instagram</t>
  </si>
  <si>
    <t>Min</t>
  </si>
  <si>
    <t>Max</t>
  </si>
  <si>
    <t>Precedent IPOs</t>
  </si>
  <si>
    <t>Enterprise Value ($k)</t>
  </si>
  <si>
    <t>LTM Revenue ($K)</t>
  </si>
  <si>
    <t>Recent Venture Financings</t>
  </si>
  <si>
    <t>Last Round</t>
  </si>
  <si>
    <t>Total Money In ($M)</t>
  </si>
  <si>
    <t>Series</t>
  </si>
  <si>
    <t>Raise Size ($M)</t>
  </si>
  <si>
    <r>
      <t xml:space="preserve">Post-Money </t>
    </r>
    <r>
      <rPr>
        <b/>
        <vertAlign val="superscript"/>
        <sz val="12"/>
        <rFont val="Calibri"/>
        <family val="2"/>
      </rPr>
      <t xml:space="preserve">E </t>
    </r>
    <r>
      <rPr>
        <b/>
        <sz val="12"/>
        <rFont val="Calibri"/>
        <family val="2"/>
      </rPr>
      <t>($M)</t>
    </r>
  </si>
  <si>
    <t>Est. Revenue ($M)</t>
  </si>
  <si>
    <t>Implied Multiple</t>
  </si>
  <si>
    <t>Procuro</t>
  </si>
  <si>
    <t>Ceres Technology</t>
  </si>
  <si>
    <t>Soource</t>
  </si>
  <si>
    <t>Terminal49</t>
  </si>
  <si>
    <t>Raindrop</t>
  </si>
  <si>
    <t>Learntowin</t>
  </si>
  <si>
    <t>Credo</t>
  </si>
  <si>
    <t>FINANCIAL STD</t>
  </si>
  <si>
    <t>Year available for the chart:</t>
  </si>
  <si>
    <t>Metric</t>
  </si>
  <si>
    <t>Multiple Range</t>
  </si>
  <si>
    <t>Valuation Range</t>
  </si>
  <si>
    <t>Use the following year (x):</t>
  </si>
  <si>
    <t>Low</t>
  </si>
  <si>
    <t>Labeling</t>
  </si>
  <si>
    <t>High</t>
  </si>
  <si>
    <t>Consider (y/n)</t>
  </si>
  <si>
    <t xml:space="preserve">Public </t>
  </si>
  <si>
    <t>Y</t>
  </si>
  <si>
    <t>M&amp;A</t>
  </si>
  <si>
    <t xml:space="preserve">M&amp;A Comps </t>
  </si>
  <si>
    <t>Financings</t>
  </si>
  <si>
    <t>Financings Adj.</t>
  </si>
  <si>
    <t>N</t>
  </si>
  <si>
    <t>Average</t>
  </si>
  <si>
    <t>Average (Low - High)</t>
  </si>
  <si>
    <t xml:space="preserve">Financings - Adj. </t>
  </si>
  <si>
    <t>FINANCIAL XaaS</t>
  </si>
  <si>
    <t>RETURN COMPARISON</t>
  </si>
  <si>
    <r>
      <t xml:space="preserve">Returns Analysis - </t>
    </r>
    <r>
      <rPr>
        <sz val="12"/>
        <color rgb="FFFFFFFF"/>
        <rFont val="Calibri"/>
        <family val="2"/>
      </rPr>
      <t>Participating</t>
    </r>
  </si>
  <si>
    <t>Comparable 1:</t>
  </si>
  <si>
    <t>Returns Analysis - Participating</t>
  </si>
  <si>
    <r>
      <t xml:space="preserve">Returns Analysis - </t>
    </r>
    <r>
      <rPr>
        <sz val="12"/>
        <color rgb="FFFFFFFF"/>
        <rFont val="Calibri"/>
        <family val="2"/>
      </rPr>
      <t>Non</t>
    </r>
    <r>
      <rPr>
        <b/>
        <sz val="12"/>
        <color rgb="FFFFFFFF"/>
        <rFont val="Calibri"/>
        <family val="2"/>
      </rPr>
      <t xml:space="preserve"> </t>
    </r>
    <r>
      <rPr>
        <sz val="12"/>
        <color rgb="FFFFFFFF"/>
        <rFont val="Calibri"/>
        <family val="2"/>
      </rPr>
      <t>Participating</t>
    </r>
  </si>
  <si>
    <t>Comparable 2:</t>
  </si>
  <si>
    <t>NO PLAY - Returns Analysis - Non Participating</t>
  </si>
  <si>
    <r>
      <t xml:space="preserve">NO PLAY - Returns Analysis - </t>
    </r>
    <r>
      <rPr>
        <sz val="12"/>
        <color rgb="FFFFFFFF"/>
        <rFont val="Calibri"/>
        <family val="2"/>
      </rPr>
      <t>Participating</t>
    </r>
  </si>
  <si>
    <t>IRR - Exit Option:</t>
  </si>
  <si>
    <r>
      <t xml:space="preserve">NO PLAY - Returns Analysis - </t>
    </r>
    <r>
      <rPr>
        <sz val="12"/>
        <color rgb="FFFFFFFF"/>
        <rFont val="Calibri"/>
        <family val="2"/>
      </rPr>
      <t>Non</t>
    </r>
    <r>
      <rPr>
        <b/>
        <sz val="12"/>
        <color rgb="FFFFFFFF"/>
        <rFont val="Calibri"/>
        <family val="2"/>
      </rPr>
      <t xml:space="preserve"> </t>
    </r>
    <r>
      <rPr>
        <sz val="12"/>
        <color rgb="FFFFFFFF"/>
        <rFont val="Calibri"/>
        <family val="2"/>
      </rPr>
      <t>Participating</t>
    </r>
  </si>
  <si>
    <t>No data enter in this tab.</t>
  </si>
  <si>
    <t>Cap Table</t>
  </si>
  <si>
    <t>Part</t>
  </si>
  <si>
    <t>Financials - STD</t>
  </si>
  <si>
    <t>DTC sensitized</t>
  </si>
  <si>
    <t>Financials - XaaS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</si>
</sst>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\ &quot;M&quot;;\(&quot;$&quot;#,##0\)"/>
    <numFmt numFmtId="166" formatCode="0.0\x_);\(0.0\x\);0.0\x_);@_)"/>
    <numFmt numFmtId="167" formatCode="mm/dd/yy;@"/>
    <numFmt numFmtId="168" formatCode="\+0%;\-0%"/>
    <numFmt numFmtId="169" formatCode="_(* #,##0.0_);_(* \(#,##0.0\);_(* &quot;-&quot;??_);_(@_)"/>
    <numFmt numFmtId="170" formatCode="&quot;$&quot;#,##0.0_);[Red]\(&quot;$&quot;#,##0.0\)"/>
    <numFmt numFmtId="171" formatCode="_(* #,##0_);_(* \(#,##0\);_(* &quot;-&quot;??_);_(@_)"/>
    <numFmt numFmtId="172" formatCode="0.0%"/>
    <numFmt numFmtId="173" formatCode="&quot;$&quot;#,##0.00000_);[Red]\(&quot;$&quot;#,##0.00000\)"/>
    <numFmt numFmtId="174" formatCode="mm/dd/yyyy;@"/>
    <numFmt numFmtId="175" formatCode="_(&quot;$&quot;* #,##0.00_);_(&quot;$&quot;* \(#,##0.00\);_(* &quot;&quot;??_);_(@_)"/>
    <numFmt numFmtId="176" formatCode="#,##0.0\x_);[Red]\(#,##0.0\);_(* &quot;&quot;_);_(@_)"/>
    <numFmt numFmtId="177" formatCode="&quot;#&quot;#,##0_);[Red]\(#,##0\);_(* &quot;&quot;_);_(@_)"/>
    <numFmt numFmtId="178" formatCode="_(* #,##0.0%_);_(* \(#,##0.0\);_(* &quot;&quot;??_);_(@_)"/>
    <numFmt numFmtId="179" formatCode="#,##0_);[Red]\(#,##0\);_(* &quot;&quot;_);_(@_)"/>
    <numFmt numFmtId="180" formatCode="0.000%"/>
    <numFmt numFmtId="181" formatCode="#,##0.0_);[Red]\(#,##0.0\);_(* &quot;&quot;_);_(@_)"/>
    <numFmt numFmtId="182" formatCode="&quot;$&quot;#,##0"/>
    <numFmt numFmtId="183" formatCode="&quot;$&quot;#,##0.00"/>
    <numFmt numFmtId="184" formatCode="&quot;$&quot;#,##0.0&quot;M&quot;;[Red]\(&quot;$&quot;#,##0.0&quot;M&quot;\)"/>
    <numFmt numFmtId="185" formatCode="&quot;$&quot;#,##0.0&quot;M&quot;"/>
    <numFmt numFmtId="186" formatCode="mm/dd/yyyy;\ &quot; &quot;;\ _(* &quot;&quot;_);_(@_)"/>
    <numFmt numFmtId="187" formatCode="&quot;#&quot;#,##0_);[Red]\(#,##0.0\);_(* &quot;&quot;_);_(@_)"/>
    <numFmt numFmtId="188" formatCode="&quot;$&quot;#,##0.0&quot;M&quot;;[Red]\(&quot;$&quot;#,##0.0&quot;M&quot;\);\ _(* &quot;&quot;_);_(@_)"/>
    <numFmt numFmtId="189" formatCode="&quot;$&quot;#,##0.000&quot;M&quot;"/>
    <numFmt numFmtId="190" formatCode="&quot;$&quot;#,##0.00&quot;M&quot;"/>
    <numFmt numFmtId="191" formatCode="&quot;$&quot;#,##0&quot;M&quot;"/>
    <numFmt numFmtId="192" formatCode="0.0\x"/>
    <numFmt numFmtId="193" formatCode="\I\R\R\ \(mm/dd/yyyy\)"/>
    <numFmt numFmtId="194" formatCode="&quot;$&quot;#,##0.0&quot;M&quot;;[Red]\(&quot;$&quot;#,##0.0&quot;M&quot;\);_(* &quot;&quot;_);_(@_)"/>
    <numFmt numFmtId="195" formatCode="0.000"/>
    <numFmt numFmtId="196" formatCode="0.0%;\(0.0%\)"/>
    <numFmt numFmtId="197" formatCode="0.0\x;\(0.0\x\)"/>
    <numFmt numFmtId="198" formatCode="#,##0.0_);\(#,##0.0\)"/>
    <numFmt numFmtId="199" formatCode="dd\-mmm\-yy"/>
    <numFmt numFmtId="200" formatCode="&quot;$&quot;#,##0.0"/>
    <numFmt numFmtId="201" formatCode="&quot;$&quot;#,##0.0_);\(&quot;$&quot;#,##0.0\)"/>
    <numFmt numFmtId="202" formatCode="&quot;$&quot;#,##0;\(&quot;$&quot;#,##0\);\-_)"/>
    <numFmt numFmtId="203" formatCode="0%;\(0%\);\-_)"/>
    <numFmt numFmtId="204" formatCode="0000\A"/>
    <numFmt numFmtId="205" formatCode="0000\E"/>
    <numFmt numFmtId="206" formatCode="0.0%;\(0.0%\);\-_)"/>
    <numFmt numFmtId="207" formatCode="&quot;$&quot;#,##0.00_);\(&quot;$&quot;#,##0.00\);\-_)"/>
    <numFmt numFmtId="208" formatCode="#\x"/>
    <numFmt numFmtId="209" formatCode="_(&quot;$&quot;* #,##0.0_);_(&quot;$&quot;* \(#,##0.0\);_(&quot;$&quot;* &quot;-&quot;??_);_(@_)"/>
    <numFmt numFmtId="210" formatCode="#.#\x"/>
    <numFmt numFmtId="211" formatCode="_(&quot;$&quot;* #,##0_);_(&quot;$&quot;* \(#,##0\);_(&quot;$&quot;* &quot;-&quot;??_);_(@_)"/>
    <numFmt numFmtId="212" formatCode="&quot;$&quot;#,##0.00000"/>
    <numFmt numFmtId="213" formatCode="&quot;$&quot;#,##0.000"/>
    <numFmt numFmtId="214" formatCode="_(&quot;$&quot;* #,##0.0000_);_(&quot;$&quot;* \(#,##0.0000\);_(&quot;$&quot;* &quot;-&quot;??_);_(@_)"/>
    <numFmt numFmtId="215" formatCode="0.00\x"/>
    <numFmt numFmtId="216" formatCode="&quot;#&quot;#,##0.0_);[Red]\(#,##0.0\);_(* &quot;&quot;_);_(@_)"/>
    <numFmt numFmtId="217" formatCode="0.0"/>
  </numFmts>
  <fonts count="8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2F75B5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8000"/>
      <name val="Calibri"/>
      <family val="2"/>
    </font>
    <font>
      <sz val="12"/>
      <color rgb="FF0000FF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u val="singleAccounting"/>
      <sz val="12"/>
      <color rgb="FFFFFFFF"/>
      <name val="Calibri"/>
      <family val="2"/>
    </font>
    <font>
      <b/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i/>
      <sz val="12"/>
      <color rgb="FF000000"/>
      <name val="Calibri"/>
      <family val="2"/>
    </font>
    <font>
      <sz val="10"/>
      <name val="Calibri"/>
      <family val="2"/>
    </font>
    <font>
      <i/>
      <sz val="12"/>
      <color rgb="FF0000FF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FFFF"/>
      <name val="Calibri"/>
      <family val="2"/>
    </font>
    <font>
      <i/>
      <sz val="12"/>
      <name val="Calibri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5B9BD5"/>
      <name val="Calibri"/>
      <family val="2"/>
    </font>
    <font>
      <i/>
      <sz val="12"/>
      <color rgb="FF808080"/>
      <name val="Calibri"/>
      <family val="2"/>
    </font>
    <font>
      <b/>
      <vertAlign val="superscript"/>
      <sz val="12"/>
      <name val="Calibri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2"/>
      <color rgb="FF002060"/>
      <name val="Calibri"/>
      <family val="2"/>
    </font>
    <font>
      <sz val="10"/>
      <color rgb="FF000000"/>
      <name val="Arial"/>
      <family val="2"/>
    </font>
    <font>
      <b/>
      <i/>
      <sz val="12"/>
      <name val="Calibri"/>
      <family val="2"/>
    </font>
    <font>
      <sz val="11"/>
      <color rgb="FF0000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993366"/>
      <name val="Arial"/>
      <family val="2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sz val="10"/>
      <color rgb="FF4472C4"/>
      <name val="Arial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8"/>
      <color rgb="FF000000"/>
      <name val="Calibri"/>
      <family val="2"/>
    </font>
    <font>
      <b/>
      <sz val="18"/>
      <color rgb="FFFFFFFF"/>
      <name val="Calibri"/>
      <family val="2"/>
    </font>
    <font>
      <i/>
      <sz val="18"/>
      <name val="Calibri"/>
      <family val="2"/>
    </font>
    <font>
      <sz val="14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sz val="16"/>
      <color rgb="FFC0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6"/>
      <color rgb="FFFFFFFF"/>
      <name val="Calibri"/>
      <family val="2"/>
    </font>
    <font>
      <sz val="16"/>
      <name val="Calibri"/>
      <family val="2"/>
    </font>
    <font>
      <i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9C9C9"/>
        <bgColor rgb="FFFFFFFF"/>
      </patternFill>
    </fill>
    <fill>
      <patternFill patternType="solid">
        <fgColor rgb="FFD0CEC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2C95D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007DB8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</fills>
  <borders count="1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E7E6E6"/>
      </top>
      <bottom/>
      <diagonal/>
    </border>
    <border>
      <left/>
      <right style="thin">
        <color rgb="FF969696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E7E6E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medium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 style="thin">
        <color theme="0"/>
      </bottom>
      <diagonal/>
    </border>
    <border>
      <left style="thin">
        <color theme="0"/>
      </left>
      <right style="medium">
        <color theme="1" tint="0.499984740745262"/>
      </right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 tint="0.499984740745262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/>
      <diagonal/>
    </border>
    <border>
      <left style="medium">
        <color theme="1" tint="0.499984740745262"/>
      </left>
      <right style="thin">
        <color theme="0"/>
      </right>
      <top/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medium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medium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</borders>
  <cellStyleXfs count="2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0"/>
    <xf numFmtId="0" fontId="1" fillId="0" borderId="0"/>
    <xf numFmtId="43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9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</cellStyleXfs>
  <cellXfs count="1411">
    <xf numFmtId="0" fontId="0" fillId="0" borderId="0" xfId="0"/>
    <xf numFmtId="0" fontId="3" fillId="3" borderId="0" xfId="4" applyFont="1" applyFill="1" applyAlignment="1">
      <alignment horizontal="left"/>
    </xf>
    <xf numFmtId="0" fontId="4" fillId="3" borderId="0" xfId="4" applyFont="1" applyFill="1"/>
    <xf numFmtId="0" fontId="5" fillId="3" borderId="0" xfId="0" applyFont="1" applyFill="1"/>
    <xf numFmtId="0" fontId="6" fillId="3" borderId="1" xfId="0" applyFont="1" applyFill="1" applyBorder="1"/>
    <xf numFmtId="0" fontId="7" fillId="0" borderId="1" xfId="5" applyFont="1" applyBorder="1"/>
    <xf numFmtId="0" fontId="7" fillId="0" borderId="0" xfId="5" applyFont="1"/>
    <xf numFmtId="0" fontId="8" fillId="0" borderId="0" xfId="5" applyFont="1" applyAlignment="1">
      <alignment horizontal="right"/>
    </xf>
    <xf numFmtId="0" fontId="5" fillId="3" borderId="0" xfId="4" applyFont="1" applyFill="1" applyAlignment="1">
      <alignment horizontal="left" indent="1"/>
    </xf>
    <xf numFmtId="0" fontId="4" fillId="0" borderId="0" xfId="5" applyFont="1"/>
    <xf numFmtId="0" fontId="4" fillId="0" borderId="2" xfId="5" applyFont="1" applyBorder="1" applyAlignment="1">
      <alignment horizontal="left" indent="1"/>
    </xf>
    <xf numFmtId="0" fontId="9" fillId="4" borderId="2" xfId="5" applyFont="1" applyFill="1" applyBorder="1" applyAlignment="1" applyProtection="1">
      <alignment horizontal="left"/>
      <protection locked="0"/>
    </xf>
    <xf numFmtId="0" fontId="4" fillId="0" borderId="2" xfId="5" applyFont="1" applyBorder="1"/>
    <xf numFmtId="0" fontId="4" fillId="0" borderId="0" xfId="5" applyFont="1" applyAlignment="1">
      <alignment horizontal="left" indent="1"/>
    </xf>
    <xf numFmtId="164" fontId="9" fillId="4" borderId="0" xfId="5" applyNumberFormat="1" applyFont="1" applyFill="1" applyAlignment="1" applyProtection="1">
      <alignment horizontal="left"/>
      <protection locked="0"/>
    </xf>
    <xf numFmtId="0" fontId="9" fillId="4" borderId="0" xfId="5" applyFont="1" applyFill="1" applyAlignment="1" applyProtection="1">
      <alignment horizontal="left"/>
      <protection locked="0"/>
    </xf>
    <xf numFmtId="165" fontId="10" fillId="0" borderId="0" xfId="5" applyNumberFormat="1" applyFont="1" applyAlignment="1">
      <alignment horizontal="left"/>
    </xf>
    <xf numFmtId="165" fontId="8" fillId="0" borderId="0" xfId="5" applyNumberFormat="1" applyFont="1" applyAlignment="1">
      <alignment horizontal="left"/>
    </xf>
    <xf numFmtId="0" fontId="4" fillId="0" borderId="0" xfId="5" applyFont="1" applyAlignment="1">
      <alignment horizontal="left" vertical="center" indent="2"/>
    </xf>
    <xf numFmtId="166" fontId="11" fillId="0" borderId="0" xfId="5" applyNumberFormat="1" applyFont="1" applyAlignment="1">
      <alignment horizontal="left"/>
    </xf>
    <xf numFmtId="167" fontId="11" fillId="0" borderId="0" xfId="5" applyNumberFormat="1" applyFont="1" applyAlignment="1">
      <alignment horizontal="left"/>
    </xf>
    <xf numFmtId="0" fontId="3" fillId="3" borderId="0" xfId="4" applyFont="1" applyFill="1" applyAlignment="1" applyProtection="1">
      <alignment horizontal="left"/>
      <protection locked="0"/>
    </xf>
    <xf numFmtId="0" fontId="9" fillId="3" borderId="0" xfId="4" applyFont="1" applyFill="1" applyAlignment="1">
      <alignment horizontal="left" indent="1"/>
    </xf>
    <xf numFmtId="0" fontId="14" fillId="3" borderId="0" xfId="0" applyFont="1" applyFill="1"/>
    <xf numFmtId="0" fontId="14" fillId="3" borderId="1" xfId="0" applyFont="1" applyFill="1" applyBorder="1"/>
    <xf numFmtId="0" fontId="15" fillId="3" borderId="1" xfId="0" applyFont="1" applyFill="1" applyBorder="1" applyAlignment="1">
      <alignment horizontal="center"/>
    </xf>
    <xf numFmtId="0" fontId="16" fillId="3" borderId="0" xfId="0" applyFont="1" applyFill="1"/>
    <xf numFmtId="0" fontId="17" fillId="3" borderId="0" xfId="4" applyFont="1" applyFill="1"/>
    <xf numFmtId="0" fontId="3" fillId="5" borderId="0" xfId="4" applyFont="1" applyFill="1"/>
    <xf numFmtId="0" fontId="4" fillId="5" borderId="0" xfId="4" applyFont="1" applyFill="1"/>
    <xf numFmtId="0" fontId="5" fillId="5" borderId="0" xfId="0" applyFont="1" applyFill="1"/>
    <xf numFmtId="0" fontId="18" fillId="3" borderId="0" xfId="0" applyFont="1" applyFill="1"/>
    <xf numFmtId="0" fontId="19" fillId="3" borderId="0" xfId="4" applyFont="1" applyFill="1" applyAlignment="1">
      <alignment horizontal="centerContinuous"/>
    </xf>
    <xf numFmtId="0" fontId="4" fillId="3" borderId="0" xfId="4" applyFont="1" applyFill="1" applyAlignment="1">
      <alignment horizontal="right"/>
    </xf>
    <xf numFmtId="168" fontId="9" fillId="4" borderId="0" xfId="0" applyNumberFormat="1" applyFont="1" applyFill="1" applyAlignment="1" applyProtection="1">
      <alignment horizontal="center"/>
      <protection locked="0"/>
    </xf>
    <xf numFmtId="0" fontId="9" fillId="3" borderId="0" xfId="4" applyFont="1" applyFill="1" applyAlignment="1">
      <alignment horizontal="center" vertical="center"/>
    </xf>
    <xf numFmtId="1" fontId="9" fillId="3" borderId="0" xfId="4" applyNumberFormat="1" applyFont="1" applyFill="1" applyAlignment="1" applyProtection="1">
      <alignment horizontal="center" vertical="center"/>
      <protection locked="0"/>
    </xf>
    <xf numFmtId="0" fontId="9" fillId="3" borderId="0" xfId="4" applyFont="1" applyFill="1" applyAlignment="1" applyProtection="1">
      <alignment horizontal="center" vertical="center"/>
      <protection locked="0"/>
    </xf>
    <xf numFmtId="0" fontId="20" fillId="3" borderId="5" xfId="4" applyFont="1" applyFill="1" applyBorder="1" applyAlignment="1" applyProtection="1">
      <alignment horizontal="center" vertical="center"/>
      <protection locked="0"/>
    </xf>
    <xf numFmtId="0" fontId="20" fillId="3" borderId="0" xfId="4" applyFont="1" applyFill="1" applyAlignment="1" applyProtection="1">
      <alignment horizontal="center" vertical="center"/>
      <protection locked="0"/>
    </xf>
    <xf numFmtId="0" fontId="20" fillId="3" borderId="6" xfId="4" applyFont="1" applyFill="1" applyBorder="1" applyAlignment="1" applyProtection="1">
      <alignment horizontal="center" vertical="center"/>
      <protection locked="0"/>
    </xf>
    <xf numFmtId="0" fontId="21" fillId="3" borderId="0" xfId="4" applyFont="1" applyFill="1" applyAlignment="1">
      <alignment horizontal="center" vertical="center"/>
    </xf>
    <xf numFmtId="0" fontId="21" fillId="3" borderId="0" xfId="4" applyFont="1" applyFill="1" applyAlignment="1">
      <alignment horizontal="left" indent="2"/>
    </xf>
    <xf numFmtId="0" fontId="21" fillId="3" borderId="0" xfId="4" applyFont="1" applyFill="1"/>
    <xf numFmtId="1" fontId="21" fillId="4" borderId="0" xfId="4" applyNumberFormat="1" applyFont="1" applyFill="1" applyAlignment="1">
      <alignment horizontal="center" vertical="center"/>
    </xf>
    <xf numFmtId="0" fontId="21" fillId="3" borderId="0" xfId="4" applyFont="1" applyFill="1" applyAlignment="1">
      <alignment horizontal="center"/>
    </xf>
    <xf numFmtId="0" fontId="21" fillId="4" borderId="5" xfId="4" applyFont="1" applyFill="1" applyBorder="1" applyAlignment="1">
      <alignment horizontal="center"/>
    </xf>
    <xf numFmtId="0" fontId="21" fillId="4" borderId="0" xfId="4" applyFont="1" applyFill="1" applyAlignment="1">
      <alignment horizontal="center"/>
    </xf>
    <xf numFmtId="0" fontId="21" fillId="4" borderId="6" xfId="4" applyFont="1" applyFill="1" applyBorder="1" applyAlignment="1">
      <alignment horizontal="center"/>
    </xf>
    <xf numFmtId="1" fontId="21" fillId="3" borderId="0" xfId="4" applyNumberFormat="1" applyFont="1" applyFill="1" applyAlignment="1">
      <alignment horizontal="center" vertical="center"/>
    </xf>
    <xf numFmtId="0" fontId="17" fillId="3" borderId="0" xfId="0" applyFont="1" applyFill="1"/>
    <xf numFmtId="0" fontId="22" fillId="3" borderId="5" xfId="4" applyFont="1" applyFill="1" applyBorder="1"/>
    <xf numFmtId="0" fontId="22" fillId="3" borderId="0" xfId="4" applyFont="1" applyFill="1"/>
    <xf numFmtId="0" fontId="22" fillId="3" borderId="6" xfId="4" applyFont="1" applyFill="1" applyBorder="1"/>
    <xf numFmtId="169" fontId="4" fillId="4" borderId="0" xfId="6" applyNumberFormat="1" applyFont="1" applyFill="1" applyBorder="1" applyAlignment="1" applyProtection="1">
      <alignment vertical="center"/>
      <protection locked="0"/>
    </xf>
    <xf numFmtId="169" fontId="22" fillId="4" borderId="5" xfId="6" applyNumberFormat="1" applyFont="1" applyFill="1" applyBorder="1" applyAlignment="1" applyProtection="1">
      <alignment vertical="center"/>
      <protection locked="0"/>
    </xf>
    <xf numFmtId="169" fontId="22" fillId="4" borderId="0" xfId="6" applyNumberFormat="1" applyFont="1" applyFill="1" applyBorder="1" applyAlignment="1" applyProtection="1">
      <alignment vertical="center"/>
      <protection locked="0"/>
    </xf>
    <xf numFmtId="169" fontId="22" fillId="4" borderId="6" xfId="6" applyNumberFormat="1" applyFont="1" applyFill="1" applyBorder="1" applyAlignment="1" applyProtection="1">
      <alignment vertical="center"/>
      <protection locked="0"/>
    </xf>
    <xf numFmtId="43" fontId="5" fillId="3" borderId="0" xfId="0" applyNumberFormat="1" applyFont="1" applyFill="1"/>
    <xf numFmtId="0" fontId="16" fillId="3" borderId="0" xfId="4" applyFont="1" applyFill="1"/>
    <xf numFmtId="0" fontId="16" fillId="3" borderId="0" xfId="4" applyFont="1" applyFill="1" applyAlignment="1">
      <alignment horizontal="left" indent="2"/>
    </xf>
    <xf numFmtId="9" fontId="16" fillId="3" borderId="0" xfId="7" applyFont="1" applyFill="1" applyBorder="1" applyAlignment="1" applyProtection="1">
      <alignment horizontal="right" vertical="center"/>
    </xf>
    <xf numFmtId="9" fontId="16" fillId="3" borderId="0" xfId="7" applyFont="1" applyFill="1" applyBorder="1" applyAlignment="1" applyProtection="1">
      <alignment vertical="center"/>
    </xf>
    <xf numFmtId="9" fontId="16" fillId="3" borderId="0" xfId="4" applyNumberFormat="1" applyFont="1" applyFill="1"/>
    <xf numFmtId="9" fontId="16" fillId="3" borderId="5" xfId="7" applyFont="1" applyFill="1" applyBorder="1" applyAlignment="1" applyProtection="1">
      <alignment vertical="center"/>
    </xf>
    <xf numFmtId="9" fontId="16" fillId="3" borderId="6" xfId="7" applyFont="1" applyFill="1" applyBorder="1" applyAlignment="1" applyProtection="1">
      <alignment vertical="center"/>
    </xf>
    <xf numFmtId="9" fontId="4" fillId="3" borderId="0" xfId="4" applyNumberFormat="1" applyFont="1" applyFill="1"/>
    <xf numFmtId="0" fontId="23" fillId="3" borderId="0" xfId="0" applyFont="1" applyFill="1"/>
    <xf numFmtId="0" fontId="4" fillId="3" borderId="2" xfId="4" applyFont="1" applyFill="1" applyBorder="1"/>
    <xf numFmtId="0" fontId="9" fillId="3" borderId="2" xfId="4" applyFont="1" applyFill="1" applyBorder="1"/>
    <xf numFmtId="169" fontId="4" fillId="6" borderId="2" xfId="6" applyNumberFormat="1" applyFont="1" applyFill="1" applyBorder="1" applyAlignment="1" applyProtection="1">
      <alignment vertical="center"/>
      <protection locked="0"/>
    </xf>
    <xf numFmtId="169" fontId="22" fillId="6" borderId="3" xfId="6" applyNumberFormat="1" applyFont="1" applyFill="1" applyBorder="1" applyAlignment="1" applyProtection="1">
      <alignment vertical="center"/>
      <protection locked="0"/>
    </xf>
    <xf numFmtId="169" fontId="22" fillId="6" borderId="2" xfId="6" applyNumberFormat="1" applyFont="1" applyFill="1" applyBorder="1" applyAlignment="1" applyProtection="1">
      <alignment vertical="center"/>
      <protection locked="0"/>
    </xf>
    <xf numFmtId="169" fontId="22" fillId="6" borderId="4" xfId="6" applyNumberFormat="1" applyFont="1" applyFill="1" applyBorder="1" applyAlignment="1" applyProtection="1">
      <alignment vertical="center"/>
      <protection locked="0"/>
    </xf>
    <xf numFmtId="43" fontId="5" fillId="6" borderId="2" xfId="0" applyNumberFormat="1" applyFont="1" applyFill="1" applyBorder="1"/>
    <xf numFmtId="43" fontId="5" fillId="4" borderId="0" xfId="0" applyNumberFormat="1" applyFont="1" applyFill="1"/>
    <xf numFmtId="169" fontId="9" fillId="3" borderId="2" xfId="7" applyNumberFormat="1" applyFont="1" applyFill="1" applyBorder="1" applyAlignment="1" applyProtection="1">
      <alignment vertical="center"/>
    </xf>
    <xf numFmtId="169" fontId="20" fillId="3" borderId="3" xfId="7" applyNumberFormat="1" applyFont="1" applyFill="1" applyBorder="1" applyAlignment="1" applyProtection="1">
      <alignment vertical="center"/>
    </xf>
    <xf numFmtId="169" fontId="20" fillId="3" borderId="2" xfId="7" applyNumberFormat="1" applyFont="1" applyFill="1" applyBorder="1" applyAlignment="1" applyProtection="1">
      <alignment vertical="center"/>
    </xf>
    <xf numFmtId="169" fontId="20" fillId="3" borderId="4" xfId="7" applyNumberFormat="1" applyFont="1" applyFill="1" applyBorder="1" applyAlignment="1" applyProtection="1">
      <alignment vertical="center"/>
    </xf>
    <xf numFmtId="0" fontId="9" fillId="3" borderId="0" xfId="4" applyFont="1" applyFill="1"/>
    <xf numFmtId="169" fontId="9" fillId="3" borderId="0" xfId="7" applyNumberFormat="1" applyFont="1" applyFill="1" applyBorder="1" applyAlignment="1">
      <alignment vertical="center"/>
    </xf>
    <xf numFmtId="169" fontId="20" fillId="3" borderId="5" xfId="7" applyNumberFormat="1" applyFont="1" applyFill="1" applyBorder="1" applyAlignment="1">
      <alignment vertical="center"/>
    </xf>
    <xf numFmtId="169" fontId="20" fillId="3" borderId="0" xfId="7" applyNumberFormat="1" applyFont="1" applyFill="1" applyBorder="1" applyAlignment="1">
      <alignment vertical="center"/>
    </xf>
    <xf numFmtId="169" fontId="20" fillId="3" borderId="6" xfId="7" applyNumberFormat="1" applyFont="1" applyFill="1" applyBorder="1" applyAlignment="1">
      <alignment vertical="center"/>
    </xf>
    <xf numFmtId="0" fontId="4" fillId="3" borderId="0" xfId="4" applyFont="1" applyFill="1" applyAlignment="1">
      <alignment horizontal="left" indent="2"/>
    </xf>
    <xf numFmtId="169" fontId="4" fillId="6" borderId="3" xfId="6" applyNumberFormat="1" applyFont="1" applyFill="1" applyBorder="1" applyAlignment="1" applyProtection="1">
      <alignment vertical="center"/>
      <protection locked="0"/>
    </xf>
    <xf numFmtId="169" fontId="4" fillId="6" borderId="4" xfId="6" applyNumberFormat="1" applyFont="1" applyFill="1" applyBorder="1" applyAlignment="1" applyProtection="1">
      <alignment vertical="center"/>
      <protection locked="0"/>
    </xf>
    <xf numFmtId="169" fontId="5" fillId="6" borderId="2" xfId="0" applyNumberFormat="1" applyFont="1" applyFill="1" applyBorder="1"/>
    <xf numFmtId="9" fontId="21" fillId="3" borderId="5" xfId="7" applyFont="1" applyFill="1" applyBorder="1" applyAlignment="1" applyProtection="1">
      <alignment vertical="center"/>
    </xf>
    <xf numFmtId="9" fontId="21" fillId="3" borderId="0" xfId="7" applyFont="1" applyFill="1" applyBorder="1" applyAlignment="1" applyProtection="1">
      <alignment vertical="center"/>
    </xf>
    <xf numFmtId="9" fontId="21" fillId="3" borderId="6" xfId="7" applyFont="1" applyFill="1" applyBorder="1" applyAlignment="1" applyProtection="1">
      <alignment vertical="center"/>
    </xf>
    <xf numFmtId="9" fontId="21" fillId="3" borderId="5" xfId="7" applyFont="1" applyFill="1" applyBorder="1" applyAlignment="1" applyProtection="1">
      <alignment horizontal="right" vertical="center"/>
    </xf>
    <xf numFmtId="9" fontId="21" fillId="3" borderId="0" xfId="7" applyFont="1" applyFill="1" applyBorder="1" applyAlignment="1" applyProtection="1">
      <alignment horizontal="right" vertical="center"/>
    </xf>
    <xf numFmtId="9" fontId="21" fillId="3" borderId="6" xfId="7" applyFont="1" applyFill="1" applyBorder="1" applyAlignment="1" applyProtection="1">
      <alignment horizontal="right" vertical="center"/>
    </xf>
    <xf numFmtId="169" fontId="5" fillId="4" borderId="0" xfId="0" applyNumberFormat="1" applyFont="1" applyFill="1"/>
    <xf numFmtId="169" fontId="4" fillId="6" borderId="0" xfId="6" applyNumberFormat="1" applyFont="1" applyFill="1" applyBorder="1" applyAlignment="1" applyProtection="1">
      <alignment vertical="center"/>
      <protection locked="0"/>
    </xf>
    <xf numFmtId="169" fontId="4" fillId="6" borderId="5" xfId="6" applyNumberFormat="1" applyFont="1" applyFill="1" applyBorder="1" applyAlignment="1" applyProtection="1">
      <alignment vertical="center"/>
      <protection locked="0"/>
    </xf>
    <xf numFmtId="169" fontId="4" fillId="6" borderId="6" xfId="6" applyNumberFormat="1" applyFont="1" applyFill="1" applyBorder="1" applyAlignment="1" applyProtection="1">
      <alignment vertical="center"/>
      <protection locked="0"/>
    </xf>
    <xf numFmtId="0" fontId="4" fillId="3" borderId="0" xfId="4" applyFont="1" applyFill="1" applyAlignment="1">
      <alignment horizontal="right" indent="2"/>
    </xf>
    <xf numFmtId="9" fontId="4" fillId="4" borderId="0" xfId="4" applyNumberFormat="1" applyFont="1" applyFill="1"/>
    <xf numFmtId="9" fontId="4" fillId="3" borderId="0" xfId="7" applyFont="1" applyFill="1" applyBorder="1" applyAlignment="1">
      <alignment vertical="center"/>
    </xf>
    <xf numFmtId="9" fontId="22" fillId="3" borderId="5" xfId="7" applyFont="1" applyFill="1" applyBorder="1"/>
    <xf numFmtId="9" fontId="22" fillId="3" borderId="0" xfId="7" applyFont="1" applyFill="1" applyBorder="1"/>
    <xf numFmtId="9" fontId="22" fillId="3" borderId="6" xfId="7" applyFont="1" applyFill="1" applyBorder="1"/>
    <xf numFmtId="9" fontId="4" fillId="3" borderId="0" xfId="7" applyFont="1" applyFill="1" applyBorder="1"/>
    <xf numFmtId="169" fontId="9" fillId="3" borderId="3" xfId="7" applyNumberFormat="1" applyFont="1" applyFill="1" applyBorder="1" applyAlignment="1" applyProtection="1">
      <alignment vertical="center"/>
    </xf>
    <xf numFmtId="169" fontId="9" fillId="3" borderId="4" xfId="7" applyNumberFormat="1" applyFont="1" applyFill="1" applyBorder="1" applyAlignment="1" applyProtection="1">
      <alignment vertical="center"/>
    </xf>
    <xf numFmtId="9" fontId="16" fillId="3" borderId="5" xfId="7" applyFont="1" applyFill="1" applyBorder="1" applyAlignment="1" applyProtection="1">
      <alignment horizontal="right" vertical="center"/>
    </xf>
    <xf numFmtId="9" fontId="16" fillId="3" borderId="6" xfId="7" applyFont="1" applyFill="1" applyBorder="1" applyAlignment="1" applyProtection="1">
      <alignment horizontal="right" vertical="center"/>
    </xf>
    <xf numFmtId="9" fontId="16" fillId="3" borderId="0" xfId="7" applyFont="1" applyFill="1" applyBorder="1" applyAlignment="1">
      <alignment horizontal="right" vertical="center"/>
    </xf>
    <xf numFmtId="9" fontId="16" fillId="3" borderId="0" xfId="7" applyFont="1" applyFill="1" applyBorder="1" applyAlignment="1">
      <alignment vertical="center"/>
    </xf>
    <xf numFmtId="9" fontId="21" fillId="3" borderId="5" xfId="7" applyFont="1" applyFill="1" applyBorder="1" applyAlignment="1">
      <alignment vertical="center"/>
    </xf>
    <xf numFmtId="9" fontId="21" fillId="3" borderId="0" xfId="7" applyFont="1" applyFill="1" applyBorder="1" applyAlignment="1">
      <alignment vertical="center"/>
    </xf>
    <xf numFmtId="9" fontId="21" fillId="3" borderId="6" xfId="7" applyFont="1" applyFill="1" applyBorder="1" applyAlignment="1">
      <alignment vertical="center"/>
    </xf>
    <xf numFmtId="0" fontId="13" fillId="3" borderId="0" xfId="0" applyFont="1" applyFill="1"/>
    <xf numFmtId="169" fontId="22" fillId="4" borderId="7" xfId="6" applyNumberFormat="1" applyFont="1" applyFill="1" applyBorder="1" applyAlignment="1" applyProtection="1">
      <alignment vertical="center"/>
      <protection locked="0"/>
    </xf>
    <xf numFmtId="169" fontId="22" fillId="4" borderId="8" xfId="6" applyNumberFormat="1" applyFont="1" applyFill="1" applyBorder="1" applyAlignment="1" applyProtection="1">
      <alignment vertical="center"/>
      <protection locked="0"/>
    </xf>
    <xf numFmtId="169" fontId="22" fillId="4" borderId="9" xfId="6" applyNumberFormat="1" applyFont="1" applyFill="1" applyBorder="1" applyAlignment="1" applyProtection="1">
      <alignment vertical="center"/>
      <protection locked="0"/>
    </xf>
    <xf numFmtId="0" fontId="9" fillId="3" borderId="2" xfId="4" applyFont="1" applyFill="1" applyBorder="1" applyAlignment="1">
      <alignment horizontal="left" indent="1"/>
    </xf>
    <xf numFmtId="169" fontId="4" fillId="6" borderId="7" xfId="6" applyNumberFormat="1" applyFont="1" applyFill="1" applyBorder="1" applyAlignment="1" applyProtection="1">
      <alignment vertical="center"/>
      <protection locked="0"/>
    </xf>
    <xf numFmtId="169" fontId="4" fillId="6" borderId="8" xfId="6" applyNumberFormat="1" applyFont="1" applyFill="1" applyBorder="1" applyAlignment="1" applyProtection="1">
      <alignment vertical="center"/>
      <protection locked="0"/>
    </xf>
    <xf numFmtId="169" fontId="4" fillId="6" borderId="9" xfId="6" applyNumberFormat="1" applyFont="1" applyFill="1" applyBorder="1" applyAlignment="1" applyProtection="1">
      <alignment vertical="center"/>
      <protection locked="0"/>
    </xf>
    <xf numFmtId="1" fontId="9" fillId="3" borderId="0" xfId="4" applyNumberFormat="1" applyFont="1" applyFill="1" applyAlignment="1">
      <alignment horizontal="center" vertical="center"/>
    </xf>
    <xf numFmtId="0" fontId="20" fillId="3" borderId="3" xfId="4" applyFont="1" applyFill="1" applyBorder="1" applyAlignment="1">
      <alignment horizontal="center" vertical="center"/>
    </xf>
    <xf numFmtId="0" fontId="20" fillId="3" borderId="2" xfId="4" applyFont="1" applyFill="1" applyBorder="1" applyAlignment="1">
      <alignment horizontal="center" vertical="center"/>
    </xf>
    <xf numFmtId="0" fontId="20" fillId="3" borderId="4" xfId="4" applyFont="1" applyFill="1" applyBorder="1" applyAlignment="1">
      <alignment horizontal="center" vertical="center"/>
    </xf>
    <xf numFmtId="169" fontId="4" fillId="3" borderId="0" xfId="6" applyNumberFormat="1" applyFont="1" applyFill="1" applyBorder="1" applyAlignment="1" applyProtection="1">
      <alignment vertical="center"/>
    </xf>
    <xf numFmtId="169" fontId="4" fillId="3" borderId="5" xfId="6" applyNumberFormat="1" applyFont="1" applyFill="1" applyBorder="1" applyAlignment="1" applyProtection="1">
      <alignment vertical="center"/>
    </xf>
    <xf numFmtId="169" fontId="4" fillId="3" borderId="6" xfId="6" applyNumberFormat="1" applyFont="1" applyFill="1" applyBorder="1" applyAlignment="1" applyProtection="1">
      <alignment vertical="center"/>
    </xf>
    <xf numFmtId="169" fontId="4" fillId="3" borderId="0" xfId="7" applyNumberFormat="1" applyFont="1" applyFill="1" applyBorder="1" applyAlignment="1" applyProtection="1">
      <alignment vertical="center"/>
    </xf>
    <xf numFmtId="169" fontId="4" fillId="3" borderId="7" xfId="7" applyNumberFormat="1" applyFont="1" applyFill="1" applyBorder="1" applyAlignment="1" applyProtection="1">
      <alignment vertical="center"/>
    </xf>
    <xf numFmtId="169" fontId="4" fillId="3" borderId="8" xfId="7" applyNumberFormat="1" applyFont="1" applyFill="1" applyBorder="1" applyAlignment="1" applyProtection="1">
      <alignment vertical="center"/>
    </xf>
    <xf numFmtId="169" fontId="4" fillId="3" borderId="9" xfId="7" applyNumberFormat="1" applyFont="1" applyFill="1" applyBorder="1" applyAlignment="1" applyProtection="1">
      <alignment vertical="center"/>
    </xf>
    <xf numFmtId="169" fontId="4" fillId="3" borderId="0" xfId="7" applyNumberFormat="1" applyFont="1" applyFill="1" applyBorder="1" applyAlignment="1">
      <alignment vertical="center"/>
    </xf>
    <xf numFmtId="170" fontId="4" fillId="3" borderId="0" xfId="7" applyNumberFormat="1" applyFont="1" applyFill="1" applyBorder="1" applyProtection="1"/>
    <xf numFmtId="9" fontId="4" fillId="3" borderId="0" xfId="7" applyFont="1" applyFill="1" applyBorder="1" applyProtection="1"/>
    <xf numFmtId="169" fontId="4" fillId="4" borderId="3" xfId="6" applyNumberFormat="1" applyFont="1" applyFill="1" applyBorder="1" applyAlignment="1" applyProtection="1">
      <alignment vertical="center"/>
      <protection locked="0"/>
    </xf>
    <xf numFmtId="169" fontId="4" fillId="4" borderId="2" xfId="6" applyNumberFormat="1" applyFont="1" applyFill="1" applyBorder="1" applyAlignment="1" applyProtection="1">
      <alignment vertical="center"/>
      <protection locked="0"/>
    </xf>
    <xf numFmtId="169" fontId="4" fillId="4" borderId="4" xfId="6" applyNumberFormat="1" applyFont="1" applyFill="1" applyBorder="1" applyAlignment="1" applyProtection="1">
      <alignment vertical="center"/>
      <protection locked="0"/>
    </xf>
    <xf numFmtId="169" fontId="4" fillId="4" borderId="5" xfId="6" applyNumberFormat="1" applyFont="1" applyFill="1" applyBorder="1" applyAlignment="1" applyProtection="1">
      <alignment vertical="center"/>
      <protection locked="0"/>
    </xf>
    <xf numFmtId="169" fontId="4" fillId="4" borderId="6" xfId="6" applyNumberFormat="1" applyFont="1" applyFill="1" applyBorder="1" applyAlignment="1" applyProtection="1">
      <alignment vertical="center"/>
      <protection locked="0"/>
    </xf>
    <xf numFmtId="169" fontId="4" fillId="4" borderId="7" xfId="6" applyNumberFormat="1" applyFont="1" applyFill="1" applyBorder="1" applyAlignment="1" applyProtection="1">
      <alignment vertical="center"/>
      <protection locked="0"/>
    </xf>
    <xf numFmtId="169" fontId="4" fillId="4" borderId="8" xfId="6" applyNumberFormat="1" applyFont="1" applyFill="1" applyBorder="1" applyAlignment="1" applyProtection="1">
      <alignment vertical="center"/>
      <protection locked="0"/>
    </xf>
    <xf numFmtId="169" fontId="4" fillId="4" borderId="9" xfId="6" applyNumberFormat="1" applyFont="1" applyFill="1" applyBorder="1" applyAlignment="1" applyProtection="1">
      <alignment vertical="center"/>
      <protection locked="0"/>
    </xf>
    <xf numFmtId="9" fontId="4" fillId="3" borderId="0" xfId="7" applyFont="1" applyFill="1" applyBorder="1" applyAlignment="1" applyProtection="1">
      <alignment vertical="center"/>
      <protection locked="0"/>
    </xf>
    <xf numFmtId="9" fontId="22" fillId="3" borderId="0" xfId="7" applyFont="1" applyFill="1" applyBorder="1" applyProtection="1">
      <protection locked="0"/>
    </xf>
    <xf numFmtId="169" fontId="24" fillId="3" borderId="0" xfId="6" applyNumberFormat="1" applyFont="1" applyFill="1" applyBorder="1" applyAlignment="1" applyProtection="1">
      <alignment vertical="center"/>
      <protection locked="0"/>
    </xf>
    <xf numFmtId="169" fontId="11" fillId="3" borderId="0" xfId="6" applyNumberFormat="1" applyFont="1" applyFill="1" applyBorder="1" applyAlignment="1" applyProtection="1">
      <alignment vertical="center"/>
      <protection locked="0"/>
    </xf>
    <xf numFmtId="169" fontId="9" fillId="3" borderId="0" xfId="7" applyNumberFormat="1" applyFont="1" applyFill="1" applyBorder="1" applyAlignment="1" applyProtection="1">
      <alignment vertical="center"/>
    </xf>
    <xf numFmtId="169" fontId="11" fillId="3" borderId="0" xfId="6" applyNumberFormat="1" applyFont="1" applyFill="1" applyBorder="1" applyAlignment="1" applyProtection="1">
      <alignment vertical="center"/>
    </xf>
    <xf numFmtId="169" fontId="4" fillId="4" borderId="10" xfId="6" applyNumberFormat="1" applyFont="1" applyFill="1" applyBorder="1" applyAlignment="1" applyProtection="1">
      <alignment vertical="center"/>
      <protection locked="0"/>
    </xf>
    <xf numFmtId="169" fontId="4" fillId="4" borderId="11" xfId="6" applyNumberFormat="1" applyFont="1" applyFill="1" applyBorder="1" applyAlignment="1" applyProtection="1">
      <alignment vertical="center"/>
      <protection locked="0"/>
    </xf>
    <xf numFmtId="169" fontId="4" fillId="4" borderId="12" xfId="6" applyNumberFormat="1" applyFont="1" applyFill="1" applyBorder="1" applyAlignment="1" applyProtection="1">
      <alignment vertical="center"/>
      <protection locked="0"/>
    </xf>
    <xf numFmtId="9" fontId="4" fillId="3" borderId="0" xfId="7" applyFont="1" applyFill="1" applyBorder="1" applyAlignment="1" applyProtection="1">
      <alignment vertical="center"/>
    </xf>
    <xf numFmtId="9" fontId="22" fillId="3" borderId="0" xfId="7" applyFont="1" applyFill="1" applyBorder="1" applyProtection="1"/>
    <xf numFmtId="169" fontId="24" fillId="3" borderId="0" xfId="6" applyNumberFormat="1" applyFont="1" applyFill="1" applyBorder="1" applyAlignment="1" applyProtection="1">
      <alignment vertical="center"/>
    </xf>
    <xf numFmtId="0" fontId="15" fillId="3" borderId="0" xfId="0" applyFont="1" applyFill="1" applyAlignment="1">
      <alignment horizontal="center"/>
    </xf>
    <xf numFmtId="0" fontId="19" fillId="5" borderId="0" xfId="4" applyFont="1" applyFill="1" applyAlignment="1">
      <alignment horizontal="centerContinuous"/>
    </xf>
    <xf numFmtId="171" fontId="9" fillId="4" borderId="0" xfId="6" applyNumberFormat="1" applyFont="1" applyFill="1" applyBorder="1" applyAlignment="1" applyProtection="1">
      <alignment vertical="center"/>
      <protection locked="0"/>
    </xf>
    <xf numFmtId="171" fontId="4" fillId="3" borderId="0" xfId="7" applyNumberFormat="1" applyFont="1" applyFill="1" applyBorder="1" applyAlignment="1">
      <alignment vertical="center"/>
    </xf>
    <xf numFmtId="171" fontId="22" fillId="3" borderId="5" xfId="6" applyNumberFormat="1" applyFont="1" applyFill="1" applyBorder="1"/>
    <xf numFmtId="171" fontId="22" fillId="3" borderId="0" xfId="6" applyNumberFormat="1" applyFont="1" applyFill="1" applyBorder="1"/>
    <xf numFmtId="171" fontId="22" fillId="3" borderId="6" xfId="6" applyNumberFormat="1" applyFont="1" applyFill="1" applyBorder="1"/>
    <xf numFmtId="171" fontId="4" fillId="4" borderId="0" xfId="6" applyNumberFormat="1" applyFont="1" applyFill="1" applyBorder="1" applyAlignment="1" applyProtection="1">
      <alignment vertical="center"/>
      <protection locked="0"/>
    </xf>
    <xf numFmtId="9" fontId="4" fillId="4" borderId="0" xfId="2" applyFont="1" applyFill="1" applyBorder="1" applyAlignment="1" applyProtection="1">
      <alignment vertical="center"/>
      <protection locked="0"/>
    </xf>
    <xf numFmtId="171" fontId="4" fillId="6" borderId="2" xfId="6" applyNumberFormat="1" applyFont="1" applyFill="1" applyBorder="1" applyAlignment="1" applyProtection="1">
      <alignment vertical="center"/>
      <protection locked="0"/>
    </xf>
    <xf numFmtId="171" fontId="4" fillId="6" borderId="3" xfId="6" applyNumberFormat="1" applyFont="1" applyFill="1" applyBorder="1" applyAlignment="1" applyProtection="1">
      <alignment vertical="center"/>
      <protection locked="0"/>
    </xf>
    <xf numFmtId="171" fontId="4" fillId="6" borderId="4" xfId="6" applyNumberFormat="1" applyFont="1" applyFill="1" applyBorder="1" applyAlignment="1" applyProtection="1">
      <alignment vertical="center"/>
      <protection locked="0"/>
    </xf>
    <xf numFmtId="171" fontId="5" fillId="6" borderId="2" xfId="0" applyNumberFormat="1" applyFont="1" applyFill="1" applyBorder="1"/>
    <xf numFmtId="172" fontId="16" fillId="3" borderId="0" xfId="7" applyNumberFormat="1" applyFont="1" applyFill="1" applyBorder="1" applyAlignment="1" applyProtection="1">
      <alignment horizontal="right" vertical="center"/>
    </xf>
    <xf numFmtId="0" fontId="22" fillId="3" borderId="7" xfId="4" applyFont="1" applyFill="1" applyBorder="1"/>
    <xf numFmtId="0" fontId="22" fillId="3" borderId="8" xfId="4" applyFont="1" applyFill="1" applyBorder="1"/>
    <xf numFmtId="0" fontId="22" fillId="3" borderId="9" xfId="4" applyFont="1" applyFill="1" applyBorder="1"/>
    <xf numFmtId="172" fontId="5" fillId="3" borderId="0" xfId="2" applyNumberFormat="1" applyFont="1" applyFill="1" applyBorder="1"/>
    <xf numFmtId="171" fontId="4" fillId="3" borderId="0" xfId="7" applyNumberFormat="1" applyFont="1" applyFill="1" applyBorder="1" applyProtection="1"/>
    <xf numFmtId="9" fontId="4" fillId="6" borderId="0" xfId="2" applyFont="1" applyFill="1" applyBorder="1" applyAlignment="1" applyProtection="1">
      <alignment vertical="center"/>
      <protection locked="0"/>
    </xf>
    <xf numFmtId="171" fontId="9" fillId="3" borderId="0" xfId="7" applyNumberFormat="1" applyFont="1" applyFill="1" applyBorder="1" applyAlignment="1" applyProtection="1">
      <alignment vertical="center"/>
    </xf>
    <xf numFmtId="0" fontId="9" fillId="3" borderId="0" xfId="4" applyFont="1" applyFill="1" applyProtection="1">
      <protection locked="0"/>
    </xf>
    <xf numFmtId="0" fontId="9" fillId="3" borderId="0" xfId="4" applyFont="1" applyFill="1" applyAlignment="1" applyProtection="1">
      <alignment horizontal="left" indent="1"/>
      <protection locked="0"/>
    </xf>
    <xf numFmtId="0" fontId="4" fillId="3" borderId="0" xfId="4" applyFont="1" applyFill="1" applyProtection="1">
      <protection locked="0"/>
    </xf>
    <xf numFmtId="0" fontId="5" fillId="3" borderId="0" xfId="0" applyFont="1" applyFill="1" applyProtection="1">
      <protection locked="0"/>
    </xf>
    <xf numFmtId="0" fontId="15" fillId="3" borderId="0" xfId="0" applyFont="1" applyFill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14" fillId="3" borderId="1" xfId="0" applyFont="1" applyFill="1" applyBorder="1" applyProtection="1">
      <protection locked="0"/>
    </xf>
    <xf numFmtId="0" fontId="15" fillId="3" borderId="1" xfId="0" applyFont="1" applyFill="1" applyBorder="1" applyAlignment="1" applyProtection="1">
      <alignment horizontal="center"/>
      <protection locked="0"/>
    </xf>
    <xf numFmtId="0" fontId="14" fillId="3" borderId="0" xfId="0" applyFont="1" applyFill="1" applyProtection="1">
      <protection locked="0"/>
    </xf>
    <xf numFmtId="14" fontId="27" fillId="3" borderId="0" xfId="8" applyNumberFormat="1" applyFont="1" applyFill="1" applyProtection="1">
      <protection hidden="1"/>
    </xf>
    <xf numFmtId="8" fontId="17" fillId="3" borderId="0" xfId="8" applyNumberFormat="1" applyFont="1" applyFill="1" applyProtection="1">
      <protection locked="0"/>
    </xf>
    <xf numFmtId="0" fontId="16" fillId="3" borderId="0" xfId="0" applyFont="1" applyFill="1" applyProtection="1">
      <protection locked="0"/>
    </xf>
    <xf numFmtId="0" fontId="18" fillId="3" borderId="0" xfId="8" applyFont="1" applyFill="1" applyProtection="1">
      <protection locked="0"/>
    </xf>
    <xf numFmtId="0" fontId="5" fillId="3" borderId="0" xfId="8" applyFont="1" applyFill="1" applyProtection="1">
      <protection locked="0"/>
    </xf>
    <xf numFmtId="6" fontId="5" fillId="3" borderId="0" xfId="8" applyNumberFormat="1" applyFont="1" applyFill="1" applyProtection="1">
      <protection locked="0"/>
    </xf>
    <xf numFmtId="0" fontId="5" fillId="3" borderId="3" xfId="8" applyFont="1" applyFill="1" applyBorder="1"/>
    <xf numFmtId="10" fontId="5" fillId="3" borderId="4" xfId="9" applyNumberFormat="1" applyFont="1" applyFill="1" applyBorder="1" applyAlignment="1" applyProtection="1">
      <alignment horizontal="center"/>
    </xf>
    <xf numFmtId="14" fontId="5" fillId="3" borderId="3" xfId="8" applyNumberFormat="1" applyFont="1" applyFill="1" applyBorder="1"/>
    <xf numFmtId="0" fontId="4" fillId="3" borderId="0" xfId="8" applyFont="1" applyFill="1" applyProtection="1">
      <protection locked="0"/>
    </xf>
    <xf numFmtId="0" fontId="18" fillId="3" borderId="0" xfId="8" applyFont="1" applyFill="1" applyAlignment="1" applyProtection="1">
      <alignment horizontal="left"/>
      <protection locked="0"/>
    </xf>
    <xf numFmtId="0" fontId="5" fillId="3" borderId="5" xfId="8" applyFont="1" applyFill="1" applyBorder="1"/>
    <xf numFmtId="10" fontId="5" fillId="3" borderId="6" xfId="9" applyNumberFormat="1" applyFont="1" applyFill="1" applyBorder="1" applyAlignment="1" applyProtection="1">
      <alignment horizontal="center"/>
    </xf>
    <xf numFmtId="14" fontId="5" fillId="3" borderId="5" xfId="8" applyNumberFormat="1" applyFont="1" applyFill="1" applyBorder="1"/>
    <xf numFmtId="38" fontId="5" fillId="3" borderId="0" xfId="8" applyNumberFormat="1" applyFont="1" applyFill="1" applyProtection="1">
      <protection locked="0"/>
    </xf>
    <xf numFmtId="0" fontId="4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173" fontId="5" fillId="3" borderId="0" xfId="8" applyNumberFormat="1" applyFont="1" applyFill="1" applyProtection="1">
      <protection locked="0"/>
    </xf>
    <xf numFmtId="0" fontId="5" fillId="3" borderId="7" xfId="8" applyFont="1" applyFill="1" applyBorder="1"/>
    <xf numFmtId="10" fontId="5" fillId="3" borderId="9" xfId="9" applyNumberFormat="1" applyFont="1" applyFill="1" applyBorder="1" applyAlignment="1" applyProtection="1">
      <alignment horizontal="center"/>
    </xf>
    <xf numFmtId="0" fontId="21" fillId="3" borderId="0" xfId="4" applyFont="1" applyFill="1" applyAlignment="1" applyProtection="1">
      <alignment horizontal="left"/>
      <protection locked="0"/>
    </xf>
    <xf numFmtId="0" fontId="21" fillId="3" borderId="0" xfId="4" applyFont="1" applyFill="1" applyAlignment="1" applyProtection="1">
      <alignment horizontal="left" indent="2"/>
      <protection locked="0"/>
    </xf>
    <xf numFmtId="8" fontId="4" fillId="3" borderId="0" xfId="8" applyNumberFormat="1" applyFont="1" applyFill="1" applyProtection="1">
      <protection locked="0"/>
    </xf>
    <xf numFmtId="44" fontId="5" fillId="3" borderId="0" xfId="8" applyNumberFormat="1" applyFont="1" applyFill="1" applyProtection="1">
      <protection locked="0"/>
    </xf>
    <xf numFmtId="0" fontId="5" fillId="3" borderId="0" xfId="8" applyFont="1" applyFill="1" applyAlignment="1" applyProtection="1">
      <alignment horizontal="left"/>
      <protection locked="0"/>
    </xf>
    <xf numFmtId="0" fontId="22" fillId="3" borderId="0" xfId="4" applyFont="1" applyFill="1" applyAlignment="1" applyProtection="1">
      <alignment horizontal="left" vertical="center"/>
      <protection locked="0"/>
    </xf>
    <xf numFmtId="0" fontId="5" fillId="3" borderId="6" xfId="8" applyFont="1" applyFill="1" applyBorder="1" applyAlignment="1" applyProtection="1">
      <alignment horizontal="left"/>
      <protection locked="0"/>
    </xf>
    <xf numFmtId="0" fontId="5" fillId="3" borderId="0" xfId="8" applyFont="1" applyFill="1" applyAlignment="1" applyProtection="1">
      <alignment wrapText="1"/>
      <protection locked="0"/>
    </xf>
    <xf numFmtId="0" fontId="5" fillId="3" borderId="0" xfId="11" applyFont="1" applyFill="1" applyProtection="1">
      <protection locked="0"/>
    </xf>
    <xf numFmtId="14" fontId="5" fillId="3" borderId="0" xfId="11" applyNumberFormat="1" applyFont="1" applyFill="1" applyProtection="1">
      <protection locked="0"/>
    </xf>
    <xf numFmtId="0" fontId="18" fillId="3" borderId="0" xfId="8" applyFont="1" applyFill="1" applyAlignment="1" applyProtection="1">
      <alignment wrapText="1"/>
      <protection locked="0"/>
    </xf>
    <xf numFmtId="171" fontId="27" fillId="3" borderId="0" xfId="6" applyNumberFormat="1" applyFont="1" applyFill="1" applyBorder="1" applyProtection="1">
      <protection hidden="1"/>
    </xf>
    <xf numFmtId="8" fontId="5" fillId="3" borderId="13" xfId="8" applyNumberFormat="1" applyFont="1" applyFill="1" applyBorder="1" applyProtection="1">
      <protection locked="0"/>
    </xf>
    <xf numFmtId="0" fontId="5" fillId="7" borderId="0" xfId="8" applyFont="1" applyFill="1" applyProtection="1">
      <protection locked="0"/>
    </xf>
    <xf numFmtId="175" fontId="5" fillId="4" borderId="13" xfId="8" applyNumberFormat="1" applyFont="1" applyFill="1" applyBorder="1" applyProtection="1">
      <protection locked="0"/>
    </xf>
    <xf numFmtId="176" fontId="5" fillId="7" borderId="0" xfId="8" applyNumberFormat="1" applyFont="1" applyFill="1" applyAlignment="1" applyProtection="1">
      <alignment horizontal="center"/>
      <protection locked="0"/>
    </xf>
    <xf numFmtId="0" fontId="5" fillId="7" borderId="4" xfId="8" applyFont="1" applyFill="1" applyBorder="1" applyProtection="1">
      <protection locked="0"/>
    </xf>
    <xf numFmtId="176" fontId="5" fillId="7" borderId="4" xfId="8" applyNumberFormat="1" applyFont="1" applyFill="1" applyBorder="1" applyAlignment="1" applyProtection="1">
      <alignment horizontal="center"/>
      <protection locked="0"/>
    </xf>
    <xf numFmtId="8" fontId="5" fillId="7" borderId="14" xfId="8" applyNumberFormat="1" applyFont="1" applyFill="1" applyBorder="1" applyProtection="1">
      <protection locked="0"/>
    </xf>
    <xf numFmtId="8" fontId="5" fillId="3" borderId="0" xfId="8" applyNumberFormat="1" applyFont="1" applyFill="1" applyProtection="1">
      <protection locked="0"/>
    </xf>
    <xf numFmtId="176" fontId="5" fillId="4" borderId="13" xfId="8" applyNumberFormat="1" applyFont="1" applyFill="1" applyBorder="1" applyAlignment="1" applyProtection="1">
      <alignment horizontal="center"/>
      <protection locked="0"/>
    </xf>
    <xf numFmtId="176" fontId="5" fillId="7" borderId="6" xfId="8" applyNumberFormat="1" applyFont="1" applyFill="1" applyBorder="1" applyAlignment="1" applyProtection="1">
      <alignment horizontal="center"/>
      <protection locked="0"/>
    </xf>
    <xf numFmtId="8" fontId="5" fillId="7" borderId="15" xfId="8" applyNumberFormat="1" applyFont="1" applyFill="1" applyBorder="1" applyProtection="1">
      <protection locked="0"/>
    </xf>
    <xf numFmtId="0" fontId="5" fillId="7" borderId="8" xfId="8" applyFont="1" applyFill="1" applyBorder="1" applyProtection="1">
      <protection locked="0"/>
    </xf>
    <xf numFmtId="176" fontId="5" fillId="7" borderId="8" xfId="8" applyNumberFormat="1" applyFont="1" applyFill="1" applyBorder="1" applyAlignment="1" applyProtection="1">
      <alignment horizontal="center"/>
      <protection locked="0"/>
    </xf>
    <xf numFmtId="176" fontId="5" fillId="7" borderId="9" xfId="8" applyNumberFormat="1" applyFont="1" applyFill="1" applyBorder="1" applyAlignment="1" applyProtection="1">
      <alignment horizontal="center"/>
      <protection locked="0"/>
    </xf>
    <xf numFmtId="0" fontId="4" fillId="3" borderId="8" xfId="4" applyFont="1" applyFill="1" applyBorder="1" applyProtection="1">
      <protection locked="0"/>
    </xf>
    <xf numFmtId="8" fontId="5" fillId="7" borderId="16" xfId="8" applyNumberFormat="1" applyFont="1" applyFill="1" applyBorder="1" applyProtection="1">
      <protection locked="0"/>
    </xf>
    <xf numFmtId="0" fontId="4" fillId="3" borderId="6" xfId="4" applyFont="1" applyFill="1" applyBorder="1" applyProtection="1">
      <protection locked="0"/>
    </xf>
    <xf numFmtId="0" fontId="5" fillId="3" borderId="13" xfId="8" applyFont="1" applyFill="1" applyBorder="1" applyProtection="1">
      <protection locked="0"/>
    </xf>
    <xf numFmtId="8" fontId="5" fillId="7" borderId="13" xfId="8" applyNumberFormat="1" applyFont="1" applyFill="1" applyBorder="1" applyProtection="1">
      <protection locked="0"/>
    </xf>
    <xf numFmtId="38" fontId="5" fillId="4" borderId="12" xfId="8" applyNumberFormat="1" applyFont="1" applyFill="1" applyBorder="1" applyProtection="1">
      <protection locked="0"/>
    </xf>
    <xf numFmtId="38" fontId="5" fillId="4" borderId="13" xfId="8" applyNumberFormat="1" applyFont="1" applyFill="1" applyBorder="1" applyProtection="1">
      <protection locked="0"/>
    </xf>
    <xf numFmtId="180" fontId="4" fillId="3" borderId="0" xfId="2" applyNumberFormat="1" applyFont="1" applyFill="1" applyBorder="1" applyProtection="1">
      <protection locked="0"/>
    </xf>
    <xf numFmtId="0" fontId="5" fillId="4" borderId="13" xfId="8" applyFont="1" applyFill="1" applyBorder="1" applyProtection="1">
      <protection locked="0"/>
    </xf>
    <xf numFmtId="0" fontId="16" fillId="3" borderId="0" xfId="4" applyFont="1" applyFill="1" applyProtection="1">
      <protection locked="0"/>
    </xf>
    <xf numFmtId="176" fontId="5" fillId="7" borderId="3" xfId="8" applyNumberFormat="1" applyFont="1" applyFill="1" applyBorder="1" applyProtection="1">
      <protection locked="0"/>
    </xf>
    <xf numFmtId="176" fontId="5" fillId="7" borderId="4" xfId="8" applyNumberFormat="1" applyFont="1" applyFill="1" applyBorder="1" applyProtection="1">
      <protection locked="0"/>
    </xf>
    <xf numFmtId="38" fontId="5" fillId="4" borderId="10" xfId="8" applyNumberFormat="1" applyFont="1" applyFill="1" applyBorder="1" applyProtection="1">
      <protection locked="0"/>
    </xf>
    <xf numFmtId="176" fontId="5" fillId="7" borderId="2" xfId="8" applyNumberFormat="1" applyFont="1" applyFill="1" applyBorder="1" applyProtection="1">
      <protection locked="0"/>
    </xf>
    <xf numFmtId="0" fontId="27" fillId="3" borderId="0" xfId="8" applyFont="1" applyFill="1" applyProtection="1">
      <protection hidden="1"/>
    </xf>
    <xf numFmtId="176" fontId="5" fillId="7" borderId="5" xfId="8" applyNumberFormat="1" applyFont="1" applyFill="1" applyBorder="1" applyProtection="1">
      <protection locked="0"/>
    </xf>
    <xf numFmtId="176" fontId="5" fillId="7" borderId="6" xfId="8" applyNumberFormat="1" applyFont="1" applyFill="1" applyBorder="1" applyProtection="1">
      <protection locked="0"/>
    </xf>
    <xf numFmtId="176" fontId="5" fillId="7" borderId="0" xfId="8" applyNumberFormat="1" applyFont="1" applyFill="1" applyProtection="1">
      <protection locked="0"/>
    </xf>
    <xf numFmtId="176" fontId="5" fillId="7" borderId="7" xfId="8" applyNumberFormat="1" applyFont="1" applyFill="1" applyBorder="1" applyProtection="1">
      <protection locked="0"/>
    </xf>
    <xf numFmtId="176" fontId="5" fillId="7" borderId="8" xfId="8" applyNumberFormat="1" applyFont="1" applyFill="1" applyBorder="1" applyProtection="1">
      <protection locked="0"/>
    </xf>
    <xf numFmtId="0" fontId="18" fillId="3" borderId="0" xfId="8" applyFont="1" applyFill="1"/>
    <xf numFmtId="0" fontId="21" fillId="3" borderId="0" xfId="4" applyFont="1" applyFill="1" applyProtection="1">
      <protection locked="0"/>
    </xf>
    <xf numFmtId="0" fontId="17" fillId="3" borderId="0" xfId="8" applyFont="1" applyFill="1" applyProtection="1">
      <protection locked="0"/>
    </xf>
    <xf numFmtId="0" fontId="17" fillId="7" borderId="10" xfId="8" applyFont="1" applyFill="1" applyBorder="1" applyProtection="1">
      <protection locked="0"/>
    </xf>
    <xf numFmtId="0" fontId="17" fillId="7" borderId="11" xfId="8" applyFont="1" applyFill="1" applyBorder="1" applyProtection="1">
      <protection locked="0"/>
    </xf>
    <xf numFmtId="38" fontId="17" fillId="7" borderId="11" xfId="8" applyNumberFormat="1" applyFont="1" applyFill="1" applyBorder="1" applyProtection="1">
      <protection locked="0"/>
    </xf>
    <xf numFmtId="8" fontId="17" fillId="7" borderId="12" xfId="8" applyNumberFormat="1" applyFont="1" applyFill="1" applyBorder="1" applyProtection="1">
      <protection locked="0"/>
    </xf>
    <xf numFmtId="0" fontId="17" fillId="3" borderId="0" xfId="8" applyFont="1" applyFill="1" applyAlignment="1" applyProtection="1">
      <alignment horizontal="center"/>
      <protection locked="0"/>
    </xf>
    <xf numFmtId="38" fontId="17" fillId="3" borderId="0" xfId="8" applyNumberFormat="1" applyFont="1" applyFill="1" applyProtection="1">
      <protection locked="0"/>
    </xf>
    <xf numFmtId="0" fontId="18" fillId="3" borderId="13" xfId="8" applyFont="1" applyFill="1" applyBorder="1" applyAlignment="1" applyProtection="1">
      <alignment horizontal="center"/>
      <protection locked="0"/>
    </xf>
    <xf numFmtId="0" fontId="18" fillId="3" borderId="13" xfId="8" applyFont="1" applyFill="1" applyBorder="1" applyAlignment="1" applyProtection="1">
      <alignment horizontal="left"/>
      <protection locked="0"/>
    </xf>
    <xf numFmtId="0" fontId="18" fillId="3" borderId="13" xfId="8" applyFont="1" applyFill="1" applyBorder="1" applyAlignment="1">
      <alignment horizontal="left"/>
    </xf>
    <xf numFmtId="6" fontId="5" fillId="3" borderId="13" xfId="8" applyNumberFormat="1" applyFont="1" applyFill="1" applyBorder="1"/>
    <xf numFmtId="179" fontId="17" fillId="3" borderId="13" xfId="8" applyNumberFormat="1" applyFont="1" applyFill="1" applyBorder="1"/>
    <xf numFmtId="0" fontId="3" fillId="5" borderId="12" xfId="4" applyFont="1" applyFill="1" applyBorder="1" applyAlignment="1" applyProtection="1">
      <alignment horizontal="center" vertical="center" wrapText="1"/>
      <protection locked="0"/>
    </xf>
    <xf numFmtId="179" fontId="5" fillId="3" borderId="0" xfId="8" applyNumberFormat="1" applyFont="1" applyFill="1" applyProtection="1">
      <protection locked="0"/>
    </xf>
    <xf numFmtId="0" fontId="5" fillId="3" borderId="13" xfId="8" applyFont="1" applyFill="1" applyBorder="1" applyAlignment="1" applyProtection="1">
      <alignment horizontal="right"/>
      <protection locked="0"/>
    </xf>
    <xf numFmtId="178" fontId="5" fillId="3" borderId="13" xfId="8" applyNumberFormat="1" applyFont="1" applyFill="1" applyBorder="1" applyProtection="1">
      <protection locked="0"/>
    </xf>
    <xf numFmtId="172" fontId="5" fillId="4" borderId="13" xfId="8" applyNumberFormat="1" applyFont="1" applyFill="1" applyBorder="1" applyAlignment="1" applyProtection="1">
      <alignment horizontal="center"/>
      <protection locked="0"/>
    </xf>
    <xf numFmtId="179" fontId="5" fillId="3" borderId="13" xfId="8" applyNumberFormat="1" applyFont="1" applyFill="1" applyBorder="1" applyProtection="1">
      <protection locked="0"/>
    </xf>
    <xf numFmtId="14" fontId="5" fillId="3" borderId="0" xfId="8" applyNumberFormat="1" applyFont="1" applyFill="1" applyProtection="1">
      <protection locked="0"/>
    </xf>
    <xf numFmtId="175" fontId="5" fillId="3" borderId="13" xfId="8" applyNumberFormat="1" applyFont="1" applyFill="1" applyBorder="1" applyProtection="1">
      <protection locked="0"/>
    </xf>
    <xf numFmtId="176" fontId="5" fillId="3" borderId="0" xfId="8" applyNumberFormat="1" applyFont="1" applyFill="1" applyAlignment="1" applyProtection="1">
      <alignment horizontal="center"/>
      <protection locked="0"/>
    </xf>
    <xf numFmtId="0" fontId="5" fillId="3" borderId="4" xfId="8" applyFont="1" applyFill="1" applyBorder="1" applyProtection="1">
      <protection locked="0"/>
    </xf>
    <xf numFmtId="176" fontId="5" fillId="3" borderId="4" xfId="8" applyNumberFormat="1" applyFont="1" applyFill="1" applyBorder="1" applyAlignment="1" applyProtection="1">
      <alignment horizontal="center"/>
      <protection locked="0"/>
    </xf>
    <xf numFmtId="8" fontId="5" fillId="3" borderId="14" xfId="8" applyNumberFormat="1" applyFont="1" applyFill="1" applyBorder="1" applyProtection="1">
      <protection locked="0"/>
    </xf>
    <xf numFmtId="176" fontId="5" fillId="3" borderId="13" xfId="8" applyNumberFormat="1" applyFont="1" applyFill="1" applyBorder="1" applyAlignment="1" applyProtection="1">
      <alignment horizontal="center"/>
      <protection locked="0"/>
    </xf>
    <xf numFmtId="176" fontId="5" fillId="3" borderId="6" xfId="8" applyNumberFormat="1" applyFont="1" applyFill="1" applyBorder="1" applyAlignment="1" applyProtection="1">
      <alignment horizontal="center"/>
      <protection locked="0"/>
    </xf>
    <xf numFmtId="8" fontId="5" fillId="3" borderId="15" xfId="8" applyNumberFormat="1" applyFont="1" applyFill="1" applyBorder="1" applyProtection="1">
      <protection locked="0"/>
    </xf>
    <xf numFmtId="0" fontId="5" fillId="3" borderId="8" xfId="8" applyFont="1" applyFill="1" applyBorder="1" applyProtection="1">
      <protection locked="0"/>
    </xf>
    <xf numFmtId="179" fontId="5" fillId="3" borderId="13" xfId="8" applyNumberFormat="1" applyFont="1" applyFill="1" applyBorder="1" applyAlignment="1" applyProtection="1">
      <alignment horizontal="center"/>
      <protection locked="0"/>
    </xf>
    <xf numFmtId="176" fontId="5" fillId="3" borderId="8" xfId="8" applyNumberFormat="1" applyFont="1" applyFill="1" applyBorder="1" applyAlignment="1" applyProtection="1">
      <alignment horizontal="center"/>
      <protection locked="0"/>
    </xf>
    <xf numFmtId="176" fontId="5" fillId="3" borderId="9" xfId="8" applyNumberFormat="1" applyFont="1" applyFill="1" applyBorder="1" applyAlignment="1" applyProtection="1">
      <alignment horizontal="center"/>
      <protection locked="0"/>
    </xf>
    <xf numFmtId="8" fontId="5" fillId="3" borderId="16" xfId="8" applyNumberFormat="1" applyFont="1" applyFill="1" applyBorder="1" applyProtection="1">
      <protection locked="0"/>
    </xf>
    <xf numFmtId="179" fontId="5" fillId="8" borderId="13" xfId="8" applyNumberFormat="1" applyFont="1" applyFill="1" applyBorder="1" applyProtection="1">
      <protection locked="0"/>
    </xf>
    <xf numFmtId="178" fontId="5" fillId="3" borderId="13" xfId="9" applyNumberFormat="1" applyFont="1" applyFill="1" applyBorder="1" applyAlignment="1" applyProtection="1">
      <protection locked="0"/>
    </xf>
    <xf numFmtId="176" fontId="5" fillId="3" borderId="3" xfId="8" applyNumberFormat="1" applyFont="1" applyFill="1" applyBorder="1" applyProtection="1">
      <protection locked="0"/>
    </xf>
    <xf numFmtId="176" fontId="5" fillId="3" borderId="4" xfId="8" applyNumberFormat="1" applyFont="1" applyFill="1" applyBorder="1" applyProtection="1">
      <protection locked="0"/>
    </xf>
    <xf numFmtId="176" fontId="5" fillId="3" borderId="2" xfId="8" applyNumberFormat="1" applyFont="1" applyFill="1" applyBorder="1" applyProtection="1">
      <protection locked="0"/>
    </xf>
    <xf numFmtId="176" fontId="5" fillId="3" borderId="2" xfId="8" applyNumberFormat="1" applyFont="1" applyFill="1" applyBorder="1" applyAlignment="1" applyProtection="1">
      <alignment horizontal="center"/>
      <protection locked="0"/>
    </xf>
    <xf numFmtId="179" fontId="5" fillId="3" borderId="10" xfId="8" applyNumberFormat="1" applyFont="1" applyFill="1" applyBorder="1" applyProtection="1">
      <protection locked="0"/>
    </xf>
    <xf numFmtId="176" fontId="5" fillId="3" borderId="14" xfId="8" applyNumberFormat="1" applyFont="1" applyFill="1" applyBorder="1" applyAlignment="1" applyProtection="1">
      <alignment horizontal="center"/>
      <protection locked="0"/>
    </xf>
    <xf numFmtId="178" fontId="5" fillId="3" borderId="12" xfId="9" applyNumberFormat="1" applyFont="1" applyFill="1" applyBorder="1" applyAlignment="1" applyProtection="1">
      <protection locked="0"/>
    </xf>
    <xf numFmtId="176" fontId="5" fillId="3" borderId="5" xfId="8" applyNumberFormat="1" applyFont="1" applyFill="1" applyBorder="1" applyProtection="1">
      <protection locked="0"/>
    </xf>
    <xf numFmtId="176" fontId="5" fillId="3" borderId="6" xfId="8" applyNumberFormat="1" applyFont="1" applyFill="1" applyBorder="1" applyProtection="1">
      <protection locked="0"/>
    </xf>
    <xf numFmtId="176" fontId="5" fillId="3" borderId="0" xfId="8" applyNumberFormat="1" applyFont="1" applyFill="1" applyProtection="1">
      <protection locked="0"/>
    </xf>
    <xf numFmtId="176" fontId="5" fillId="3" borderId="15" xfId="8" applyNumberFormat="1" applyFont="1" applyFill="1" applyBorder="1" applyAlignment="1" applyProtection="1">
      <alignment horizontal="center"/>
      <protection locked="0"/>
    </xf>
    <xf numFmtId="176" fontId="5" fillId="3" borderId="7" xfId="8" applyNumberFormat="1" applyFont="1" applyFill="1" applyBorder="1" applyProtection="1">
      <protection locked="0"/>
    </xf>
    <xf numFmtId="176" fontId="5" fillId="3" borderId="8" xfId="8" applyNumberFormat="1" applyFont="1" applyFill="1" applyBorder="1" applyProtection="1">
      <protection locked="0"/>
    </xf>
    <xf numFmtId="176" fontId="5" fillId="3" borderId="16" xfId="8" applyNumberFormat="1" applyFont="1" applyFill="1" applyBorder="1" applyAlignment="1" applyProtection="1">
      <alignment horizontal="center"/>
      <protection locked="0"/>
    </xf>
    <xf numFmtId="0" fontId="18" fillId="3" borderId="14" xfId="8" applyFont="1" applyFill="1" applyBorder="1" applyProtection="1">
      <protection locked="0"/>
    </xf>
    <xf numFmtId="179" fontId="18" fillId="3" borderId="13" xfId="8" applyNumberFormat="1" applyFont="1" applyFill="1" applyBorder="1" applyProtection="1">
      <protection locked="0"/>
    </xf>
    <xf numFmtId="178" fontId="18" fillId="3" borderId="13" xfId="9" applyNumberFormat="1" applyFont="1" applyFill="1" applyBorder="1" applyAlignment="1" applyProtection="1">
      <protection locked="0"/>
    </xf>
    <xf numFmtId="0" fontId="17" fillId="3" borderId="10" xfId="8" applyFont="1" applyFill="1" applyBorder="1" applyProtection="1">
      <protection locked="0"/>
    </xf>
    <xf numFmtId="0" fontId="17" fillId="3" borderId="11" xfId="8" applyFont="1" applyFill="1" applyBorder="1" applyProtection="1">
      <protection locked="0"/>
    </xf>
    <xf numFmtId="38" fontId="17" fillId="3" borderId="11" xfId="8" applyNumberFormat="1" applyFont="1" applyFill="1" applyBorder="1" applyProtection="1">
      <protection locked="0"/>
    </xf>
    <xf numFmtId="8" fontId="17" fillId="3" borderId="12" xfId="8" applyNumberFormat="1" applyFont="1" applyFill="1" applyBorder="1" applyProtection="1">
      <protection locked="0"/>
    </xf>
    <xf numFmtId="0" fontId="21" fillId="3" borderId="0" xfId="8" applyFont="1" applyFill="1" applyProtection="1">
      <protection locked="0"/>
    </xf>
    <xf numFmtId="0" fontId="9" fillId="3" borderId="13" xfId="8" applyFont="1" applyFill="1" applyBorder="1" applyAlignment="1" applyProtection="1">
      <alignment horizontal="center"/>
      <protection locked="0"/>
    </xf>
    <xf numFmtId="0" fontId="21" fillId="3" borderId="0" xfId="8" applyFont="1" applyFill="1" applyAlignment="1" applyProtection="1">
      <alignment horizontal="center"/>
      <protection locked="0"/>
    </xf>
    <xf numFmtId="0" fontId="9" fillId="3" borderId="10" xfId="4" applyFont="1" applyFill="1" applyBorder="1" applyAlignment="1" applyProtection="1">
      <alignment vertical="center" wrapText="1"/>
      <protection locked="0"/>
    </xf>
    <xf numFmtId="0" fontId="9" fillId="3" borderId="12" xfId="4" applyFont="1" applyFill="1" applyBorder="1" applyAlignment="1" applyProtection="1">
      <alignment vertical="center" wrapText="1"/>
      <protection locked="0"/>
    </xf>
    <xf numFmtId="0" fontId="9" fillId="3" borderId="0" xfId="4" applyFont="1" applyFill="1" applyAlignment="1" applyProtection="1">
      <alignment vertical="center" wrapText="1"/>
      <protection locked="0"/>
    </xf>
    <xf numFmtId="8" fontId="21" fillId="3" borderId="0" xfId="8" applyNumberFormat="1" applyFont="1" applyFill="1" applyProtection="1">
      <protection locked="0"/>
    </xf>
    <xf numFmtId="0" fontId="9" fillId="3" borderId="13" xfId="8" applyFont="1" applyFill="1" applyBorder="1" applyAlignment="1" applyProtection="1">
      <alignment horizontal="left"/>
      <protection locked="0"/>
    </xf>
    <xf numFmtId="38" fontId="21" fillId="3" borderId="0" xfId="8" applyNumberFormat="1" applyFont="1" applyFill="1" applyProtection="1">
      <protection locked="0"/>
    </xf>
    <xf numFmtId="6" fontId="5" fillId="3" borderId="13" xfId="8" applyNumberFormat="1" applyFont="1" applyFill="1" applyBorder="1" applyProtection="1">
      <protection locked="0"/>
    </xf>
    <xf numFmtId="178" fontId="5" fillId="3" borderId="0" xfId="8" applyNumberFormat="1" applyFont="1" applyFill="1" applyProtection="1">
      <protection locked="0"/>
    </xf>
    <xf numFmtId="172" fontId="5" fillId="3" borderId="0" xfId="8" applyNumberFormat="1" applyFont="1" applyFill="1" applyAlignment="1" applyProtection="1">
      <alignment horizontal="center"/>
      <protection locked="0"/>
    </xf>
    <xf numFmtId="179" fontId="17" fillId="3" borderId="13" xfId="8" applyNumberFormat="1" applyFont="1" applyFill="1" applyBorder="1" applyProtection="1">
      <protection locked="0"/>
    </xf>
    <xf numFmtId="0" fontId="18" fillId="3" borderId="10" xfId="8" applyFont="1" applyFill="1" applyBorder="1"/>
    <xf numFmtId="0" fontId="18" fillId="3" borderId="11" xfId="8" applyFont="1" applyFill="1" applyBorder="1"/>
    <xf numFmtId="0" fontId="18" fillId="3" borderId="12" xfId="8" applyFont="1" applyFill="1" applyBorder="1"/>
    <xf numFmtId="179" fontId="5" fillId="4" borderId="13" xfId="8" applyNumberFormat="1" applyFont="1" applyFill="1" applyBorder="1" applyAlignment="1" applyProtection="1">
      <alignment horizontal="center"/>
      <protection locked="0"/>
    </xf>
    <xf numFmtId="176" fontId="5" fillId="7" borderId="2" xfId="8" applyNumberFormat="1" applyFont="1" applyFill="1" applyBorder="1" applyAlignment="1" applyProtection="1">
      <alignment horizontal="center"/>
      <protection locked="0"/>
    </xf>
    <xf numFmtId="176" fontId="5" fillId="7" borderId="14" xfId="8" applyNumberFormat="1" applyFont="1" applyFill="1" applyBorder="1" applyAlignment="1" applyProtection="1">
      <alignment horizontal="center"/>
      <protection locked="0"/>
    </xf>
    <xf numFmtId="176" fontId="5" fillId="7" borderId="15" xfId="8" applyNumberFormat="1" applyFont="1" applyFill="1" applyBorder="1" applyAlignment="1" applyProtection="1">
      <alignment horizontal="center"/>
      <protection locked="0"/>
    </xf>
    <xf numFmtId="176" fontId="5" fillId="7" borderId="16" xfId="8" applyNumberFormat="1" applyFont="1" applyFill="1" applyBorder="1" applyAlignment="1" applyProtection="1">
      <alignment horizontal="center"/>
      <protection locked="0"/>
    </xf>
    <xf numFmtId="0" fontId="5" fillId="3" borderId="9" xfId="0" applyFont="1" applyFill="1" applyBorder="1" applyProtection="1">
      <protection locked="0"/>
    </xf>
    <xf numFmtId="0" fontId="5" fillId="3" borderId="8" xfId="0" applyFont="1" applyFill="1" applyBorder="1" applyProtection="1">
      <protection locked="0"/>
    </xf>
    <xf numFmtId="179" fontId="5" fillId="4" borderId="16" xfId="8" applyNumberFormat="1" applyFont="1" applyFill="1" applyBorder="1" applyAlignment="1" applyProtection="1">
      <alignment horizontal="center"/>
      <protection locked="0"/>
    </xf>
    <xf numFmtId="43" fontId="18" fillId="3" borderId="16" xfId="6" applyFont="1" applyFill="1" applyBorder="1" applyAlignment="1" applyProtection="1">
      <protection locked="0"/>
    </xf>
    <xf numFmtId="43" fontId="5" fillId="3" borderId="0" xfId="6" applyFont="1" applyFill="1" applyBorder="1" applyAlignment="1" applyProtection="1">
      <protection locked="0"/>
    </xf>
    <xf numFmtId="43" fontId="5" fillId="3" borderId="0" xfId="6" applyFont="1" applyFill="1" applyBorder="1" applyProtection="1">
      <protection locked="0"/>
    </xf>
    <xf numFmtId="181" fontId="18" fillId="3" borderId="17" xfId="8" applyNumberFormat="1" applyFont="1" applyFill="1" applyBorder="1" applyProtection="1">
      <protection locked="0"/>
    </xf>
    <xf numFmtId="181" fontId="18" fillId="3" borderId="18" xfId="8" applyNumberFormat="1" applyFont="1" applyFill="1" applyBorder="1" applyProtection="1">
      <protection locked="0"/>
    </xf>
    <xf numFmtId="43" fontId="5" fillId="3" borderId="8" xfId="6" applyFont="1" applyFill="1" applyBorder="1" applyAlignment="1" applyProtection="1">
      <protection locked="0"/>
    </xf>
    <xf numFmtId="43" fontId="5" fillId="3" borderId="8" xfId="6" applyFont="1" applyFill="1" applyBorder="1" applyProtection="1">
      <protection locked="0"/>
    </xf>
    <xf numFmtId="181" fontId="18" fillId="3" borderId="19" xfId="8" applyNumberFormat="1" applyFont="1" applyFill="1" applyBorder="1" applyProtection="1">
      <protection locked="0"/>
    </xf>
    <xf numFmtId="181" fontId="18" fillId="3" borderId="20" xfId="8" applyNumberFormat="1" applyFont="1" applyFill="1" applyBorder="1" applyProtection="1">
      <protection locked="0"/>
    </xf>
    <xf numFmtId="181" fontId="18" fillId="3" borderId="21" xfId="8" applyNumberFormat="1" applyFont="1" applyFill="1" applyBorder="1" applyProtection="1">
      <protection locked="0"/>
    </xf>
    <xf numFmtId="0" fontId="21" fillId="3" borderId="13" xfId="4" applyFont="1" applyFill="1" applyBorder="1" applyAlignment="1" applyProtection="1">
      <alignment horizontal="left"/>
      <protection locked="0"/>
    </xf>
    <xf numFmtId="179" fontId="18" fillId="3" borderId="16" xfId="8" applyNumberFormat="1" applyFont="1" applyFill="1" applyBorder="1" applyProtection="1">
      <protection locked="0"/>
    </xf>
    <xf numFmtId="179" fontId="18" fillId="3" borderId="17" xfId="8" applyNumberFormat="1" applyFont="1" applyFill="1" applyBorder="1" applyProtection="1">
      <protection locked="0"/>
    </xf>
    <xf numFmtId="179" fontId="18" fillId="3" borderId="18" xfId="8" applyNumberFormat="1" applyFont="1" applyFill="1" applyBorder="1" applyProtection="1">
      <protection locked="0"/>
    </xf>
    <xf numFmtId="0" fontId="18" fillId="3" borderId="19" xfId="8" applyFont="1" applyFill="1" applyBorder="1" applyProtection="1">
      <protection locked="0"/>
    </xf>
    <xf numFmtId="0" fontId="18" fillId="3" borderId="20" xfId="8" applyFont="1" applyFill="1" applyBorder="1" applyProtection="1">
      <protection locked="0"/>
    </xf>
    <xf numFmtId="179" fontId="18" fillId="3" borderId="21" xfId="8" applyNumberFormat="1" applyFont="1" applyFill="1" applyBorder="1" applyProtection="1">
      <protection locked="0"/>
    </xf>
    <xf numFmtId="0" fontId="4" fillId="3" borderId="0" xfId="4" applyFont="1" applyFill="1" applyProtection="1">
      <protection hidden="1"/>
    </xf>
    <xf numFmtId="0" fontId="7" fillId="0" borderId="1" xfId="5" applyFont="1" applyBorder="1" applyProtection="1">
      <protection locked="0"/>
    </xf>
    <xf numFmtId="0" fontId="7" fillId="0" borderId="1" xfId="5" applyFont="1" applyBorder="1" applyProtection="1">
      <protection hidden="1"/>
    </xf>
    <xf numFmtId="0" fontId="7" fillId="0" borderId="0" xfId="5" applyFont="1" applyProtection="1">
      <protection locked="0"/>
    </xf>
    <xf numFmtId="0" fontId="17" fillId="3" borderId="0" xfId="4" applyFont="1" applyFill="1" applyProtection="1">
      <protection locked="0"/>
    </xf>
    <xf numFmtId="0" fontId="16" fillId="3" borderId="0" xfId="0" applyFont="1" applyFill="1" applyProtection="1">
      <protection hidden="1"/>
    </xf>
    <xf numFmtId="0" fontId="7" fillId="0" borderId="0" xfId="5" applyFont="1" applyProtection="1">
      <protection hidden="1"/>
    </xf>
    <xf numFmtId="0" fontId="4" fillId="0" borderId="0" xfId="5" applyFont="1" applyProtection="1">
      <protection locked="0"/>
    </xf>
    <xf numFmtId="0" fontId="4" fillId="0" borderId="0" xfId="5" applyFont="1" applyProtection="1">
      <protection hidden="1"/>
    </xf>
    <xf numFmtId="0" fontId="9" fillId="6" borderId="10" xfId="5" applyFont="1" applyFill="1" applyBorder="1" applyAlignment="1">
      <alignment horizontal="center"/>
    </xf>
    <xf numFmtId="182" fontId="9" fillId="6" borderId="11" xfId="1" applyNumberFormat="1" applyFont="1" applyFill="1" applyBorder="1" applyAlignment="1" applyProtection="1">
      <alignment horizontal="center"/>
    </xf>
    <xf numFmtId="183" fontId="9" fillId="6" borderId="11" xfId="1" quotePrefix="1" applyNumberFormat="1" applyFont="1" applyFill="1" applyBorder="1" applyAlignment="1" applyProtection="1">
      <alignment horizontal="center"/>
      <protection hidden="1"/>
    </xf>
    <xf numFmtId="9" fontId="9" fillId="6" borderId="12" xfId="2" applyFont="1" applyFill="1" applyBorder="1" applyAlignment="1" applyProtection="1">
      <alignment horizontal="center"/>
    </xf>
    <xf numFmtId="0" fontId="9" fillId="3" borderId="8" xfId="5" applyFont="1" applyFill="1" applyBorder="1" applyAlignment="1" applyProtection="1">
      <alignment horizontal="center"/>
      <protection locked="0"/>
    </xf>
    <xf numFmtId="0" fontId="9" fillId="3" borderId="8" xfId="5" applyFont="1" applyFill="1" applyBorder="1" applyAlignment="1" applyProtection="1">
      <alignment horizontal="left"/>
      <protection locked="0"/>
    </xf>
    <xf numFmtId="0" fontId="9" fillId="3" borderId="8" xfId="5" applyFont="1" applyFill="1" applyBorder="1" applyAlignment="1" applyProtection="1">
      <alignment horizontal="left"/>
      <protection hidden="1"/>
    </xf>
    <xf numFmtId="0" fontId="9" fillId="3" borderId="0" xfId="5" applyFont="1" applyFill="1" applyAlignment="1" applyProtection="1">
      <alignment horizontal="center"/>
      <protection locked="0"/>
    </xf>
    <xf numFmtId="0" fontId="4" fillId="4" borderId="22" xfId="5" applyFont="1" applyFill="1" applyBorder="1" applyAlignment="1" applyProtection="1">
      <alignment horizontal="left" indent="1"/>
      <protection locked="0"/>
    </xf>
    <xf numFmtId="182" fontId="4" fillId="4" borderId="22" xfId="1" applyNumberFormat="1" applyFont="1" applyFill="1" applyBorder="1" applyAlignment="1" applyProtection="1">
      <alignment horizontal="right"/>
      <protection locked="0"/>
    </xf>
    <xf numFmtId="183" fontId="4" fillId="4" borderId="22" xfId="1" applyNumberFormat="1" applyFont="1" applyFill="1" applyBorder="1" applyAlignment="1" applyProtection="1">
      <alignment horizontal="left"/>
      <protection hidden="1"/>
    </xf>
    <xf numFmtId="9" fontId="4" fillId="4" borderId="22" xfId="2" applyFont="1" applyFill="1" applyBorder="1" applyAlignment="1" applyProtection="1">
      <alignment horizontal="center"/>
      <protection locked="0"/>
    </xf>
    <xf numFmtId="0" fontId="4" fillId="4" borderId="22" xfId="5" applyFont="1" applyFill="1" applyBorder="1" applyProtection="1">
      <protection locked="0"/>
    </xf>
    <xf numFmtId="0" fontId="4" fillId="4" borderId="23" xfId="5" applyFont="1" applyFill="1" applyBorder="1" applyAlignment="1" applyProtection="1">
      <alignment horizontal="left" indent="1"/>
      <protection locked="0"/>
    </xf>
    <xf numFmtId="182" fontId="4" fillId="4" borderId="23" xfId="1" applyNumberFormat="1" applyFont="1" applyFill="1" applyBorder="1" applyAlignment="1" applyProtection="1">
      <alignment horizontal="right"/>
      <protection locked="0"/>
    </xf>
    <xf numFmtId="183" fontId="4" fillId="4" borderId="23" xfId="1" applyNumberFormat="1" applyFont="1" applyFill="1" applyBorder="1" applyAlignment="1" applyProtection="1">
      <alignment horizontal="left"/>
      <protection hidden="1"/>
    </xf>
    <xf numFmtId="9" fontId="4" fillId="4" borderId="23" xfId="2" applyFont="1" applyFill="1" applyBorder="1" applyAlignment="1" applyProtection="1">
      <alignment horizontal="center"/>
      <protection locked="0"/>
    </xf>
    <xf numFmtId="0" fontId="4" fillId="4" borderId="23" xfId="5" applyFont="1" applyFill="1" applyBorder="1" applyProtection="1">
      <protection locked="0"/>
    </xf>
    <xf numFmtId="183" fontId="4" fillId="4" borderId="23" xfId="1" applyNumberFormat="1" applyFont="1" applyFill="1" applyBorder="1" applyAlignment="1" applyProtection="1">
      <alignment horizontal="right"/>
      <protection locked="0"/>
    </xf>
    <xf numFmtId="0" fontId="7" fillId="4" borderId="23" xfId="5" applyFont="1" applyFill="1" applyBorder="1" applyProtection="1">
      <protection locked="0"/>
    </xf>
    <xf numFmtId="44" fontId="7" fillId="4" borderId="23" xfId="1" applyFont="1" applyFill="1" applyBorder="1" applyAlignment="1" applyProtection="1">
      <alignment horizontal="right"/>
      <protection locked="0"/>
    </xf>
    <xf numFmtId="44" fontId="7" fillId="4" borderId="23" xfId="1" applyFont="1" applyFill="1" applyBorder="1" applyProtection="1">
      <protection hidden="1"/>
    </xf>
    <xf numFmtId="0" fontId="7" fillId="0" borderId="0" xfId="5" quotePrefix="1" applyFont="1" applyProtection="1">
      <protection locked="0"/>
    </xf>
    <xf numFmtId="44" fontId="7" fillId="0" borderId="0" xfId="1" quotePrefix="1" applyFont="1" applyFill="1" applyBorder="1" applyAlignment="1" applyProtection="1">
      <alignment horizontal="center"/>
      <protection locked="0"/>
    </xf>
    <xf numFmtId="44" fontId="7" fillId="0" borderId="0" xfId="1" quotePrefix="1" applyFont="1" applyFill="1" applyBorder="1" applyAlignment="1" applyProtection="1">
      <alignment horizontal="center"/>
      <protection hidden="1"/>
    </xf>
    <xf numFmtId="44" fontId="7" fillId="0" borderId="0" xfId="1" applyFont="1" applyFill="1" applyBorder="1" applyProtection="1">
      <protection locked="0"/>
    </xf>
    <xf numFmtId="44" fontId="7" fillId="0" borderId="0" xfId="1" applyFont="1" applyFill="1" applyBorder="1" applyProtection="1">
      <protection hidden="1"/>
    </xf>
    <xf numFmtId="0" fontId="7" fillId="3" borderId="1" xfId="5" applyFont="1" applyFill="1" applyBorder="1"/>
    <xf numFmtId="0" fontId="7" fillId="3" borderId="0" xfId="5" applyFont="1" applyFill="1"/>
    <xf numFmtId="0" fontId="18" fillId="3" borderId="3" xfId="0" applyFont="1" applyFill="1" applyBorder="1"/>
    <xf numFmtId="0" fontId="4" fillId="3" borderId="4" xfId="5" applyFont="1" applyFill="1" applyBorder="1" applyAlignment="1">
      <alignment horizontal="left"/>
    </xf>
    <xf numFmtId="0" fontId="18" fillId="3" borderId="31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84" fontId="18" fillId="3" borderId="32" xfId="0" applyNumberFormat="1" applyFont="1" applyFill="1" applyBorder="1" applyAlignment="1">
      <alignment horizontal="center"/>
    </xf>
    <xf numFmtId="0" fontId="18" fillId="3" borderId="31" xfId="0" applyFont="1" applyFill="1" applyBorder="1" applyAlignment="1" applyProtection="1">
      <alignment horizontal="left" vertical="center"/>
      <protection locked="0"/>
    </xf>
    <xf numFmtId="0" fontId="18" fillId="3" borderId="13" xfId="0" applyFont="1" applyFill="1" applyBorder="1" applyAlignment="1" applyProtection="1">
      <alignment horizontal="left" vertical="center"/>
      <protection locked="0"/>
    </xf>
    <xf numFmtId="0" fontId="18" fillId="3" borderId="32" xfId="0" applyFont="1" applyFill="1" applyBorder="1" applyAlignment="1" applyProtection="1">
      <alignment horizontal="left" vertical="center"/>
      <protection locked="0"/>
    </xf>
    <xf numFmtId="0" fontId="4" fillId="3" borderId="5" xfId="5" applyFont="1" applyFill="1" applyBorder="1" applyAlignment="1">
      <alignment horizontal="right"/>
    </xf>
    <xf numFmtId="185" fontId="5" fillId="3" borderId="6" xfId="0" applyNumberFormat="1" applyFont="1" applyFill="1" applyBorder="1" applyAlignment="1">
      <alignment horizontal="center"/>
    </xf>
    <xf numFmtId="14" fontId="5" fillId="3" borderId="31" xfId="0" applyNumberFormat="1" applyFont="1" applyFill="1" applyBorder="1"/>
    <xf numFmtId="186" fontId="5" fillId="3" borderId="13" xfId="0" applyNumberFormat="1" applyFont="1" applyFill="1" applyBorder="1" applyAlignment="1">
      <alignment horizontal="center"/>
    </xf>
    <xf numFmtId="184" fontId="5" fillId="3" borderId="32" xfId="0" applyNumberFormat="1" applyFont="1" applyFill="1" applyBorder="1" applyAlignment="1">
      <alignment horizontal="center"/>
    </xf>
    <xf numFmtId="14" fontId="5" fillId="3" borderId="31" xfId="0" applyNumberFormat="1" applyFont="1" applyFill="1" applyBorder="1" applyProtection="1">
      <protection locked="0"/>
    </xf>
    <xf numFmtId="187" fontId="5" fillId="3" borderId="13" xfId="8" applyNumberFormat="1" applyFont="1" applyFill="1" applyBorder="1" applyAlignment="1" applyProtection="1">
      <alignment horizontal="center"/>
      <protection locked="0"/>
    </xf>
    <xf numFmtId="188" fontId="5" fillId="3" borderId="13" xfId="0" applyNumberFormat="1" applyFont="1" applyFill="1" applyBorder="1" applyAlignment="1" applyProtection="1">
      <alignment horizontal="center"/>
      <protection locked="0"/>
    </xf>
    <xf numFmtId="188" fontId="5" fillId="3" borderId="32" xfId="0" applyNumberFormat="1" applyFont="1" applyFill="1" applyBorder="1" applyAlignment="1" applyProtection="1">
      <alignment horizontal="center"/>
      <protection locked="0"/>
    </xf>
    <xf numFmtId="0" fontId="29" fillId="3" borderId="0" xfId="0" applyFont="1" applyFill="1"/>
    <xf numFmtId="0" fontId="4" fillId="3" borderId="7" xfId="5" applyFont="1" applyFill="1" applyBorder="1" applyAlignment="1">
      <alignment horizontal="right"/>
    </xf>
    <xf numFmtId="183" fontId="5" fillId="3" borderId="0" xfId="0" applyNumberFormat="1" applyFont="1" applyFill="1"/>
    <xf numFmtId="14" fontId="5" fillId="3" borderId="33" xfId="0" applyNumberFormat="1" applyFont="1" applyFill="1" applyBorder="1"/>
    <xf numFmtId="186" fontId="5" fillId="3" borderId="34" xfId="0" applyNumberFormat="1" applyFont="1" applyFill="1" applyBorder="1" applyAlignment="1">
      <alignment horizontal="center"/>
    </xf>
    <xf numFmtId="184" fontId="5" fillId="3" borderId="35" xfId="0" applyNumberFormat="1" applyFont="1" applyFill="1" applyBorder="1" applyAlignment="1">
      <alignment horizontal="center"/>
    </xf>
    <xf numFmtId="14" fontId="5" fillId="3" borderId="33" xfId="0" applyNumberFormat="1" applyFont="1" applyFill="1" applyBorder="1" applyProtection="1">
      <protection locked="0"/>
    </xf>
    <xf numFmtId="187" fontId="5" fillId="3" borderId="34" xfId="8" applyNumberFormat="1" applyFont="1" applyFill="1" applyBorder="1" applyAlignment="1" applyProtection="1">
      <alignment horizontal="center"/>
      <protection locked="0"/>
    </xf>
    <xf numFmtId="176" fontId="5" fillId="3" borderId="34" xfId="8" applyNumberFormat="1" applyFont="1" applyFill="1" applyBorder="1" applyAlignment="1" applyProtection="1">
      <alignment horizontal="center"/>
      <protection locked="0"/>
    </xf>
    <xf numFmtId="188" fontId="5" fillId="3" borderId="34" xfId="0" applyNumberFormat="1" applyFont="1" applyFill="1" applyBorder="1" applyAlignment="1" applyProtection="1">
      <alignment horizontal="center"/>
      <protection locked="0"/>
    </xf>
    <xf numFmtId="188" fontId="5" fillId="3" borderId="35" xfId="0" applyNumberFormat="1" applyFont="1" applyFill="1" applyBorder="1" applyAlignment="1" applyProtection="1">
      <alignment horizontal="center"/>
      <protection locked="0"/>
    </xf>
    <xf numFmtId="185" fontId="5" fillId="3" borderId="0" xfId="0" applyNumberFormat="1" applyFont="1" applyFill="1"/>
    <xf numFmtId="191" fontId="5" fillId="3" borderId="0" xfId="0" applyNumberFormat="1" applyFont="1" applyFill="1"/>
    <xf numFmtId="190" fontId="18" fillId="3" borderId="17" xfId="0" applyNumberFormat="1" applyFont="1" applyFill="1" applyBorder="1" applyAlignment="1">
      <alignment horizontal="center"/>
    </xf>
    <xf numFmtId="2" fontId="5" fillId="3" borderId="0" xfId="0" applyNumberFormat="1" applyFont="1" applyFill="1"/>
    <xf numFmtId="184" fontId="5" fillId="3" borderId="0" xfId="0" applyNumberFormat="1" applyFont="1" applyFill="1"/>
    <xf numFmtId="0" fontId="18" fillId="3" borderId="13" xfId="0" applyFont="1" applyFill="1" applyBorder="1"/>
    <xf numFmtId="191" fontId="18" fillId="4" borderId="13" xfId="0" applyNumberFormat="1" applyFont="1" applyFill="1" applyBorder="1" applyAlignment="1" applyProtection="1">
      <alignment horizontal="center"/>
      <protection locked="0"/>
    </xf>
    <xf numFmtId="0" fontId="21" fillId="3" borderId="13" xfId="4" applyFont="1" applyFill="1" applyBorder="1" applyAlignment="1">
      <alignment horizontal="left" indent="2"/>
    </xf>
    <xf numFmtId="9" fontId="21" fillId="3" borderId="13" xfId="7" applyFont="1" applyFill="1" applyBorder="1" applyAlignment="1" applyProtection="1">
      <alignment vertical="center"/>
    </xf>
    <xf numFmtId="9" fontId="21" fillId="3" borderId="10" xfId="7" applyFont="1" applyFill="1" applyBorder="1" applyAlignment="1" applyProtection="1">
      <alignment vertical="center"/>
    </xf>
    <xf numFmtId="9" fontId="21" fillId="3" borderId="18" xfId="7" applyFont="1" applyFill="1" applyBorder="1" applyAlignment="1" applyProtection="1">
      <alignment vertical="center"/>
    </xf>
    <xf numFmtId="9" fontId="21" fillId="3" borderId="12" xfId="7" applyFont="1" applyFill="1" applyBorder="1" applyAlignment="1" applyProtection="1">
      <alignment vertical="center"/>
    </xf>
    <xf numFmtId="0" fontId="22" fillId="3" borderId="0" xfId="4" applyFont="1" applyFill="1" applyProtection="1">
      <protection locked="0"/>
    </xf>
    <xf numFmtId="0" fontId="28" fillId="3" borderId="0" xfId="0" applyFont="1" applyFill="1"/>
    <xf numFmtId="0" fontId="18" fillId="3" borderId="10" xfId="0" applyFont="1" applyFill="1" applyBorder="1"/>
    <xf numFmtId="190" fontId="5" fillId="3" borderId="13" xfId="0" applyNumberFormat="1" applyFont="1" applyFill="1" applyBorder="1" applyAlignment="1">
      <alignment horizontal="center"/>
    </xf>
    <xf numFmtId="190" fontId="5" fillId="3" borderId="18" xfId="0" applyNumberFormat="1" applyFont="1" applyFill="1" applyBorder="1" applyAlignment="1">
      <alignment horizontal="center"/>
    </xf>
    <xf numFmtId="192" fontId="5" fillId="3" borderId="13" xfId="0" applyNumberFormat="1" applyFont="1" applyFill="1" applyBorder="1" applyAlignment="1">
      <alignment horizontal="center"/>
    </xf>
    <xf numFmtId="192" fontId="5" fillId="3" borderId="10" xfId="0" applyNumberFormat="1" applyFont="1" applyFill="1" applyBorder="1" applyAlignment="1">
      <alignment horizontal="center"/>
    </xf>
    <xf numFmtId="192" fontId="5" fillId="3" borderId="18" xfId="0" applyNumberFormat="1" applyFont="1" applyFill="1" applyBorder="1" applyAlignment="1">
      <alignment horizontal="center"/>
    </xf>
    <xf numFmtId="192" fontId="5" fillId="3" borderId="12" xfId="0" applyNumberFormat="1" applyFont="1" applyFill="1" applyBorder="1" applyAlignment="1">
      <alignment horizontal="center"/>
    </xf>
    <xf numFmtId="193" fontId="18" fillId="4" borderId="13" xfId="0" applyNumberFormat="1" applyFont="1" applyFill="1" applyBorder="1" applyAlignment="1" applyProtection="1">
      <alignment horizontal="left"/>
      <protection locked="0"/>
    </xf>
    <xf numFmtId="14" fontId="5" fillId="3" borderId="0" xfId="0" applyNumberFormat="1" applyFont="1" applyFill="1"/>
    <xf numFmtId="22" fontId="5" fillId="3" borderId="0" xfId="0" applyNumberFormat="1" applyFont="1" applyFill="1"/>
    <xf numFmtId="0" fontId="4" fillId="3" borderId="0" xfId="5" applyFont="1" applyFill="1"/>
    <xf numFmtId="190" fontId="18" fillId="3" borderId="36" xfId="0" applyNumberFormat="1" applyFont="1" applyFill="1" applyBorder="1" applyAlignment="1">
      <alignment horizontal="center"/>
    </xf>
    <xf numFmtId="191" fontId="18" fillId="3" borderId="13" xfId="0" applyNumberFormat="1" applyFont="1" applyFill="1" applyBorder="1" applyAlignment="1">
      <alignment horizontal="center"/>
    </xf>
    <xf numFmtId="191" fontId="18" fillId="3" borderId="10" xfId="0" applyNumberFormat="1" applyFont="1" applyFill="1" applyBorder="1" applyAlignment="1">
      <alignment horizontal="center"/>
    </xf>
    <xf numFmtId="191" fontId="18" fillId="3" borderId="12" xfId="0" applyNumberFormat="1" applyFont="1" applyFill="1" applyBorder="1" applyAlignment="1">
      <alignment horizontal="center"/>
    </xf>
    <xf numFmtId="193" fontId="18" fillId="3" borderId="13" xfId="0" applyNumberFormat="1" applyFont="1" applyFill="1" applyBorder="1" applyAlignment="1">
      <alignment horizontal="left"/>
    </xf>
    <xf numFmtId="0" fontId="5" fillId="9" borderId="0" xfId="0" applyFont="1" applyFill="1"/>
    <xf numFmtId="0" fontId="9" fillId="9" borderId="0" xfId="5" applyFont="1" applyFill="1"/>
    <xf numFmtId="0" fontId="4" fillId="9" borderId="0" xfId="5" applyFont="1" applyFill="1"/>
    <xf numFmtId="0" fontId="4" fillId="9" borderId="0" xfId="4" applyFont="1" applyFill="1" applyProtection="1">
      <protection locked="0"/>
    </xf>
    <xf numFmtId="0" fontId="4" fillId="3" borderId="2" xfId="12" applyFont="1" applyFill="1" applyBorder="1" applyAlignment="1">
      <alignment horizontal="left"/>
    </xf>
    <xf numFmtId="0" fontId="18" fillId="3" borderId="14" xfId="0" applyFont="1" applyFill="1" applyBorder="1" applyAlignment="1">
      <alignment horizontal="center"/>
    </xf>
    <xf numFmtId="0" fontId="4" fillId="3" borderId="5" xfId="12" applyFont="1" applyFill="1" applyBorder="1" applyAlignment="1">
      <alignment horizontal="right"/>
    </xf>
    <xf numFmtId="185" fontId="18" fillId="3" borderId="6" xfId="0" applyNumberFormat="1" applyFont="1" applyFill="1" applyBorder="1" applyAlignment="1">
      <alignment horizontal="center"/>
    </xf>
    <xf numFmtId="0" fontId="18" fillId="3" borderId="31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184" fontId="18" fillId="3" borderId="13" xfId="0" applyNumberFormat="1" applyFont="1" applyFill="1" applyBorder="1" applyAlignment="1">
      <alignment horizontal="center"/>
    </xf>
    <xf numFmtId="184" fontId="18" fillId="3" borderId="31" xfId="0" applyNumberFormat="1" applyFont="1" applyFill="1" applyBorder="1" applyAlignment="1">
      <alignment horizontal="center"/>
    </xf>
    <xf numFmtId="186" fontId="5" fillId="3" borderId="13" xfId="0" applyNumberFormat="1" applyFont="1" applyFill="1" applyBorder="1" applyAlignment="1">
      <alignment horizontal="right"/>
    </xf>
    <xf numFmtId="184" fontId="5" fillId="4" borderId="13" xfId="0" applyNumberFormat="1" applyFont="1" applyFill="1" applyBorder="1" applyAlignment="1" applyProtection="1">
      <alignment horizontal="center"/>
      <protection locked="0"/>
    </xf>
    <xf numFmtId="194" fontId="5" fillId="4" borderId="32" xfId="0" applyNumberFormat="1" applyFont="1" applyFill="1" applyBorder="1" applyAlignment="1" applyProtection="1">
      <alignment horizontal="center"/>
      <protection locked="0"/>
    </xf>
    <xf numFmtId="184" fontId="5" fillId="4" borderId="31" xfId="0" applyNumberFormat="1" applyFont="1" applyFill="1" applyBorder="1" applyAlignment="1" applyProtection="1">
      <alignment horizontal="center"/>
      <protection locked="0"/>
    </xf>
    <xf numFmtId="184" fontId="5" fillId="4" borderId="32" xfId="0" applyNumberFormat="1" applyFont="1" applyFill="1" applyBorder="1" applyAlignment="1" applyProtection="1">
      <alignment horizontal="center"/>
      <protection locked="0"/>
    </xf>
    <xf numFmtId="192" fontId="5" fillId="3" borderId="0" xfId="0" applyNumberFormat="1" applyFont="1" applyFill="1"/>
    <xf numFmtId="0" fontId="5" fillId="3" borderId="0" xfId="0" quotePrefix="1" applyFont="1" applyFill="1"/>
    <xf numFmtId="0" fontId="4" fillId="3" borderId="7" xfId="12" applyFont="1" applyFill="1" applyBorder="1" applyAlignment="1">
      <alignment horizontal="right"/>
    </xf>
    <xf numFmtId="0" fontId="7" fillId="3" borderId="0" xfId="12" applyFont="1" applyFill="1"/>
    <xf numFmtId="186" fontId="5" fillId="3" borderId="14" xfId="0" applyNumberFormat="1" applyFont="1" applyFill="1" applyBorder="1" applyAlignment="1">
      <alignment horizontal="right"/>
    </xf>
    <xf numFmtId="184" fontId="5" fillId="4" borderId="14" xfId="0" applyNumberFormat="1" applyFont="1" applyFill="1" applyBorder="1" applyAlignment="1" applyProtection="1">
      <alignment horizontal="center"/>
      <protection locked="0"/>
    </xf>
    <xf numFmtId="194" fontId="5" fillId="4" borderId="39" xfId="0" applyNumberFormat="1" applyFont="1" applyFill="1" applyBorder="1" applyAlignment="1" applyProtection="1">
      <alignment horizontal="center"/>
      <protection locked="0"/>
    </xf>
    <xf numFmtId="184" fontId="5" fillId="4" borderId="40" xfId="0" applyNumberFormat="1" applyFont="1" applyFill="1" applyBorder="1" applyAlignment="1" applyProtection="1">
      <alignment horizontal="center"/>
      <protection locked="0"/>
    </xf>
    <xf numFmtId="184" fontId="5" fillId="4" borderId="39" xfId="0" applyNumberFormat="1" applyFont="1" applyFill="1" applyBorder="1" applyAlignment="1" applyProtection="1">
      <alignment horizontal="center"/>
      <protection locked="0"/>
    </xf>
    <xf numFmtId="186" fontId="5" fillId="3" borderId="34" xfId="0" applyNumberFormat="1" applyFont="1" applyFill="1" applyBorder="1" applyAlignment="1">
      <alignment horizontal="right"/>
    </xf>
    <xf numFmtId="184" fontId="5" fillId="4" borderId="34" xfId="0" applyNumberFormat="1" applyFont="1" applyFill="1" applyBorder="1" applyAlignment="1" applyProtection="1">
      <alignment horizontal="center"/>
      <protection locked="0"/>
    </xf>
    <xf numFmtId="194" fontId="5" fillId="4" borderId="35" xfId="0" applyNumberFormat="1" applyFont="1" applyFill="1" applyBorder="1" applyAlignment="1" applyProtection="1">
      <alignment horizontal="center"/>
      <protection locked="0"/>
    </xf>
    <xf numFmtId="184" fontId="5" fillId="4" borderId="33" xfId="0" applyNumberFormat="1" applyFont="1" applyFill="1" applyBorder="1" applyAlignment="1" applyProtection="1">
      <alignment horizontal="center"/>
      <protection locked="0"/>
    </xf>
    <xf numFmtId="184" fontId="5" fillId="4" borderId="35" xfId="0" applyNumberFormat="1" applyFont="1" applyFill="1" applyBorder="1" applyAlignment="1" applyProtection="1">
      <alignment horizontal="center"/>
      <protection locked="0"/>
    </xf>
    <xf numFmtId="186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left" indent="3"/>
    </xf>
    <xf numFmtId="190" fontId="5" fillId="3" borderId="0" xfId="0" applyNumberFormat="1" applyFont="1" applyFill="1"/>
    <xf numFmtId="191" fontId="18" fillId="3" borderId="18" xfId="0" applyNumberFormat="1" applyFont="1" applyFill="1" applyBorder="1" applyAlignment="1">
      <alignment horizontal="center"/>
    </xf>
    <xf numFmtId="0" fontId="28" fillId="9" borderId="0" xfId="0" applyFont="1" applyFill="1"/>
    <xf numFmtId="0" fontId="28" fillId="3" borderId="0" xfId="0" applyFont="1" applyFill="1" applyProtection="1">
      <protection locked="0"/>
    </xf>
    <xf numFmtId="190" fontId="17" fillId="3" borderId="13" xfId="0" applyNumberFormat="1" applyFont="1" applyFill="1" applyBorder="1" applyAlignment="1">
      <alignment horizontal="center"/>
    </xf>
    <xf numFmtId="190" fontId="17" fillId="3" borderId="18" xfId="0" applyNumberFormat="1" applyFont="1" applyFill="1" applyBorder="1" applyAlignment="1">
      <alignment horizontal="center"/>
    </xf>
    <xf numFmtId="185" fontId="28" fillId="3" borderId="0" xfId="0" applyNumberFormat="1" applyFont="1" applyFill="1"/>
    <xf numFmtId="192" fontId="17" fillId="3" borderId="13" xfId="0" applyNumberFormat="1" applyFont="1" applyFill="1" applyBorder="1" applyAlignment="1">
      <alignment horizontal="center"/>
    </xf>
    <xf numFmtId="192" fontId="17" fillId="3" borderId="18" xfId="0" applyNumberFormat="1" applyFont="1" applyFill="1" applyBorder="1" applyAlignment="1">
      <alignment horizontal="center"/>
    </xf>
    <xf numFmtId="183" fontId="28" fillId="3" borderId="0" xfId="0" applyNumberFormat="1" applyFont="1" applyFill="1"/>
    <xf numFmtId="0" fontId="7" fillId="3" borderId="13" xfId="12" applyFont="1" applyFill="1" applyBorder="1"/>
    <xf numFmtId="192" fontId="5" fillId="3" borderId="36" xfId="0" applyNumberFormat="1" applyFont="1" applyFill="1" applyBorder="1" applyAlignment="1">
      <alignment horizontal="center"/>
    </xf>
    <xf numFmtId="0" fontId="4" fillId="3" borderId="0" xfId="12" applyFont="1" applyFill="1"/>
    <xf numFmtId="0" fontId="30" fillId="3" borderId="0" xfId="0" applyFont="1" applyFill="1"/>
    <xf numFmtId="0" fontId="31" fillId="3" borderId="0" xfId="5" applyFont="1" applyFill="1"/>
    <xf numFmtId="0" fontId="7" fillId="0" borderId="1" xfId="13" applyFont="1" applyBorder="1"/>
    <xf numFmtId="0" fontId="7" fillId="3" borderId="1" xfId="13" applyFont="1" applyFill="1" applyBorder="1"/>
    <xf numFmtId="0" fontId="7" fillId="3" borderId="0" xfId="13" applyFont="1" applyFill="1"/>
    <xf numFmtId="0" fontId="4" fillId="0" borderId="41" xfId="14" applyFont="1" applyBorder="1"/>
    <xf numFmtId="0" fontId="5" fillId="10" borderId="41" xfId="3" applyFont="1" applyFill="1" applyBorder="1"/>
    <xf numFmtId="14" fontId="5" fillId="10" borderId="41" xfId="3" applyNumberFormat="1" applyFont="1" applyFill="1" applyBorder="1" applyAlignment="1">
      <alignment horizontal="left"/>
    </xf>
    <xf numFmtId="14" fontId="4" fillId="0" borderId="41" xfId="14" applyNumberFormat="1" applyFont="1" applyBorder="1" applyAlignment="1">
      <alignment horizontal="left"/>
    </xf>
    <xf numFmtId="0" fontId="4" fillId="3" borderId="41" xfId="14" applyFont="1" applyFill="1" applyBorder="1"/>
    <xf numFmtId="0" fontId="4" fillId="3" borderId="0" xfId="14" applyFont="1" applyFill="1"/>
    <xf numFmtId="0" fontId="5" fillId="10" borderId="41" xfId="3" applyNumberFormat="1" applyFont="1" applyFill="1" applyBorder="1" applyAlignment="1">
      <alignment horizontal="left"/>
    </xf>
    <xf numFmtId="0" fontId="5" fillId="0" borderId="41" xfId="14" applyFont="1" applyBorder="1" applyAlignment="1">
      <alignment horizontal="left"/>
    </xf>
    <xf numFmtId="0" fontId="4" fillId="3" borderId="42" xfId="14" applyFont="1" applyFill="1" applyBorder="1"/>
    <xf numFmtId="195" fontId="4" fillId="0" borderId="41" xfId="14" applyNumberFormat="1" applyFont="1" applyBorder="1"/>
    <xf numFmtId="14" fontId="4" fillId="0" borderId="41" xfId="14" applyNumberFormat="1" applyFont="1" applyBorder="1"/>
    <xf numFmtId="0" fontId="4" fillId="0" borderId="41" xfId="14" quotePrefix="1" applyFont="1" applyBorder="1"/>
    <xf numFmtId="14" fontId="9" fillId="0" borderId="41" xfId="14" applyNumberFormat="1" applyFont="1" applyBorder="1"/>
    <xf numFmtId="0" fontId="4" fillId="0" borderId="41" xfId="14" applyFont="1" applyBorder="1" applyAlignment="1">
      <alignment vertical="center"/>
    </xf>
    <xf numFmtId="0" fontId="22" fillId="0" borderId="41" xfId="14" applyFont="1" applyBorder="1" applyAlignment="1">
      <alignment vertical="center"/>
    </xf>
    <xf numFmtId="0" fontId="9" fillId="0" borderId="41" xfId="14" applyFont="1" applyBorder="1" applyAlignment="1">
      <alignment horizontal="center" vertical="center"/>
    </xf>
    <xf numFmtId="0" fontId="27" fillId="0" borderId="41" xfId="14" applyFont="1" applyBorder="1" applyAlignment="1">
      <alignment vertical="center"/>
    </xf>
    <xf numFmtId="0" fontId="4" fillId="0" borderId="41" xfId="14" applyFont="1" applyBorder="1" applyAlignment="1">
      <alignment horizontal="centerContinuous" vertical="center"/>
    </xf>
    <xf numFmtId="0" fontId="4" fillId="3" borderId="41" xfId="14" applyFont="1" applyFill="1" applyBorder="1" applyAlignment="1">
      <alignment vertical="center"/>
    </xf>
    <xf numFmtId="0" fontId="18" fillId="3" borderId="41" xfId="14" applyFont="1" applyFill="1" applyBorder="1" applyAlignment="1">
      <alignment horizontal="centerContinuous" vertical="center"/>
    </xf>
    <xf numFmtId="0" fontId="4" fillId="0" borderId="41" xfId="14" applyFont="1" applyBorder="1" applyAlignment="1">
      <alignment horizontal="right" vertical="center"/>
    </xf>
    <xf numFmtId="0" fontId="18" fillId="0" borderId="47" xfId="14" applyFont="1" applyBorder="1" applyAlignment="1">
      <alignment horizontal="left" vertical="center"/>
    </xf>
    <xf numFmtId="14" fontId="18" fillId="0" borderId="47" xfId="14" applyNumberFormat="1" applyFont="1" applyBorder="1" applyAlignment="1">
      <alignment horizontal="center" vertical="center"/>
    </xf>
    <xf numFmtId="0" fontId="18" fillId="0" borderId="47" xfId="14" applyFont="1" applyBorder="1" applyAlignment="1">
      <alignment horizontal="center" vertical="center"/>
    </xf>
    <xf numFmtId="0" fontId="5" fillId="0" borderId="41" xfId="14" applyFont="1" applyBorder="1" applyAlignment="1">
      <alignment horizontal="right" vertical="center"/>
    </xf>
    <xf numFmtId="0" fontId="18" fillId="0" borderId="41" xfId="14" applyFont="1" applyBorder="1" applyAlignment="1">
      <alignment horizontal="center" vertical="center"/>
    </xf>
    <xf numFmtId="0" fontId="4" fillId="0" borderId="41" xfId="14" applyFont="1" applyBorder="1" applyAlignment="1">
      <alignment horizontal="center" vertical="center"/>
    </xf>
    <xf numFmtId="0" fontId="18" fillId="3" borderId="48" xfId="14" applyFont="1" applyFill="1" applyBorder="1" applyAlignment="1">
      <alignment horizontal="center" vertical="center"/>
    </xf>
    <xf numFmtId="0" fontId="4" fillId="3" borderId="41" xfId="14" applyFont="1" applyFill="1" applyBorder="1" applyAlignment="1">
      <alignment horizontal="center" vertical="center"/>
    </xf>
    <xf numFmtId="0" fontId="18" fillId="3" borderId="47" xfId="14" quotePrefix="1" applyFont="1" applyFill="1" applyBorder="1" applyAlignment="1">
      <alignment horizontal="center" vertical="center"/>
    </xf>
    <xf numFmtId="0" fontId="4" fillId="3" borderId="43" xfId="14" applyFont="1" applyFill="1" applyBorder="1" applyAlignment="1">
      <alignment horizontal="center" vertical="center"/>
    </xf>
    <xf numFmtId="0" fontId="18" fillId="3" borderId="8" xfId="14" applyFont="1" applyFill="1" applyBorder="1" applyAlignment="1">
      <alignment horizontal="center" vertical="center"/>
    </xf>
    <xf numFmtId="0" fontId="4" fillId="3" borderId="44" xfId="14" applyFont="1" applyFill="1" applyBorder="1" applyAlignment="1">
      <alignment horizontal="center" vertical="center"/>
    </xf>
    <xf numFmtId="0" fontId="18" fillId="3" borderId="41" xfId="14" applyFont="1" applyFill="1" applyBorder="1" applyAlignment="1">
      <alignment horizontal="center" vertical="center"/>
    </xf>
    <xf numFmtId="0" fontId="18" fillId="3" borderId="47" xfId="14" applyFont="1" applyFill="1" applyBorder="1" applyAlignment="1">
      <alignment horizontal="center" vertical="center"/>
    </xf>
    <xf numFmtId="0" fontId="32" fillId="0" borderId="41" xfId="14" applyFont="1" applyBorder="1" applyAlignment="1">
      <alignment horizontal="center" vertical="center"/>
    </xf>
    <xf numFmtId="0" fontId="4" fillId="0" borderId="42" xfId="14" applyFont="1" applyBorder="1"/>
    <xf numFmtId="0" fontId="4" fillId="0" borderId="42" xfId="14" applyFont="1" applyBorder="1" applyAlignment="1">
      <alignment horizontal="right"/>
    </xf>
    <xf numFmtId="0" fontId="8" fillId="0" borderId="41" xfId="14" applyFont="1" applyBorder="1"/>
    <xf numFmtId="0" fontId="8" fillId="4" borderId="43" xfId="14" applyFont="1" applyFill="1" applyBorder="1"/>
    <xf numFmtId="0" fontId="8" fillId="4" borderId="23" xfId="14" applyFont="1" applyFill="1" applyBorder="1"/>
    <xf numFmtId="0" fontId="4" fillId="0" borderId="41" xfId="14" applyFont="1" applyBorder="1" applyAlignment="1">
      <alignment horizontal="right"/>
    </xf>
    <xf numFmtId="0" fontId="4" fillId="4" borderId="41" xfId="14" applyFont="1" applyFill="1" applyBorder="1" applyAlignment="1">
      <alignment vertical="center"/>
    </xf>
    <xf numFmtId="0" fontId="5" fillId="0" borderId="41" xfId="14" applyFont="1" applyBorder="1" applyAlignment="1">
      <alignment horizontal="left" vertical="center" indent="1"/>
    </xf>
    <xf numFmtId="7" fontId="4" fillId="0" borderId="41" xfId="14" applyNumberFormat="1" applyFont="1" applyBorder="1" applyAlignment="1">
      <alignment horizontal="right" vertical="center"/>
    </xf>
    <xf numFmtId="196" fontId="4" fillId="0" borderId="41" xfId="14" applyNumberFormat="1" applyFont="1" applyBorder="1" applyAlignment="1">
      <alignment horizontal="right" vertical="center"/>
    </xf>
    <xf numFmtId="5" fontId="4" fillId="0" borderId="41" xfId="14" applyNumberFormat="1" applyFont="1" applyBorder="1" applyAlignment="1">
      <alignment horizontal="right" vertical="center"/>
    </xf>
    <xf numFmtId="192" fontId="4" fillId="0" borderId="41" xfId="14" applyNumberFormat="1" applyFont="1" applyBorder="1" applyAlignment="1">
      <alignment horizontal="right" vertical="center"/>
    </xf>
    <xf numFmtId="197" fontId="4" fillId="0" borderId="41" xfId="14" applyNumberFormat="1" applyFont="1" applyBorder="1" applyAlignment="1">
      <alignment horizontal="right" vertical="center"/>
    </xf>
    <xf numFmtId="5" fontId="4" fillId="0" borderId="41" xfId="14" applyNumberFormat="1" applyFont="1" applyBorder="1"/>
    <xf numFmtId="0" fontId="33" fillId="0" borderId="41" xfId="14" applyFont="1" applyBorder="1" applyAlignment="1">
      <alignment vertical="center"/>
    </xf>
    <xf numFmtId="198" fontId="4" fillId="0" borderId="41" xfId="14" applyNumberFormat="1" applyFont="1" applyBorder="1" applyAlignment="1">
      <alignment vertical="center"/>
    </xf>
    <xf numFmtId="172" fontId="4" fillId="0" borderId="41" xfId="15" applyNumberFormat="1" applyFont="1" applyFill="1" applyBorder="1"/>
    <xf numFmtId="37" fontId="4" fillId="0" borderId="41" xfId="14" applyNumberFormat="1" applyFont="1" applyBorder="1" applyAlignment="1">
      <alignment horizontal="right" vertical="center"/>
    </xf>
    <xf numFmtId="0" fontId="5" fillId="0" borderId="49" xfId="14" applyFont="1" applyBorder="1" applyAlignment="1">
      <alignment horizontal="left" vertical="center" indent="1"/>
    </xf>
    <xf numFmtId="7" fontId="4" fillId="0" borderId="49" xfId="14" applyNumberFormat="1" applyFont="1" applyBorder="1" applyAlignment="1">
      <alignment horizontal="right" vertical="center"/>
    </xf>
    <xf numFmtId="196" fontId="4" fillId="0" borderId="49" xfId="14" applyNumberFormat="1" applyFont="1" applyBorder="1" applyAlignment="1">
      <alignment horizontal="right" vertical="center"/>
    </xf>
    <xf numFmtId="5" fontId="4" fillId="0" borderId="49" xfId="14" applyNumberFormat="1" applyFont="1" applyBorder="1" applyAlignment="1">
      <alignment horizontal="right" vertical="center"/>
    </xf>
    <xf numFmtId="37" fontId="4" fillId="0" borderId="49" xfId="14" applyNumberFormat="1" applyFont="1" applyBorder="1" applyAlignment="1">
      <alignment horizontal="right" vertical="center"/>
    </xf>
    <xf numFmtId="0" fontId="4" fillId="0" borderId="49" xfId="14" applyFont="1" applyBorder="1" applyAlignment="1">
      <alignment vertical="center"/>
    </xf>
    <xf numFmtId="192" fontId="4" fillId="0" borderId="49" xfId="14" applyNumberFormat="1" applyFont="1" applyBorder="1" applyAlignment="1">
      <alignment horizontal="right" vertical="center"/>
    </xf>
    <xf numFmtId="197" fontId="4" fillId="0" borderId="49" xfId="14" applyNumberFormat="1" applyFont="1" applyBorder="1" applyAlignment="1">
      <alignment horizontal="right" vertical="center"/>
    </xf>
    <xf numFmtId="0" fontId="4" fillId="0" borderId="49" xfId="14" applyFont="1" applyBorder="1" applyAlignment="1">
      <alignment horizontal="right" vertical="center"/>
    </xf>
    <xf numFmtId="0" fontId="4" fillId="0" borderId="43" xfId="14" applyFont="1" applyBorder="1" applyAlignment="1">
      <alignment vertical="center"/>
    </xf>
    <xf numFmtId="0" fontId="18" fillId="7" borderId="0" xfId="14" applyFont="1" applyFill="1" applyAlignment="1">
      <alignment vertical="center"/>
    </xf>
    <xf numFmtId="0" fontId="9" fillId="7" borderId="0" xfId="14" applyFont="1" applyFill="1" applyAlignment="1">
      <alignment horizontal="right" vertical="center"/>
    </xf>
    <xf numFmtId="196" fontId="4" fillId="7" borderId="0" xfId="14" applyNumberFormat="1" applyFont="1" applyFill="1" applyAlignment="1">
      <alignment horizontal="right" vertical="center"/>
    </xf>
    <xf numFmtId="0" fontId="9" fillId="7" borderId="0" xfId="14" applyFont="1" applyFill="1" applyAlignment="1">
      <alignment vertical="center"/>
    </xf>
    <xf numFmtId="192" fontId="9" fillId="7" borderId="0" xfId="14" applyNumberFormat="1" applyFont="1" applyFill="1" applyAlignment="1">
      <alignment horizontal="right" vertical="center"/>
    </xf>
    <xf numFmtId="197" fontId="9" fillId="7" borderId="0" xfId="14" applyNumberFormat="1" applyFont="1" applyFill="1" applyAlignment="1">
      <alignment horizontal="right" vertical="center"/>
    </xf>
    <xf numFmtId="5" fontId="9" fillId="7" borderId="0" xfId="14" applyNumberFormat="1" applyFont="1" applyFill="1" applyAlignment="1">
      <alignment horizontal="right" vertical="center"/>
    </xf>
    <xf numFmtId="196" fontId="9" fillId="7" borderId="0" xfId="14" applyNumberFormat="1" applyFont="1" applyFill="1" applyAlignment="1">
      <alignment horizontal="right" vertical="center"/>
    </xf>
    <xf numFmtId="0" fontId="4" fillId="0" borderId="44" xfId="14" applyFont="1" applyBorder="1" applyAlignment="1">
      <alignment vertical="center"/>
    </xf>
    <xf numFmtId="37" fontId="4" fillId="0" borderId="41" xfId="14" applyNumberFormat="1" applyFont="1" applyBorder="1"/>
    <xf numFmtId="198" fontId="33" fillId="0" borderId="41" xfId="14" applyNumberFormat="1" applyFont="1" applyBorder="1" applyAlignment="1">
      <alignment vertical="center"/>
    </xf>
    <xf numFmtId="37" fontId="4" fillId="0" borderId="41" xfId="14" applyNumberFormat="1" applyFont="1" applyBorder="1" applyAlignment="1">
      <alignment horizontal="right"/>
    </xf>
    <xf numFmtId="0" fontId="18" fillId="0" borderId="42" xfId="14" applyFont="1" applyBorder="1" applyAlignment="1">
      <alignment vertical="center"/>
    </xf>
    <xf numFmtId="0" fontId="9" fillId="0" borderId="42" xfId="14" applyFont="1" applyBorder="1" applyAlignment="1">
      <alignment horizontal="right" vertical="center"/>
    </xf>
    <xf numFmtId="196" fontId="4" fillId="0" borderId="42" xfId="14" applyNumberFormat="1" applyFont="1" applyBorder="1" applyAlignment="1">
      <alignment horizontal="right" vertical="center"/>
    </xf>
    <xf numFmtId="0" fontId="9" fillId="0" borderId="42" xfId="14" applyFont="1" applyBorder="1" applyAlignment="1">
      <alignment vertical="center"/>
    </xf>
    <xf numFmtId="192" fontId="9" fillId="0" borderId="42" xfId="14" applyNumberFormat="1" applyFont="1" applyBorder="1" applyAlignment="1">
      <alignment horizontal="right" vertical="center"/>
    </xf>
    <xf numFmtId="5" fontId="9" fillId="0" borderId="42" xfId="14" applyNumberFormat="1" applyFont="1" applyBorder="1" applyAlignment="1">
      <alignment horizontal="right" vertical="center"/>
    </xf>
    <xf numFmtId="196" fontId="9" fillId="0" borderId="42" xfId="14" applyNumberFormat="1" applyFont="1" applyBorder="1" applyAlignment="1">
      <alignment horizontal="right" vertical="center"/>
    </xf>
    <xf numFmtId="0" fontId="5" fillId="0" borderId="42" xfId="14" applyFont="1" applyBorder="1" applyAlignment="1">
      <alignment vertical="center"/>
    </xf>
    <xf numFmtId="39" fontId="4" fillId="0" borderId="42" xfId="14" applyNumberFormat="1" applyFont="1" applyBorder="1" applyAlignment="1">
      <alignment horizontal="right" vertical="center"/>
    </xf>
    <xf numFmtId="37" fontId="4" fillId="0" borderId="42" xfId="14" applyNumberFormat="1" applyFont="1" applyBorder="1" applyAlignment="1">
      <alignment horizontal="right" vertical="center"/>
    </xf>
    <xf numFmtId="5" fontId="4" fillId="0" borderId="42" xfId="14" applyNumberFormat="1" applyFont="1" applyBorder="1" applyAlignment="1">
      <alignment horizontal="right" vertical="center"/>
    </xf>
    <xf numFmtId="0" fontId="4" fillId="0" borderId="42" xfId="14" applyFont="1" applyBorder="1" applyAlignment="1">
      <alignment vertical="center"/>
    </xf>
    <xf numFmtId="192" fontId="4" fillId="0" borderId="42" xfId="14" applyNumberFormat="1" applyFont="1" applyBorder="1" applyAlignment="1">
      <alignment horizontal="right" vertical="center"/>
    </xf>
    <xf numFmtId="0" fontId="4" fillId="0" borderId="42" xfId="14" applyFont="1" applyBorder="1" applyAlignment="1">
      <alignment horizontal="right" vertical="center"/>
    </xf>
    <xf numFmtId="0" fontId="5" fillId="0" borderId="41" xfId="14" applyFont="1" applyBorder="1"/>
    <xf numFmtId="196" fontId="4" fillId="0" borderId="41" xfId="14" applyNumberFormat="1" applyFont="1" applyBorder="1"/>
    <xf numFmtId="192" fontId="4" fillId="0" borderId="41" xfId="14" applyNumberFormat="1" applyFont="1" applyBorder="1"/>
    <xf numFmtId="192" fontId="4" fillId="0" borderId="41" xfId="14" applyNumberFormat="1" applyFont="1" applyBorder="1" applyAlignment="1">
      <alignment horizontal="right"/>
    </xf>
    <xf numFmtId="196" fontId="4" fillId="0" borderId="41" xfId="14" applyNumberFormat="1" applyFont="1" applyBorder="1" applyAlignment="1">
      <alignment horizontal="right"/>
    </xf>
    <xf numFmtId="0" fontId="34" fillId="0" borderId="41" xfId="14" applyFont="1" applyBorder="1" applyAlignment="1">
      <alignment vertical="top"/>
    </xf>
    <xf numFmtId="0" fontId="16" fillId="0" borderId="41" xfId="14" applyFont="1" applyBorder="1"/>
    <xf numFmtId="0" fontId="4" fillId="0" borderId="41" xfId="11" applyFont="1" applyBorder="1"/>
    <xf numFmtId="0" fontId="9" fillId="3" borderId="53" xfId="11" applyFont="1" applyFill="1" applyBorder="1" applyAlignment="1">
      <alignment horizontal="center" vertical="center" wrapText="1"/>
    </xf>
    <xf numFmtId="0" fontId="9" fillId="3" borderId="54" xfId="11" applyFont="1" applyFill="1" applyBorder="1" applyAlignment="1">
      <alignment horizontal="center" vertical="center" wrapText="1"/>
    </xf>
    <xf numFmtId="0" fontId="9" fillId="3" borderId="55" xfId="11" applyFont="1" applyFill="1" applyBorder="1" applyAlignment="1">
      <alignment horizontal="center" vertical="center" wrapText="1"/>
    </xf>
    <xf numFmtId="14" fontId="4" fillId="0" borderId="42" xfId="11" applyNumberFormat="1" applyFont="1" applyBorder="1" applyAlignment="1">
      <alignment horizontal="right" wrapText="1"/>
    </xf>
    <xf numFmtId="199" fontId="4" fillId="0" borderId="42" xfId="11" applyNumberFormat="1" applyFont="1" applyBorder="1" applyAlignment="1">
      <alignment horizontal="right" wrapText="1"/>
    </xf>
    <xf numFmtId="192" fontId="4" fillId="0" borderId="42" xfId="11" applyNumberFormat="1" applyFont="1" applyBorder="1" applyAlignment="1">
      <alignment horizontal="right"/>
    </xf>
    <xf numFmtId="49" fontId="4" fillId="0" borderId="41" xfId="11" applyNumberFormat="1" applyFont="1" applyBorder="1" applyAlignment="1">
      <alignment wrapText="1"/>
    </xf>
    <xf numFmtId="49" fontId="4" fillId="0" borderId="43" xfId="11" applyNumberFormat="1" applyFont="1" applyBorder="1" applyAlignment="1">
      <alignment wrapText="1"/>
    </xf>
    <xf numFmtId="14" fontId="4" fillId="0" borderId="41" xfId="11" applyNumberFormat="1" applyFont="1" applyBorder="1" applyAlignment="1">
      <alignment horizontal="right"/>
    </xf>
    <xf numFmtId="0" fontId="9" fillId="7" borderId="0" xfId="11" applyFont="1" applyFill="1" applyAlignment="1">
      <alignment wrapText="1"/>
    </xf>
    <xf numFmtId="192" fontId="4" fillId="7" borderId="0" xfId="11" applyNumberFormat="1" applyFont="1" applyFill="1" applyAlignment="1">
      <alignment horizontal="right"/>
    </xf>
    <xf numFmtId="0" fontId="4" fillId="0" borderId="43" xfId="11" applyFont="1" applyBorder="1"/>
    <xf numFmtId="0" fontId="9" fillId="7" borderId="0" xfId="11" applyFont="1" applyFill="1"/>
    <xf numFmtId="0" fontId="4" fillId="0" borderId="49" xfId="11" applyFont="1" applyBorder="1"/>
    <xf numFmtId="0" fontId="4" fillId="0" borderId="44" xfId="11" applyFont="1" applyBorder="1"/>
    <xf numFmtId="0" fontId="4" fillId="0" borderId="42" xfId="11" applyFont="1" applyBorder="1"/>
    <xf numFmtId="0" fontId="4" fillId="3" borderId="41" xfId="11" applyFont="1" applyFill="1" applyBorder="1"/>
    <xf numFmtId="38" fontId="5" fillId="4" borderId="0" xfId="8" applyNumberFormat="1" applyFont="1" applyFill="1" applyProtection="1">
      <protection locked="0"/>
    </xf>
    <xf numFmtId="5" fontId="5" fillId="4" borderId="0" xfId="1" applyNumberFormat="1" applyFont="1" applyFill="1" applyBorder="1" applyAlignment="1" applyProtection="1">
      <protection locked="0"/>
    </xf>
    <xf numFmtId="0" fontId="4" fillId="0" borderId="42" xfId="11" applyFont="1" applyBorder="1" applyAlignment="1">
      <alignment wrapText="1"/>
    </xf>
    <xf numFmtId="0" fontId="4" fillId="0" borderId="41" xfId="11" applyFont="1" applyBorder="1" applyAlignment="1">
      <alignment horizontal="right"/>
    </xf>
    <xf numFmtId="14" fontId="4" fillId="0" borderId="41" xfId="11" applyNumberFormat="1" applyFont="1" applyBorder="1" applyAlignment="1">
      <alignment horizontal="right" wrapText="1"/>
    </xf>
    <xf numFmtId="0" fontId="16" fillId="0" borderId="41" xfId="11" applyFont="1" applyBorder="1"/>
    <xf numFmtId="0" fontId="5" fillId="3" borderId="0" xfId="16" applyFont="1" applyFill="1"/>
    <xf numFmtId="0" fontId="7" fillId="0" borderId="1" xfId="17" applyFont="1" applyBorder="1"/>
    <xf numFmtId="0" fontId="7" fillId="3" borderId="1" xfId="17" applyFont="1" applyFill="1" applyBorder="1"/>
    <xf numFmtId="0" fontId="9" fillId="0" borderId="49" xfId="11" quotePrefix="1" applyFont="1" applyBorder="1" applyAlignment="1">
      <alignment horizontal="center"/>
    </xf>
    <xf numFmtId="0" fontId="7" fillId="3" borderId="0" xfId="17" applyFont="1" applyFill="1"/>
    <xf numFmtId="0" fontId="16" fillId="3" borderId="0" xfId="16" applyFont="1" applyFill="1"/>
    <xf numFmtId="0" fontId="9" fillId="0" borderId="49" xfId="11" applyFont="1" applyBorder="1" applyAlignment="1">
      <alignment horizontal="center"/>
    </xf>
    <xf numFmtId="0" fontId="5" fillId="0" borderId="46" xfId="16" applyFont="1" applyBorder="1" applyAlignment="1">
      <alignment horizontal="center"/>
    </xf>
    <xf numFmtId="14" fontId="18" fillId="3" borderId="43" xfId="11" applyNumberFormat="1" applyFont="1" applyFill="1" applyBorder="1" applyAlignment="1">
      <alignment horizontal="left" vertical="center"/>
    </xf>
    <xf numFmtId="14" fontId="18" fillId="3" borderId="8" xfId="11" applyNumberFormat="1" applyFont="1" applyFill="1" applyBorder="1" applyAlignment="1">
      <alignment horizontal="left" vertical="center" wrapText="1"/>
    </xf>
    <xf numFmtId="14" fontId="18" fillId="3" borderId="8" xfId="11" applyNumberFormat="1" applyFont="1" applyFill="1" applyBorder="1" applyAlignment="1">
      <alignment horizontal="center" vertical="center" wrapText="1"/>
    </xf>
    <xf numFmtId="14" fontId="18" fillId="3" borderId="8" xfId="11" applyNumberFormat="1" applyFont="1" applyFill="1" applyBorder="1" applyAlignment="1">
      <alignment horizontal="center" vertical="center"/>
    </xf>
    <xf numFmtId="0" fontId="4" fillId="3" borderId="44" xfId="11" applyFont="1" applyFill="1" applyBorder="1"/>
    <xf numFmtId="0" fontId="4" fillId="4" borderId="57" xfId="11" applyFont="1" applyFill="1" applyBorder="1"/>
    <xf numFmtId="200" fontId="4" fillId="0" borderId="57" xfId="11" applyNumberFormat="1" applyFont="1" applyBorder="1" applyAlignment="1">
      <alignment horizontal="center" vertical="center"/>
    </xf>
    <xf numFmtId="199" fontId="4" fillId="0" borderId="57" xfId="11" applyNumberFormat="1" applyFont="1" applyBorder="1" applyAlignment="1">
      <alignment horizontal="center" vertical="center"/>
    </xf>
    <xf numFmtId="200" fontId="4" fillId="0" borderId="0" xfId="11" applyNumberFormat="1" applyFont="1" applyAlignment="1">
      <alignment horizontal="center" vertical="center"/>
    </xf>
    <xf numFmtId="0" fontId="4" fillId="4" borderId="0" xfId="11" applyFont="1" applyFill="1"/>
    <xf numFmtId="201" fontId="4" fillId="0" borderId="0" xfId="11" applyNumberFormat="1" applyFont="1" applyAlignment="1">
      <alignment horizontal="center" vertical="center"/>
    </xf>
    <xf numFmtId="199" fontId="4" fillId="0" borderId="0" xfId="11" applyNumberFormat="1" applyFont="1" applyAlignment="1">
      <alignment horizontal="center" vertical="center"/>
    </xf>
    <xf numFmtId="200" fontId="4" fillId="4" borderId="0" xfId="11" applyNumberFormat="1" applyFont="1" applyFill="1" applyAlignment="1">
      <alignment horizontal="center" vertical="center"/>
    </xf>
    <xf numFmtId="192" fontId="4" fillId="0" borderId="0" xfId="11" applyNumberFormat="1" applyFont="1" applyAlignment="1">
      <alignment horizontal="center" vertical="center"/>
    </xf>
    <xf numFmtId="0" fontId="4" fillId="0" borderId="42" xfId="11" applyFont="1" applyBorder="1" applyAlignment="1">
      <alignment horizontal="left" vertical="center" wrapText="1"/>
    </xf>
    <xf numFmtId="0" fontId="4" fillId="3" borderId="0" xfId="4" applyFont="1" applyFill="1" applyAlignment="1" applyProtection="1">
      <alignment horizontal="center"/>
      <protection locked="0"/>
    </xf>
    <xf numFmtId="0" fontId="7" fillId="3" borderId="1" xfId="18" applyFont="1" applyFill="1" applyBorder="1" applyProtection="1">
      <protection locked="0"/>
    </xf>
    <xf numFmtId="0" fontId="7" fillId="3" borderId="1" xfId="18" applyFont="1" applyFill="1" applyBorder="1" applyAlignment="1" applyProtection="1">
      <alignment horizontal="center"/>
      <protection locked="0"/>
    </xf>
    <xf numFmtId="0" fontId="29" fillId="3" borderId="0" xfId="0" applyFont="1" applyFill="1" applyProtection="1">
      <protection locked="0"/>
    </xf>
    <xf numFmtId="0" fontId="7" fillId="3" borderId="0" xfId="18" applyFont="1" applyFill="1" applyProtection="1">
      <protection locked="0"/>
    </xf>
    <xf numFmtId="0" fontId="7" fillId="3" borderId="0" xfId="18" applyFont="1" applyFill="1" applyAlignment="1" applyProtection="1">
      <alignment horizontal="center"/>
      <protection locked="0"/>
    </xf>
    <xf numFmtId="0" fontId="4" fillId="3" borderId="0" xfId="18" applyFont="1" applyFill="1" applyProtection="1">
      <protection locked="0"/>
    </xf>
    <xf numFmtId="0" fontId="4" fillId="3" borderId="0" xfId="18" applyFont="1" applyFill="1" applyAlignment="1" applyProtection="1">
      <alignment horizontal="center"/>
      <protection locked="0"/>
    </xf>
    <xf numFmtId="0" fontId="18" fillId="12" borderId="0" xfId="11" applyFont="1" applyFill="1" applyProtection="1">
      <protection locked="0"/>
    </xf>
    <xf numFmtId="0" fontId="5" fillId="12" borderId="0" xfId="11" applyFont="1" applyFill="1" applyProtection="1">
      <protection locked="0"/>
    </xf>
    <xf numFmtId="0" fontId="4" fillId="12" borderId="0" xfId="4" applyFont="1" applyFill="1" applyProtection="1">
      <protection locked="0"/>
    </xf>
    <xf numFmtId="0" fontId="4" fillId="3" borderId="0" xfId="18" applyFont="1" applyFill="1" applyAlignment="1" applyProtection="1">
      <alignment horizontal="left" indent="1"/>
      <protection locked="0"/>
    </xf>
    <xf numFmtId="0" fontId="38" fillId="3" borderId="0" xfId="18" applyFont="1" applyFill="1" applyAlignment="1" applyProtection="1">
      <alignment horizontal="left"/>
      <protection locked="0"/>
    </xf>
    <xf numFmtId="0" fontId="4" fillId="3" borderId="0" xfId="19" applyFont="1" applyFill="1" applyProtection="1">
      <protection locked="0"/>
    </xf>
    <xf numFmtId="0" fontId="4" fillId="0" borderId="13" xfId="18" applyFont="1" applyBorder="1" applyProtection="1">
      <protection locked="0"/>
    </xf>
    <xf numFmtId="0" fontId="4" fillId="0" borderId="13" xfId="18" applyFont="1" applyBorder="1" applyAlignment="1" applyProtection="1">
      <alignment horizontal="center"/>
      <protection locked="0"/>
    </xf>
    <xf numFmtId="0" fontId="36" fillId="13" borderId="13" xfId="19" applyFont="1" applyFill="1" applyBorder="1" applyProtection="1">
      <protection locked="0"/>
    </xf>
    <xf numFmtId="0" fontId="3" fillId="14" borderId="10" xfId="19" applyFont="1" applyFill="1" applyBorder="1" applyAlignment="1" applyProtection="1">
      <alignment horizontal="center"/>
      <protection locked="0"/>
    </xf>
    <xf numFmtId="0" fontId="3" fillId="14" borderId="11" xfId="19" applyFont="1" applyFill="1" applyBorder="1" applyAlignment="1" applyProtection="1">
      <alignment horizontal="centerContinuous"/>
      <protection locked="0"/>
    </xf>
    <xf numFmtId="0" fontId="3" fillId="14" borderId="12" xfId="19" applyFont="1" applyFill="1" applyBorder="1" applyAlignment="1" applyProtection="1">
      <alignment horizontal="centerContinuous"/>
      <protection locked="0"/>
    </xf>
    <xf numFmtId="164" fontId="38" fillId="3" borderId="0" xfId="18" applyNumberFormat="1" applyFont="1" applyFill="1" applyAlignment="1" applyProtection="1">
      <alignment horizontal="left"/>
      <protection locked="0"/>
    </xf>
    <xf numFmtId="0" fontId="4" fillId="4" borderId="13" xfId="18" applyFont="1" applyFill="1" applyBorder="1" applyAlignment="1" applyProtection="1">
      <alignment horizontal="center"/>
      <protection locked="0"/>
    </xf>
    <xf numFmtId="0" fontId="39" fillId="3" borderId="5" xfId="19" applyFont="1" applyFill="1" applyBorder="1" applyAlignment="1" applyProtection="1">
      <alignment horizontal="left" indent="1"/>
      <protection locked="0"/>
    </xf>
    <xf numFmtId="201" fontId="4" fillId="6" borderId="0" xfId="19" applyNumberFormat="1" applyFont="1" applyFill="1" applyAlignment="1" applyProtection="1">
      <alignment horizontal="center"/>
      <protection locked="0"/>
    </xf>
    <xf numFmtId="192" fontId="4" fillId="3" borderId="0" xfId="19" applyNumberFormat="1" applyFont="1" applyFill="1" applyAlignment="1" applyProtection="1">
      <alignment horizontal="center"/>
      <protection locked="0"/>
    </xf>
    <xf numFmtId="5" fontId="4" fillId="3" borderId="0" xfId="19" applyNumberFormat="1" applyFont="1" applyFill="1" applyAlignment="1">
      <alignment horizontal="center"/>
    </xf>
    <xf numFmtId="192" fontId="4" fillId="3" borderId="0" xfId="19" applyNumberFormat="1" applyFont="1" applyFill="1" applyAlignment="1">
      <alignment horizontal="center"/>
    </xf>
    <xf numFmtId="5" fontId="4" fillId="3" borderId="6" xfId="19" applyNumberFormat="1" applyFont="1" applyFill="1" applyBorder="1" applyAlignment="1">
      <alignment horizontal="center"/>
    </xf>
    <xf numFmtId="0" fontId="4" fillId="3" borderId="13" xfId="18" applyFont="1" applyFill="1" applyBorder="1" applyProtection="1">
      <protection locked="0"/>
    </xf>
    <xf numFmtId="5" fontId="4" fillId="3" borderId="13" xfId="19" applyNumberFormat="1" applyFont="1" applyFill="1" applyBorder="1" applyAlignment="1" applyProtection="1">
      <alignment horizontal="center"/>
      <protection locked="0"/>
    </xf>
    <xf numFmtId="0" fontId="4" fillId="3" borderId="13" xfId="19" applyFont="1" applyFill="1" applyBorder="1" applyAlignment="1" applyProtection="1">
      <alignment horizontal="center"/>
      <protection locked="0"/>
    </xf>
    <xf numFmtId="0" fontId="4" fillId="3" borderId="13" xfId="19" quotePrefix="1" applyFont="1" applyFill="1" applyBorder="1" applyAlignment="1" applyProtection="1">
      <alignment wrapText="1"/>
      <protection locked="0"/>
    </xf>
    <xf numFmtId="0" fontId="4" fillId="3" borderId="0" xfId="18" applyFont="1" applyFill="1" applyAlignment="1" applyProtection="1">
      <alignment horizontal="left"/>
      <protection locked="0"/>
    </xf>
    <xf numFmtId="5" fontId="4" fillId="0" borderId="13" xfId="19" applyNumberFormat="1" applyFont="1" applyBorder="1" applyAlignment="1" applyProtection="1">
      <alignment horizontal="center"/>
      <protection locked="0"/>
    </xf>
    <xf numFmtId="5" fontId="4" fillId="15" borderId="13" xfId="19" applyNumberFormat="1" applyFont="1" applyFill="1" applyBorder="1" applyAlignment="1" applyProtection="1">
      <alignment horizontal="center"/>
      <protection locked="0"/>
    </xf>
    <xf numFmtId="0" fontId="4" fillId="0" borderId="13" xfId="19" applyFont="1" applyBorder="1" applyAlignment="1" applyProtection="1">
      <alignment horizontal="center"/>
      <protection locked="0"/>
    </xf>
    <xf numFmtId="165" fontId="10" fillId="3" borderId="0" xfId="18" applyNumberFormat="1" applyFont="1" applyFill="1" applyAlignment="1" applyProtection="1">
      <alignment horizontal="left"/>
      <protection locked="0"/>
    </xf>
    <xf numFmtId="0" fontId="4" fillId="0" borderId="13" xfId="19" quotePrefix="1" applyFont="1" applyBorder="1" applyAlignment="1" applyProtection="1">
      <alignment wrapText="1"/>
      <protection locked="0"/>
    </xf>
    <xf numFmtId="0" fontId="4" fillId="0" borderId="13" xfId="19" quotePrefix="1" applyFont="1" applyBorder="1" applyAlignment="1" applyProtection="1">
      <alignment horizontal="center" wrapText="1"/>
      <protection locked="0"/>
    </xf>
    <xf numFmtId="0" fontId="4" fillId="3" borderId="5" xfId="19" applyFont="1" applyFill="1" applyBorder="1" applyProtection="1">
      <protection locked="0"/>
    </xf>
    <xf numFmtId="0" fontId="4" fillId="3" borderId="0" xfId="19" applyFont="1" applyFill="1"/>
    <xf numFmtId="0" fontId="4" fillId="3" borderId="6" xfId="19" applyFont="1" applyFill="1" applyBorder="1"/>
    <xf numFmtId="0" fontId="4" fillId="3" borderId="13" xfId="19" applyFont="1" applyFill="1" applyBorder="1" applyAlignment="1" applyProtection="1">
      <alignment wrapText="1"/>
      <protection locked="0"/>
    </xf>
    <xf numFmtId="201" fontId="4" fillId="3" borderId="0" xfId="19" applyNumberFormat="1" applyFont="1" applyFill="1" applyAlignment="1" applyProtection="1">
      <alignment horizontal="center"/>
      <protection locked="0"/>
    </xf>
    <xf numFmtId="0" fontId="4" fillId="0" borderId="13" xfId="19" applyFont="1" applyBorder="1" applyAlignment="1" applyProtection="1">
      <alignment wrapText="1"/>
      <protection locked="0"/>
    </xf>
    <xf numFmtId="0" fontId="4" fillId="0" borderId="13" xfId="19" applyFont="1" applyBorder="1" applyAlignment="1" applyProtection="1">
      <alignment horizontal="center" wrapText="1"/>
      <protection locked="0"/>
    </xf>
    <xf numFmtId="0" fontId="9" fillId="0" borderId="13" xfId="19" applyFont="1" applyBorder="1" applyAlignment="1" applyProtection="1">
      <alignment horizontal="center"/>
      <protection locked="0"/>
    </xf>
    <xf numFmtId="5" fontId="9" fillId="0" borderId="13" xfId="19" applyNumberFormat="1" applyFont="1" applyBorder="1" applyAlignment="1" applyProtection="1">
      <alignment horizontal="center"/>
      <protection locked="0"/>
    </xf>
    <xf numFmtId="5" fontId="9" fillId="15" borderId="13" xfId="19" applyNumberFormat="1" applyFont="1" applyFill="1" applyBorder="1" applyAlignment="1" applyProtection="1">
      <alignment horizontal="center"/>
      <protection locked="0"/>
    </xf>
    <xf numFmtId="0" fontId="39" fillId="3" borderId="5" xfId="19" applyFont="1" applyFill="1" applyBorder="1" applyProtection="1">
      <protection locked="0"/>
    </xf>
    <xf numFmtId="0" fontId="4" fillId="3" borderId="0" xfId="19" applyFont="1" applyFill="1" applyAlignment="1" applyProtection="1">
      <alignment horizontal="center"/>
      <protection locked="0"/>
    </xf>
    <xf numFmtId="0" fontId="4" fillId="3" borderId="0" xfId="19" applyFont="1" applyFill="1" applyAlignment="1">
      <alignment horizontal="center"/>
    </xf>
    <xf numFmtId="0" fontId="39" fillId="3" borderId="5" xfId="19" applyFont="1" applyFill="1" applyBorder="1" applyAlignment="1" applyProtection="1">
      <alignment horizontal="left"/>
      <protection locked="0"/>
    </xf>
    <xf numFmtId="201" fontId="4" fillId="3" borderId="0" xfId="19" applyNumberFormat="1" applyFont="1" applyFill="1" applyAlignment="1" applyProtection="1">
      <alignment horizontal="centerContinuous"/>
      <protection locked="0"/>
    </xf>
    <xf numFmtId="0" fontId="4" fillId="3" borderId="0" xfId="19" applyFont="1" applyFill="1" applyAlignment="1" applyProtection="1">
      <alignment horizontal="centerContinuous"/>
      <protection locked="0"/>
    </xf>
    <xf numFmtId="5" fontId="4" fillId="3" borderId="0" xfId="19" applyNumberFormat="1" applyFont="1" applyFill="1" applyAlignment="1">
      <alignment horizontal="centerContinuous"/>
    </xf>
    <xf numFmtId="0" fontId="4" fillId="3" borderId="0" xfId="19" applyFont="1" applyFill="1" applyAlignment="1">
      <alignment horizontal="centerContinuous"/>
    </xf>
    <xf numFmtId="5" fontId="4" fillId="3" borderId="6" xfId="19" applyNumberFormat="1" applyFont="1" applyFill="1" applyBorder="1" applyAlignment="1">
      <alignment horizontal="centerContinuous"/>
    </xf>
    <xf numFmtId="0" fontId="4" fillId="3" borderId="6" xfId="19" applyFont="1" applyFill="1" applyBorder="1" applyProtection="1">
      <protection locked="0"/>
    </xf>
    <xf numFmtId="0" fontId="37" fillId="16" borderId="10" xfId="19" applyFont="1" applyFill="1" applyBorder="1"/>
    <xf numFmtId="0" fontId="27" fillId="16" borderId="11" xfId="19" applyFont="1" applyFill="1" applyBorder="1" applyAlignment="1">
      <alignment horizontal="center"/>
    </xf>
    <xf numFmtId="192" fontId="3" fillId="16" borderId="11" xfId="19" applyNumberFormat="1" applyFont="1" applyFill="1" applyBorder="1" applyAlignment="1">
      <alignment horizontal="center"/>
    </xf>
    <xf numFmtId="5" fontId="3" fillId="16" borderId="11" xfId="19" applyNumberFormat="1" applyFont="1" applyFill="1" applyBorder="1" applyAlignment="1">
      <alignment horizontal="center"/>
    </xf>
    <xf numFmtId="5" fontId="3" fillId="16" borderId="12" xfId="19" applyNumberFormat="1" applyFont="1" applyFill="1" applyBorder="1" applyAlignment="1">
      <alignment horizontal="center"/>
    </xf>
    <xf numFmtId="0" fontId="3" fillId="3" borderId="0" xfId="0" applyFont="1" applyFill="1" applyProtection="1">
      <protection locked="0"/>
    </xf>
    <xf numFmtId="0" fontId="31" fillId="3" borderId="13" xfId="18" applyFont="1" applyFill="1" applyBorder="1" applyAlignment="1" applyProtection="1">
      <alignment horizontal="left" indent="7"/>
      <protection locked="0"/>
    </xf>
    <xf numFmtId="193" fontId="3" fillId="3" borderId="0" xfId="0" applyNumberFormat="1" applyFont="1" applyFill="1" applyAlignment="1" applyProtection="1">
      <alignment horizontal="left"/>
      <protection locked="0"/>
    </xf>
    <xf numFmtId="0" fontId="18" fillId="3" borderId="13" xfId="0" applyFont="1" applyFill="1" applyBorder="1" applyProtection="1">
      <protection locked="0"/>
    </xf>
    <xf numFmtId="0" fontId="5" fillId="3" borderId="13" xfId="0" applyFont="1" applyFill="1" applyBorder="1" applyProtection="1">
      <protection locked="0"/>
    </xf>
    <xf numFmtId="0" fontId="3" fillId="5" borderId="13" xfId="4" applyFont="1" applyFill="1" applyBorder="1" applyAlignment="1" applyProtection="1">
      <alignment horizontal="center" vertical="center" wrapText="1"/>
      <protection locked="0"/>
    </xf>
    <xf numFmtId="0" fontId="18" fillId="12" borderId="0" xfId="8" applyFont="1" applyFill="1" applyProtection="1">
      <protection locked="0"/>
    </xf>
    <xf numFmtId="0" fontId="5" fillId="12" borderId="0" xfId="8" applyFont="1" applyFill="1" applyProtection="1">
      <protection locked="0"/>
    </xf>
    <xf numFmtId="14" fontId="5" fillId="3" borderId="9" xfId="11" applyNumberFormat="1" applyFont="1" applyFill="1" applyBorder="1" applyProtection="1">
      <protection locked="0"/>
    </xf>
    <xf numFmtId="176" fontId="5" fillId="3" borderId="5" xfId="8" applyNumberFormat="1" applyFont="1" applyFill="1" applyBorder="1" applyAlignment="1" applyProtection="1">
      <alignment horizontal="center"/>
      <protection locked="0"/>
    </xf>
    <xf numFmtId="8" fontId="27" fillId="3" borderId="0" xfId="8" applyNumberFormat="1" applyFont="1" applyFill="1" applyProtection="1">
      <protection hidden="1"/>
    </xf>
    <xf numFmtId="176" fontId="5" fillId="3" borderId="7" xfId="8" applyNumberFormat="1" applyFont="1" applyFill="1" applyBorder="1" applyAlignment="1" applyProtection="1">
      <alignment horizontal="center"/>
      <protection locked="0"/>
    </xf>
    <xf numFmtId="0" fontId="5" fillId="17" borderId="13" xfId="8" applyFont="1" applyFill="1" applyBorder="1" applyProtection="1">
      <protection locked="0"/>
    </xf>
    <xf numFmtId="8" fontId="5" fillId="17" borderId="13" xfId="8" applyNumberFormat="1" applyFont="1" applyFill="1" applyBorder="1" applyProtection="1">
      <protection locked="0"/>
    </xf>
    <xf numFmtId="38" fontId="5" fillId="17" borderId="12" xfId="8" applyNumberFormat="1" applyFont="1" applyFill="1" applyBorder="1" applyProtection="1">
      <protection locked="0"/>
    </xf>
    <xf numFmtId="38" fontId="5" fillId="17" borderId="13" xfId="8" applyNumberFormat="1" applyFont="1" applyFill="1" applyBorder="1" applyProtection="1">
      <protection locked="0"/>
    </xf>
    <xf numFmtId="179" fontId="5" fillId="17" borderId="13" xfId="8" applyNumberFormat="1" applyFont="1" applyFill="1" applyBorder="1" applyProtection="1">
      <protection locked="0"/>
    </xf>
    <xf numFmtId="178" fontId="5" fillId="17" borderId="13" xfId="9" applyNumberFormat="1" applyFont="1" applyFill="1" applyBorder="1" applyAlignment="1" applyProtection="1">
      <protection locked="0"/>
    </xf>
    <xf numFmtId="0" fontId="40" fillId="3" borderId="13" xfId="8" applyFont="1" applyFill="1" applyBorder="1" applyProtection="1">
      <protection locked="0"/>
    </xf>
    <xf numFmtId="38" fontId="5" fillId="3" borderId="13" xfId="8" applyNumberFormat="1" applyFont="1" applyFill="1" applyBorder="1" applyProtection="1">
      <protection locked="0"/>
    </xf>
    <xf numFmtId="179" fontId="5" fillId="3" borderId="14" xfId="8" applyNumberFormat="1" applyFont="1" applyFill="1" applyBorder="1" applyProtection="1">
      <protection locked="0"/>
    </xf>
    <xf numFmtId="176" fontId="5" fillId="3" borderId="3" xfId="8" applyNumberFormat="1" applyFont="1" applyFill="1" applyBorder="1" applyAlignment="1" applyProtection="1">
      <alignment horizontal="center"/>
      <protection locked="0"/>
    </xf>
    <xf numFmtId="179" fontId="5" fillId="3" borderId="16" xfId="8" applyNumberFormat="1" applyFont="1" applyFill="1" applyBorder="1" applyProtection="1">
      <protection locked="0"/>
    </xf>
    <xf numFmtId="0" fontId="18" fillId="3" borderId="13" xfId="8" applyFont="1" applyFill="1" applyBorder="1" applyProtection="1">
      <protection locked="0"/>
    </xf>
    <xf numFmtId="0" fontId="19" fillId="5" borderId="0" xfId="4" applyFont="1" applyFill="1" applyAlignment="1">
      <alignment horizontal="center"/>
    </xf>
    <xf numFmtId="169" fontId="4" fillId="18" borderId="2" xfId="6" applyNumberFormat="1" applyFont="1" applyFill="1" applyBorder="1" applyAlignment="1" applyProtection="1">
      <alignment vertical="center"/>
      <protection locked="0"/>
    </xf>
    <xf numFmtId="0" fontId="4" fillId="18" borderId="2" xfId="4" applyFont="1" applyFill="1" applyBorder="1"/>
    <xf numFmtId="0" fontId="5" fillId="18" borderId="0" xfId="0" applyFont="1" applyFill="1"/>
    <xf numFmtId="0" fontId="9" fillId="18" borderId="2" xfId="4" applyFont="1" applyFill="1" applyBorder="1"/>
    <xf numFmtId="43" fontId="5" fillId="18" borderId="2" xfId="0" applyNumberFormat="1" applyFont="1" applyFill="1" applyBorder="1"/>
    <xf numFmtId="9" fontId="16" fillId="18" borderId="0" xfId="7" applyFont="1" applyFill="1" applyBorder="1" applyAlignment="1">
      <alignment vertical="center"/>
    </xf>
    <xf numFmtId="9" fontId="16" fillId="18" borderId="0" xfId="4" applyNumberFormat="1" applyFont="1" applyFill="1"/>
    <xf numFmtId="9" fontId="4" fillId="18" borderId="0" xfId="4" applyNumberFormat="1" applyFont="1" applyFill="1"/>
    <xf numFmtId="0" fontId="16" fillId="18" borderId="0" xfId="4" applyFont="1" applyFill="1" applyAlignment="1">
      <alignment horizontal="left" indent="2"/>
    </xf>
    <xf numFmtId="0" fontId="4" fillId="18" borderId="0" xfId="4" applyFont="1" applyFill="1"/>
    <xf numFmtId="0" fontId="9" fillId="18" borderId="0" xfId="4" applyFont="1" applyFill="1" applyAlignment="1">
      <alignment horizontal="left" indent="1"/>
    </xf>
    <xf numFmtId="169" fontId="4" fillId="18" borderId="0" xfId="6" applyNumberFormat="1" applyFont="1" applyFill="1" applyBorder="1" applyAlignment="1" applyProtection="1">
      <alignment vertical="center"/>
      <protection locked="0"/>
    </xf>
    <xf numFmtId="43" fontId="5" fillId="18" borderId="0" xfId="0" applyNumberFormat="1" applyFont="1" applyFill="1"/>
    <xf numFmtId="169" fontId="9" fillId="18" borderId="2" xfId="7" applyNumberFormat="1" applyFont="1" applyFill="1" applyBorder="1" applyAlignment="1">
      <alignment vertical="center"/>
    </xf>
    <xf numFmtId="169" fontId="5" fillId="18" borderId="2" xfId="0" applyNumberFormat="1" applyFont="1" applyFill="1" applyBorder="1"/>
    <xf numFmtId="9" fontId="16" fillId="18" borderId="0" xfId="7" applyFont="1" applyFill="1" applyBorder="1" applyAlignment="1">
      <alignment horizontal="right" vertical="center"/>
    </xf>
    <xf numFmtId="0" fontId="9" fillId="18" borderId="2" xfId="4" applyFont="1" applyFill="1" applyBorder="1" applyAlignment="1">
      <alignment horizontal="left" indent="1"/>
    </xf>
    <xf numFmtId="0" fontId="19" fillId="18" borderId="0" xfId="4" applyFont="1" applyFill="1" applyAlignment="1">
      <alignment horizontal="center"/>
    </xf>
    <xf numFmtId="0" fontId="19" fillId="18" borderId="0" xfId="4" applyFont="1" applyFill="1" applyAlignment="1">
      <alignment horizontal="centerContinuous"/>
    </xf>
    <xf numFmtId="1" fontId="9" fillId="18" borderId="0" xfId="4" applyNumberFormat="1" applyFont="1" applyFill="1" applyAlignment="1">
      <alignment horizontal="center" vertical="center"/>
    </xf>
    <xf numFmtId="0" fontId="9" fillId="18" borderId="0" xfId="4" applyFont="1" applyFill="1" applyAlignment="1">
      <alignment horizontal="center" vertical="center"/>
    </xf>
    <xf numFmtId="0" fontId="9" fillId="18" borderId="0" xfId="4" applyFont="1" applyFill="1"/>
    <xf numFmtId="169" fontId="4" fillId="18" borderId="0" xfId="7" applyNumberFormat="1" applyFont="1" applyFill="1" applyBorder="1" applyAlignment="1">
      <alignment vertical="center"/>
    </xf>
    <xf numFmtId="171" fontId="4" fillId="18" borderId="0" xfId="6" applyNumberFormat="1" applyFont="1" applyFill="1" applyBorder="1" applyAlignment="1" applyProtection="1">
      <alignment vertical="center"/>
      <protection locked="0"/>
    </xf>
    <xf numFmtId="171" fontId="4" fillId="19" borderId="2" xfId="6" applyNumberFormat="1" applyFont="1" applyFill="1" applyBorder="1" applyAlignment="1" applyProtection="1">
      <alignment vertical="center"/>
      <protection locked="0"/>
    </xf>
    <xf numFmtId="171" fontId="5" fillId="19" borderId="2" xfId="0" applyNumberFormat="1" applyFont="1" applyFill="1" applyBorder="1"/>
    <xf numFmtId="169" fontId="4" fillId="19" borderId="2" xfId="6" applyNumberFormat="1" applyFont="1" applyFill="1" applyBorder="1" applyAlignment="1" applyProtection="1">
      <alignment vertical="center"/>
      <protection locked="0"/>
    </xf>
    <xf numFmtId="169" fontId="5" fillId="18" borderId="0" xfId="0" applyNumberFormat="1" applyFont="1" applyFill="1"/>
    <xf numFmtId="169" fontId="9" fillId="3" borderId="2" xfId="7" applyNumberFormat="1" applyFont="1" applyFill="1" applyBorder="1" applyAlignment="1">
      <alignment vertical="center"/>
    </xf>
    <xf numFmtId="169" fontId="5" fillId="19" borderId="2" xfId="0" applyNumberFormat="1" applyFont="1" applyFill="1" applyBorder="1"/>
    <xf numFmtId="43" fontId="5" fillId="19" borderId="2" xfId="0" applyNumberFormat="1" applyFont="1" applyFill="1" applyBorder="1"/>
    <xf numFmtId="169" fontId="4" fillId="19" borderId="0" xfId="6" applyNumberFormat="1" applyFont="1" applyFill="1" applyBorder="1" applyAlignment="1" applyProtection="1">
      <alignment vertical="center"/>
      <protection locked="0"/>
    </xf>
    <xf numFmtId="169" fontId="4" fillId="3" borderId="0" xfId="6" applyNumberFormat="1" applyFont="1" applyFill="1" applyBorder="1" applyAlignment="1" applyProtection="1">
      <alignment vertical="center"/>
      <protection locked="0"/>
    </xf>
    <xf numFmtId="180" fontId="4" fillId="3" borderId="0" xfId="22" applyNumberFormat="1" applyFont="1" applyFill="1" applyBorder="1" applyProtection="1">
      <protection locked="0"/>
    </xf>
    <xf numFmtId="44" fontId="5" fillId="3" borderId="0" xfId="0" applyNumberFormat="1" applyFont="1" applyFill="1" applyProtection="1">
      <protection locked="0"/>
    </xf>
    <xf numFmtId="172" fontId="5" fillId="3" borderId="6" xfId="22" applyNumberFormat="1" applyFont="1" applyFill="1" applyBorder="1" applyAlignment="1" applyProtection="1">
      <alignment horizontal="center"/>
    </xf>
    <xf numFmtId="172" fontId="5" fillId="3" borderId="9" xfId="22" applyNumberFormat="1" applyFont="1" applyFill="1" applyBorder="1" applyAlignment="1" applyProtection="1">
      <alignment horizontal="center"/>
    </xf>
    <xf numFmtId="10" fontId="5" fillId="3" borderId="0" xfId="22" applyNumberFormat="1" applyFont="1" applyFill="1" applyBorder="1"/>
    <xf numFmtId="172" fontId="5" fillId="3" borderId="13" xfId="22" applyNumberFormat="1" applyFont="1" applyFill="1" applyBorder="1" applyAlignment="1" applyProtection="1">
      <alignment horizontal="center"/>
    </xf>
    <xf numFmtId="172" fontId="5" fillId="3" borderId="10" xfId="22" applyNumberFormat="1" applyFont="1" applyFill="1" applyBorder="1" applyAlignment="1" applyProtection="1">
      <alignment horizontal="center"/>
    </xf>
    <xf numFmtId="172" fontId="5" fillId="3" borderId="18" xfId="22" applyNumberFormat="1" applyFont="1" applyFill="1" applyBorder="1" applyAlignment="1" applyProtection="1">
      <alignment horizontal="center"/>
    </xf>
    <xf numFmtId="172" fontId="5" fillId="3" borderId="12" xfId="22" applyNumberFormat="1" applyFont="1" applyFill="1" applyBorder="1" applyAlignment="1" applyProtection="1">
      <alignment horizontal="center"/>
    </xf>
    <xf numFmtId="172" fontId="5" fillId="3" borderId="21" xfId="22" applyNumberFormat="1" applyFont="1" applyFill="1" applyBorder="1" applyAlignment="1" applyProtection="1">
      <alignment horizontal="center"/>
    </xf>
    <xf numFmtId="172" fontId="18" fillId="3" borderId="6" xfId="22" applyNumberFormat="1" applyFont="1" applyFill="1" applyBorder="1" applyAlignment="1" applyProtection="1">
      <alignment horizontal="center"/>
    </xf>
    <xf numFmtId="172" fontId="18" fillId="3" borderId="9" xfId="22" applyNumberFormat="1" applyFont="1" applyFill="1" applyBorder="1" applyAlignment="1" applyProtection="1">
      <alignment horizontal="center"/>
    </xf>
    <xf numFmtId="9" fontId="28" fillId="3" borderId="0" xfId="22" applyFont="1" applyFill="1" applyBorder="1"/>
    <xf numFmtId="9" fontId="4" fillId="18" borderId="0" xfId="22" applyFont="1" applyFill="1" applyBorder="1" applyAlignment="1" applyProtection="1">
      <alignment vertical="center"/>
      <protection locked="0"/>
    </xf>
    <xf numFmtId="207" fontId="44" fillId="0" borderId="0" xfId="21" applyNumberFormat="1" applyFont="1" applyAlignment="1">
      <alignment horizontal="right" vertical="center"/>
    </xf>
    <xf numFmtId="5" fontId="44" fillId="0" borderId="0" xfId="21" applyNumberFormat="1" applyFont="1" applyAlignment="1">
      <alignment horizontal="right" vertical="center"/>
    </xf>
    <xf numFmtId="203" fontId="44" fillId="0" borderId="0" xfId="21" applyNumberFormat="1" applyFont="1" applyAlignment="1">
      <alignment vertical="center"/>
    </xf>
    <xf numFmtId="0" fontId="45" fillId="0" borderId="58" xfId="21" applyFont="1" applyBorder="1" applyAlignment="1">
      <alignment horizontal="left"/>
    </xf>
    <xf numFmtId="0" fontId="45" fillId="0" borderId="0" xfId="21" applyFont="1"/>
    <xf numFmtId="14" fontId="45" fillId="0" borderId="0" xfId="21" applyNumberFormat="1" applyFont="1"/>
    <xf numFmtId="202" fontId="45" fillId="0" borderId="0" xfId="21" applyNumberFormat="1" applyFont="1"/>
    <xf numFmtId="0" fontId="39" fillId="0" borderId="0" xfId="21" applyFont="1" applyAlignment="1">
      <alignment vertical="center"/>
    </xf>
    <xf numFmtId="0" fontId="36" fillId="0" borderId="0" xfId="21" applyFont="1" applyAlignment="1">
      <alignment horizontal="center" vertical="center"/>
    </xf>
    <xf numFmtId="0" fontId="37" fillId="21" borderId="0" xfId="21" applyFont="1" applyFill="1" applyAlignment="1">
      <alignment horizontal="centerContinuous" vertical="center"/>
    </xf>
    <xf numFmtId="0" fontId="46" fillId="21" borderId="0" xfId="21" applyFont="1" applyFill="1" applyAlignment="1">
      <alignment horizontal="centerContinuous" vertical="center"/>
    </xf>
    <xf numFmtId="0" fontId="39" fillId="0" borderId="0" xfId="21" applyFont="1"/>
    <xf numFmtId="0" fontId="37" fillId="22" borderId="0" xfId="21" applyFont="1" applyFill="1" applyAlignment="1">
      <alignment horizontal="centerContinuous" vertical="center"/>
    </xf>
    <xf numFmtId="0" fontId="46" fillId="22" borderId="0" xfId="21" applyFont="1" applyFill="1" applyAlignment="1">
      <alignment horizontal="centerContinuous" vertical="center"/>
    </xf>
    <xf numFmtId="0" fontId="43" fillId="0" borderId="59" xfId="21" applyFont="1" applyBorder="1" applyAlignment="1">
      <alignment horizontal="centerContinuous" vertical="center"/>
    </xf>
    <xf numFmtId="0" fontId="39" fillId="0" borderId="59" xfId="21" applyFont="1" applyBorder="1" applyAlignment="1">
      <alignment horizontal="centerContinuous" vertical="center"/>
    </xf>
    <xf numFmtId="0" fontId="7" fillId="0" borderId="0" xfId="21" applyFont="1"/>
    <xf numFmtId="0" fontId="39" fillId="0" borderId="0" xfId="21" applyFont="1" applyAlignment="1">
      <alignment horizontal="right" vertical="center"/>
    </xf>
    <xf numFmtId="14" fontId="43" fillId="0" borderId="59" xfId="21" applyNumberFormat="1" applyFont="1" applyBorder="1" applyAlignment="1">
      <alignment horizontal="center" vertical="center"/>
    </xf>
    <xf numFmtId="0" fontId="43" fillId="0" borderId="60" xfId="21" applyFont="1" applyBorder="1" applyAlignment="1">
      <alignment horizontal="center" vertical="center"/>
    </xf>
    <xf numFmtId="0" fontId="43" fillId="0" borderId="0" xfId="21" applyFont="1" applyAlignment="1">
      <alignment horizontal="center" vertical="center"/>
    </xf>
    <xf numFmtId="0" fontId="39" fillId="0" borderId="0" xfId="21" applyFont="1" applyAlignment="1">
      <alignment horizontal="center" vertical="center"/>
    </xf>
    <xf numFmtId="0" fontId="43" fillId="0" borderId="60" xfId="21" quotePrefix="1" applyFont="1" applyBorder="1" applyAlignment="1">
      <alignment horizontal="center" vertical="center"/>
    </xf>
    <xf numFmtId="203" fontId="39" fillId="0" borderId="0" xfId="21" applyNumberFormat="1" applyFont="1" applyAlignment="1">
      <alignment horizontal="right" vertical="center"/>
    </xf>
    <xf numFmtId="204" fontId="39" fillId="0" borderId="0" xfId="21" applyNumberFormat="1" applyFont="1" applyAlignment="1">
      <alignment horizontal="right" vertical="center"/>
    </xf>
    <xf numFmtId="205" fontId="39" fillId="0" borderId="0" xfId="21" applyNumberFormat="1" applyFont="1" applyAlignment="1">
      <alignment horizontal="right" vertical="center"/>
    </xf>
    <xf numFmtId="196" fontId="39" fillId="0" borderId="0" xfId="21" applyNumberFormat="1" applyFont="1" applyAlignment="1">
      <alignment vertical="center"/>
    </xf>
    <xf numFmtId="196" fontId="39" fillId="0" borderId="0" xfId="21" applyNumberFormat="1" applyFont="1" applyAlignment="1">
      <alignment horizontal="right" vertical="center"/>
    </xf>
    <xf numFmtId="0" fontId="39" fillId="0" borderId="0" xfId="21" quotePrefix="1" applyFont="1"/>
    <xf numFmtId="0" fontId="42" fillId="20" borderId="0" xfId="21" applyFont="1" applyFill="1" applyAlignment="1">
      <alignment vertical="center"/>
    </xf>
    <xf numFmtId="206" fontId="39" fillId="0" borderId="0" xfId="21" applyNumberFormat="1" applyFont="1" applyAlignment="1">
      <alignment horizontal="right" vertical="center"/>
    </xf>
    <xf numFmtId="0" fontId="47" fillId="0" borderId="0" xfId="21" applyFont="1" applyAlignment="1">
      <alignment vertical="center"/>
    </xf>
    <xf numFmtId="5" fontId="47" fillId="0" borderId="0" xfId="21" applyNumberFormat="1" applyFont="1" applyAlignment="1">
      <alignment vertical="center"/>
    </xf>
    <xf numFmtId="7" fontId="39" fillId="0" borderId="0" xfId="21" applyNumberFormat="1" applyFont="1"/>
    <xf numFmtId="192" fontId="39" fillId="0" borderId="0" xfId="21" applyNumberFormat="1" applyFont="1"/>
    <xf numFmtId="196" fontId="39" fillId="0" borderId="0" xfId="21" applyNumberFormat="1" applyFont="1" applyAlignment="1">
      <alignment horizontal="right"/>
    </xf>
    <xf numFmtId="196" fontId="39" fillId="0" borderId="2" xfId="21" applyNumberFormat="1" applyFont="1" applyBorder="1" applyAlignment="1">
      <alignment horizontal="right" vertical="center"/>
    </xf>
    <xf numFmtId="0" fontId="39" fillId="0" borderId="5" xfId="21" applyFont="1" applyBorder="1"/>
    <xf numFmtId="196" fontId="36" fillId="7" borderId="2" xfId="21" applyNumberFormat="1" applyFont="1" applyFill="1" applyBorder="1" applyAlignment="1">
      <alignment horizontal="right" vertical="center"/>
    </xf>
    <xf numFmtId="196" fontId="36" fillId="7" borderId="8" xfId="21" applyNumberFormat="1" applyFont="1" applyFill="1" applyBorder="1" applyAlignment="1">
      <alignment horizontal="right" vertical="center"/>
    </xf>
    <xf numFmtId="196" fontId="39" fillId="0" borderId="8" xfId="21" applyNumberFormat="1" applyFont="1" applyBorder="1" applyAlignment="1">
      <alignment horizontal="right" vertical="center"/>
    </xf>
    <xf numFmtId="0" fontId="46" fillId="22" borderId="0" xfId="21" applyFont="1" applyFill="1" applyAlignment="1">
      <alignment horizontal="center" vertical="center"/>
    </xf>
    <xf numFmtId="0" fontId="12" fillId="0" borderId="0" xfId="0" applyFont="1"/>
    <xf numFmtId="0" fontId="12" fillId="0" borderId="3" xfId="0" applyFont="1" applyBorder="1"/>
    <xf numFmtId="0" fontId="12" fillId="0" borderId="2" xfId="0" applyFont="1" applyBorder="1"/>
    <xf numFmtId="0" fontId="43" fillId="0" borderId="2" xfId="0" applyFont="1" applyBorder="1" applyAlignment="1">
      <alignment horizontal="center"/>
    </xf>
    <xf numFmtId="0" fontId="12" fillId="0" borderId="4" xfId="0" applyFont="1" applyBorder="1"/>
    <xf numFmtId="209" fontId="43" fillId="0" borderId="0" xfId="1" applyNumberFormat="1" applyFont="1" applyFill="1" applyBorder="1"/>
    <xf numFmtId="0" fontId="12" fillId="0" borderId="5" xfId="0" applyFont="1" applyBorder="1"/>
    <xf numFmtId="0" fontId="12" fillId="0" borderId="6" xfId="0" applyFont="1" applyBorder="1"/>
    <xf numFmtId="9" fontId="43" fillId="0" borderId="8" xfId="0" applyNumberFormat="1" applyFont="1" applyBorder="1"/>
    <xf numFmtId="0" fontId="12" fillId="0" borderId="7" xfId="0" applyFont="1" applyBorder="1"/>
    <xf numFmtId="9" fontId="12" fillId="0" borderId="8" xfId="22" applyFont="1" applyFill="1" applyBorder="1"/>
    <xf numFmtId="9" fontId="12" fillId="0" borderId="9" xfId="22" applyFont="1" applyFill="1" applyBorder="1"/>
    <xf numFmtId="208" fontId="43" fillId="0" borderId="6" xfId="0" applyNumberFormat="1" applyFont="1" applyBorder="1"/>
    <xf numFmtId="209" fontId="12" fillId="0" borderId="0" xfId="1" applyNumberFormat="1" applyFont="1" applyFill="1" applyBorder="1"/>
    <xf numFmtId="209" fontId="43" fillId="0" borderId="6" xfId="1" applyNumberFormat="1" applyFont="1" applyFill="1" applyBorder="1"/>
    <xf numFmtId="0" fontId="12" fillId="0" borderId="9" xfId="0" applyFont="1" applyBorder="1"/>
    <xf numFmtId="9" fontId="12" fillId="0" borderId="0" xfId="22" applyFont="1" applyFill="1" applyBorder="1"/>
    <xf numFmtId="210" fontId="12" fillId="0" borderId="0" xfId="1" applyNumberFormat="1" applyFont="1" applyFill="1" applyBorder="1"/>
    <xf numFmtId="0" fontId="12" fillId="0" borderId="0" xfId="0" applyFont="1" applyAlignment="1">
      <alignment horizontal="center"/>
    </xf>
    <xf numFmtId="9" fontId="12" fillId="0" borderId="0" xfId="0" applyNumberFormat="1" applyFont="1"/>
    <xf numFmtId="10" fontId="12" fillId="0" borderId="0" xfId="22" applyNumberFormat="1" applyFont="1" applyFill="1" applyBorder="1"/>
    <xf numFmtId="44" fontId="12" fillId="0" borderId="0" xfId="0" applyNumberFormat="1" applyFont="1"/>
    <xf numFmtId="6" fontId="12" fillId="0" borderId="0" xfId="0" applyNumberFormat="1" applyFont="1"/>
    <xf numFmtId="0" fontId="5" fillId="3" borderId="6" xfId="0" applyFont="1" applyFill="1" applyBorder="1" applyAlignment="1">
      <alignment horizontal="center"/>
    </xf>
    <xf numFmtId="209" fontId="43" fillId="23" borderId="0" xfId="1" applyNumberFormat="1" applyFont="1" applyFill="1" applyBorder="1"/>
    <xf numFmtId="9" fontId="12" fillId="23" borderId="8" xfId="22" applyFont="1" applyFill="1" applyBorder="1"/>
    <xf numFmtId="10" fontId="12" fillId="23" borderId="0" xfId="22" applyNumberFormat="1" applyFont="1" applyFill="1" applyBorder="1"/>
    <xf numFmtId="44" fontId="12" fillId="23" borderId="0" xfId="0" applyNumberFormat="1" applyFont="1" applyFill="1"/>
    <xf numFmtId="6" fontId="12" fillId="23" borderId="0" xfId="0" applyNumberFormat="1" applyFont="1" applyFill="1"/>
    <xf numFmtId="208" fontId="43" fillId="23" borderId="0" xfId="0" applyNumberFormat="1" applyFont="1" applyFill="1"/>
    <xf numFmtId="0" fontId="4" fillId="0" borderId="61" xfId="11" applyFont="1" applyBorder="1" applyAlignment="1">
      <alignment wrapText="1"/>
    </xf>
    <xf numFmtId="200" fontId="4" fillId="4" borderId="62" xfId="11" applyNumberFormat="1" applyFont="1" applyFill="1" applyBorder="1" applyAlignment="1">
      <alignment horizontal="center" vertical="center"/>
    </xf>
    <xf numFmtId="0" fontId="50" fillId="3" borderId="0" xfId="4" applyFont="1" applyFill="1" applyProtection="1">
      <protection locked="0"/>
    </xf>
    <xf numFmtId="8" fontId="48" fillId="3" borderId="13" xfId="8" applyNumberFormat="1" applyFont="1" applyFill="1" applyBorder="1" applyProtection="1">
      <protection locked="0"/>
    </xf>
    <xf numFmtId="0" fontId="48" fillId="7" borderId="0" xfId="8" applyFont="1" applyFill="1" applyProtection="1">
      <protection locked="0"/>
    </xf>
    <xf numFmtId="175" fontId="48" fillId="4" borderId="13" xfId="8" applyNumberFormat="1" applyFont="1" applyFill="1" applyBorder="1" applyProtection="1">
      <protection locked="0"/>
    </xf>
    <xf numFmtId="176" fontId="48" fillId="7" borderId="0" xfId="8" applyNumberFormat="1" applyFont="1" applyFill="1" applyAlignment="1" applyProtection="1">
      <alignment horizontal="center"/>
      <protection locked="0"/>
    </xf>
    <xf numFmtId="176" fontId="48" fillId="7" borderId="4" xfId="8" applyNumberFormat="1" applyFont="1" applyFill="1" applyBorder="1" applyAlignment="1" applyProtection="1">
      <alignment horizontal="center"/>
      <protection locked="0"/>
    </xf>
    <xf numFmtId="8" fontId="48" fillId="7" borderId="14" xfId="8" applyNumberFormat="1" applyFont="1" applyFill="1" applyBorder="1" applyProtection="1">
      <protection locked="0"/>
    </xf>
    <xf numFmtId="176" fontId="48" fillId="4" borderId="13" xfId="8" applyNumberFormat="1" applyFont="1" applyFill="1" applyBorder="1" applyAlignment="1" applyProtection="1">
      <alignment horizontal="center"/>
      <protection locked="0"/>
    </xf>
    <xf numFmtId="176" fontId="48" fillId="7" borderId="6" xfId="8" applyNumberFormat="1" applyFont="1" applyFill="1" applyBorder="1" applyAlignment="1" applyProtection="1">
      <alignment horizontal="center"/>
      <protection locked="0"/>
    </xf>
    <xf numFmtId="8" fontId="48" fillId="7" borderId="15" xfId="8" applyNumberFormat="1" applyFont="1" applyFill="1" applyBorder="1" applyProtection="1">
      <protection locked="0"/>
    </xf>
    <xf numFmtId="0" fontId="48" fillId="7" borderId="8" xfId="8" applyFont="1" applyFill="1" applyBorder="1" applyProtection="1">
      <protection locked="0"/>
    </xf>
    <xf numFmtId="177" fontId="48" fillId="4" borderId="13" xfId="8" applyNumberFormat="1" applyFont="1" applyFill="1" applyBorder="1" applyAlignment="1" applyProtection="1">
      <alignment horizontal="center"/>
      <protection locked="0"/>
    </xf>
    <xf numFmtId="176" fontId="48" fillId="7" borderId="8" xfId="8" applyNumberFormat="1" applyFont="1" applyFill="1" applyBorder="1" applyAlignment="1" applyProtection="1">
      <alignment horizontal="center"/>
      <protection locked="0"/>
    </xf>
    <xf numFmtId="176" fontId="49" fillId="7" borderId="8" xfId="8" applyNumberFormat="1" applyFont="1" applyFill="1" applyBorder="1" applyAlignment="1" applyProtection="1">
      <alignment horizontal="left"/>
      <protection locked="0"/>
    </xf>
    <xf numFmtId="176" fontId="48" fillId="7" borderId="9" xfId="8" applyNumberFormat="1" applyFont="1" applyFill="1" applyBorder="1" applyAlignment="1" applyProtection="1">
      <alignment horizontal="center"/>
      <protection locked="0"/>
    </xf>
    <xf numFmtId="0" fontId="50" fillId="3" borderId="8" xfId="4" applyFont="1" applyFill="1" applyBorder="1" applyProtection="1">
      <protection locked="0"/>
    </xf>
    <xf numFmtId="8" fontId="48" fillId="7" borderId="16" xfId="8" applyNumberFormat="1" applyFont="1" applyFill="1" applyBorder="1" applyProtection="1">
      <protection locked="0"/>
    </xf>
    <xf numFmtId="0" fontId="52" fillId="3" borderId="0" xfId="8" applyFont="1" applyFill="1" applyAlignment="1" applyProtection="1">
      <alignment horizontal="left"/>
      <protection locked="0"/>
    </xf>
    <xf numFmtId="0" fontId="52" fillId="3" borderId="6" xfId="8" applyFont="1" applyFill="1" applyBorder="1" applyAlignment="1" applyProtection="1">
      <alignment horizontal="left"/>
      <protection locked="0"/>
    </xf>
    <xf numFmtId="0" fontId="54" fillId="3" borderId="0" xfId="4" applyFont="1" applyFill="1" applyProtection="1">
      <protection locked="0"/>
    </xf>
    <xf numFmtId="0" fontId="52" fillId="3" borderId="0" xfId="8" applyFont="1" applyFill="1" applyAlignment="1" applyProtection="1">
      <alignment wrapText="1"/>
      <protection locked="0"/>
    </xf>
    <xf numFmtId="14" fontId="52" fillId="3" borderId="0" xfId="11" applyNumberFormat="1" applyFont="1" applyFill="1" applyProtection="1">
      <protection locked="0"/>
    </xf>
    <xf numFmtId="0" fontId="52" fillId="3" borderId="0" xfId="11" applyFont="1" applyFill="1" applyProtection="1">
      <protection locked="0"/>
    </xf>
    <xf numFmtId="0" fontId="52" fillId="3" borderId="0" xfId="0" applyFont="1" applyFill="1" applyProtection="1">
      <protection locked="0"/>
    </xf>
    <xf numFmtId="0" fontId="55" fillId="5" borderId="13" xfId="4" applyFont="1" applyFill="1" applyBorder="1" applyAlignment="1" applyProtection="1">
      <alignment horizontal="center" vertical="center" wrapText="1"/>
      <protection locked="0"/>
    </xf>
    <xf numFmtId="0" fontId="55" fillId="5" borderId="12" xfId="4" applyFont="1" applyFill="1" applyBorder="1" applyAlignment="1" applyProtection="1">
      <alignment horizontal="center" vertical="center" wrapText="1"/>
      <protection locked="0"/>
    </xf>
    <xf numFmtId="176" fontId="52" fillId="7" borderId="6" xfId="8" applyNumberFormat="1" applyFont="1" applyFill="1" applyBorder="1" applyAlignment="1" applyProtection="1">
      <alignment horizontal="center"/>
      <protection locked="0"/>
    </xf>
    <xf numFmtId="0" fontId="54" fillId="3" borderId="6" xfId="4" applyFont="1" applyFill="1" applyBorder="1" applyProtection="1">
      <protection locked="0"/>
    </xf>
    <xf numFmtId="182" fontId="52" fillId="3" borderId="0" xfId="0" applyNumberFormat="1" applyFont="1" applyFill="1" applyProtection="1">
      <protection locked="0"/>
    </xf>
    <xf numFmtId="0" fontId="52" fillId="25" borderId="13" xfId="8" applyFont="1" applyFill="1" applyBorder="1" applyProtection="1">
      <protection locked="0"/>
    </xf>
    <xf numFmtId="8" fontId="52" fillId="25" borderId="13" xfId="8" applyNumberFormat="1" applyFont="1" applyFill="1" applyBorder="1" applyProtection="1">
      <protection locked="0"/>
    </xf>
    <xf numFmtId="38" fontId="52" fillId="25" borderId="12" xfId="8" applyNumberFormat="1" applyFont="1" applyFill="1" applyBorder="1" applyProtection="1">
      <protection locked="0"/>
    </xf>
    <xf numFmtId="38" fontId="52" fillId="25" borderId="13" xfId="8" applyNumberFormat="1" applyFont="1" applyFill="1" applyBorder="1" applyProtection="1">
      <protection locked="0"/>
    </xf>
    <xf numFmtId="182" fontId="52" fillId="25" borderId="13" xfId="1" applyNumberFormat="1" applyFont="1" applyFill="1" applyBorder="1" applyAlignment="1" applyProtection="1">
      <protection locked="0"/>
    </xf>
    <xf numFmtId="178" fontId="52" fillId="25" borderId="13" xfId="9" applyNumberFormat="1" applyFont="1" applyFill="1" applyBorder="1" applyAlignment="1" applyProtection="1"/>
    <xf numFmtId="179" fontId="52" fillId="25" borderId="13" xfId="8" applyNumberFormat="1" applyFont="1" applyFill="1" applyBorder="1"/>
    <xf numFmtId="0" fontId="52" fillId="25" borderId="12" xfId="8" applyFont="1" applyFill="1" applyBorder="1" applyProtection="1">
      <protection locked="0"/>
    </xf>
    <xf numFmtId="44" fontId="52" fillId="3" borderId="13" xfId="1" applyFont="1" applyFill="1" applyBorder="1" applyAlignment="1" applyProtection="1">
      <protection locked="0"/>
    </xf>
    <xf numFmtId="0" fontId="52" fillId="4" borderId="13" xfId="8" applyFont="1" applyFill="1" applyBorder="1" applyProtection="1">
      <protection locked="0"/>
    </xf>
    <xf numFmtId="38" fontId="52" fillId="4" borderId="13" xfId="8" applyNumberFormat="1" applyFont="1" applyFill="1" applyBorder="1" applyProtection="1">
      <protection locked="0"/>
    </xf>
    <xf numFmtId="38" fontId="52" fillId="4" borderId="12" xfId="8" applyNumberFormat="1" applyFont="1" applyFill="1" applyBorder="1" applyProtection="1">
      <protection locked="0"/>
    </xf>
    <xf numFmtId="182" fontId="52" fillId="24" borderId="13" xfId="1" applyNumberFormat="1" applyFont="1" applyFill="1" applyBorder="1" applyAlignment="1" applyProtection="1">
      <protection locked="0"/>
    </xf>
    <xf numFmtId="178" fontId="52" fillId="24" borderId="13" xfId="9" applyNumberFormat="1" applyFont="1" applyFill="1" applyBorder="1" applyAlignment="1" applyProtection="1"/>
    <xf numFmtId="179" fontId="52" fillId="24" borderId="13" xfId="8" applyNumberFormat="1" applyFont="1" applyFill="1" applyBorder="1"/>
    <xf numFmtId="0" fontId="52" fillId="4" borderId="12" xfId="8" applyFont="1" applyFill="1" applyBorder="1" applyProtection="1">
      <protection locked="0"/>
    </xf>
    <xf numFmtId="182" fontId="52" fillId="3" borderId="13" xfId="1" applyNumberFormat="1" applyFont="1" applyFill="1" applyBorder="1" applyAlignment="1" applyProtection="1">
      <protection locked="0"/>
    </xf>
    <xf numFmtId="178" fontId="52" fillId="3" borderId="13" xfId="9" applyNumberFormat="1" applyFont="1" applyFill="1" applyBorder="1" applyAlignment="1" applyProtection="1"/>
    <xf numFmtId="179" fontId="52" fillId="3" borderId="13" xfId="8" applyNumberFormat="1" applyFont="1" applyFill="1" applyBorder="1"/>
    <xf numFmtId="0" fontId="52" fillId="4" borderId="13" xfId="8" quotePrefix="1" applyFont="1" applyFill="1" applyBorder="1" applyProtection="1">
      <protection locked="0"/>
    </xf>
    <xf numFmtId="182" fontId="52" fillId="3" borderId="0" xfId="1" applyNumberFormat="1" applyFont="1" applyFill="1" applyBorder="1" applyProtection="1">
      <protection locked="0"/>
    </xf>
    <xf numFmtId="0" fontId="54" fillId="3" borderId="0" xfId="4" applyFont="1" applyFill="1"/>
    <xf numFmtId="0" fontId="52" fillId="3" borderId="0" xfId="0" applyFont="1" applyFill="1"/>
    <xf numFmtId="0" fontId="54" fillId="3" borderId="6" xfId="4" applyFont="1" applyFill="1" applyBorder="1"/>
    <xf numFmtId="44" fontId="52" fillId="3" borderId="0" xfId="1" applyFont="1" applyFill="1" applyBorder="1" applyProtection="1">
      <protection locked="0"/>
    </xf>
    <xf numFmtId="0" fontId="52" fillId="3" borderId="13" xfId="8" applyFont="1" applyFill="1" applyBorder="1" applyProtection="1">
      <protection locked="0"/>
    </xf>
    <xf numFmtId="176" fontId="52" fillId="7" borderId="3" xfId="8" applyNumberFormat="1" applyFont="1" applyFill="1" applyBorder="1" applyProtection="1">
      <protection locked="0"/>
    </xf>
    <xf numFmtId="176" fontId="52" fillId="7" borderId="4" xfId="8" applyNumberFormat="1" applyFont="1" applyFill="1" applyBorder="1" applyProtection="1">
      <protection locked="0"/>
    </xf>
    <xf numFmtId="38" fontId="52" fillId="4" borderId="10" xfId="8" applyNumberFormat="1" applyFont="1" applyFill="1" applyBorder="1" applyProtection="1">
      <protection locked="0"/>
    </xf>
    <xf numFmtId="176" fontId="52" fillId="7" borderId="2" xfId="8" applyNumberFormat="1" applyFont="1" applyFill="1" applyBorder="1" applyProtection="1">
      <protection locked="0"/>
    </xf>
    <xf numFmtId="182" fontId="52" fillId="7" borderId="2" xfId="1" applyNumberFormat="1" applyFont="1" applyFill="1" applyBorder="1" applyAlignment="1" applyProtection="1">
      <alignment horizontal="center"/>
      <protection locked="0"/>
    </xf>
    <xf numFmtId="176" fontId="52" fillId="7" borderId="2" xfId="8" applyNumberFormat="1" applyFont="1" applyFill="1" applyBorder="1" applyAlignment="1">
      <alignment horizontal="center"/>
    </xf>
    <xf numFmtId="176" fontId="52" fillId="7" borderId="4" xfId="8" applyNumberFormat="1" applyFont="1" applyFill="1" applyBorder="1" applyAlignment="1">
      <alignment horizontal="center"/>
    </xf>
    <xf numFmtId="179" fontId="52" fillId="3" borderId="10" xfId="8" applyNumberFormat="1" applyFont="1" applyFill="1" applyBorder="1"/>
    <xf numFmtId="176" fontId="52" fillId="7" borderId="14" xfId="8" applyNumberFormat="1" applyFont="1" applyFill="1" applyBorder="1" applyAlignment="1">
      <alignment horizontal="center"/>
    </xf>
    <xf numFmtId="178" fontId="52" fillId="3" borderId="12" xfId="9" applyNumberFormat="1" applyFont="1" applyFill="1" applyBorder="1" applyAlignment="1" applyProtection="1"/>
    <xf numFmtId="44" fontId="52" fillId="7" borderId="14" xfId="1" applyFont="1" applyFill="1" applyBorder="1" applyAlignment="1" applyProtection="1">
      <alignment horizontal="center"/>
      <protection locked="0"/>
    </xf>
    <xf numFmtId="176" fontId="52" fillId="7" borderId="5" xfId="8" applyNumberFormat="1" applyFont="1" applyFill="1" applyBorder="1" applyProtection="1">
      <protection locked="0"/>
    </xf>
    <xf numFmtId="176" fontId="52" fillId="7" borderId="6" xfId="8" applyNumberFormat="1" applyFont="1" applyFill="1" applyBorder="1" applyProtection="1">
      <protection locked="0"/>
    </xf>
    <xf numFmtId="176" fontId="52" fillId="7" borderId="0" xfId="8" applyNumberFormat="1" applyFont="1" applyFill="1" applyProtection="1">
      <protection locked="0"/>
    </xf>
    <xf numFmtId="182" fontId="52" fillId="7" borderId="0" xfId="1" applyNumberFormat="1" applyFont="1" applyFill="1" applyBorder="1" applyAlignment="1" applyProtection="1">
      <alignment horizontal="center"/>
      <protection locked="0"/>
    </xf>
    <xf numFmtId="176" fontId="52" fillId="7" borderId="0" xfId="8" applyNumberFormat="1" applyFont="1" applyFill="1" applyAlignment="1">
      <alignment horizontal="center"/>
    </xf>
    <xf numFmtId="176" fontId="52" fillId="7" borderId="15" xfId="8" applyNumberFormat="1" applyFont="1" applyFill="1" applyBorder="1" applyAlignment="1">
      <alignment horizontal="center"/>
    </xf>
    <xf numFmtId="44" fontId="52" fillId="7" borderId="15" xfId="1" applyFont="1" applyFill="1" applyBorder="1" applyAlignment="1" applyProtection="1">
      <alignment horizontal="center"/>
      <protection locked="0"/>
    </xf>
    <xf numFmtId="176" fontId="52" fillId="7" borderId="7" xfId="8" applyNumberFormat="1" applyFont="1" applyFill="1" applyBorder="1" applyProtection="1">
      <protection locked="0"/>
    </xf>
    <xf numFmtId="176" fontId="52" fillId="7" borderId="8" xfId="8" applyNumberFormat="1" applyFont="1" applyFill="1" applyBorder="1" applyProtection="1">
      <protection locked="0"/>
    </xf>
    <xf numFmtId="182" fontId="52" fillId="7" borderId="8" xfId="1" applyNumberFormat="1" applyFont="1" applyFill="1" applyBorder="1" applyAlignment="1" applyProtection="1">
      <alignment horizontal="center"/>
      <protection locked="0"/>
    </xf>
    <xf numFmtId="176" fontId="52" fillId="7" borderId="8" xfId="8" applyNumberFormat="1" applyFont="1" applyFill="1" applyBorder="1" applyAlignment="1">
      <alignment horizontal="center"/>
    </xf>
    <xf numFmtId="176" fontId="52" fillId="7" borderId="9" xfId="8" applyNumberFormat="1" applyFont="1" applyFill="1" applyBorder="1" applyAlignment="1">
      <alignment horizontal="center"/>
    </xf>
    <xf numFmtId="176" fontId="52" fillId="7" borderId="16" xfId="8" applyNumberFormat="1" applyFont="1" applyFill="1" applyBorder="1" applyAlignment="1">
      <alignment horizontal="center"/>
    </xf>
    <xf numFmtId="44" fontId="52" fillId="7" borderId="16" xfId="1" applyFont="1" applyFill="1" applyBorder="1" applyAlignment="1" applyProtection="1">
      <alignment horizontal="center"/>
      <protection locked="0"/>
    </xf>
    <xf numFmtId="0" fontId="53" fillId="3" borderId="13" xfId="8" applyFont="1" applyFill="1" applyBorder="1"/>
    <xf numFmtId="179" fontId="53" fillId="3" borderId="13" xfId="8" applyNumberFormat="1" applyFont="1" applyFill="1" applyBorder="1"/>
    <xf numFmtId="182" fontId="53" fillId="3" borderId="13" xfId="1" applyNumberFormat="1" applyFont="1" applyFill="1" applyBorder="1" applyAlignment="1" applyProtection="1"/>
    <xf numFmtId="178" fontId="53" fillId="3" borderId="13" xfId="9" applyNumberFormat="1" applyFont="1" applyFill="1" applyBorder="1" applyAlignment="1" applyProtection="1"/>
    <xf numFmtId="44" fontId="53" fillId="3" borderId="13" xfId="1" applyFont="1" applyFill="1" applyBorder="1" applyAlignment="1" applyProtection="1"/>
    <xf numFmtId="0" fontId="56" fillId="7" borderId="10" xfId="8" applyFont="1" applyFill="1" applyBorder="1" applyProtection="1">
      <protection locked="0"/>
    </xf>
    <xf numFmtId="0" fontId="56" fillId="7" borderId="11" xfId="8" applyFont="1" applyFill="1" applyBorder="1" applyProtection="1">
      <protection locked="0"/>
    </xf>
    <xf numFmtId="38" fontId="56" fillId="7" borderId="11" xfId="8" applyNumberFormat="1" applyFont="1" applyFill="1" applyBorder="1" applyProtection="1">
      <protection locked="0"/>
    </xf>
    <xf numFmtId="8" fontId="56" fillId="7" borderId="12" xfId="8" applyNumberFormat="1" applyFont="1" applyFill="1" applyBorder="1" applyProtection="1">
      <protection locked="0"/>
    </xf>
    <xf numFmtId="8" fontId="56" fillId="3" borderId="0" xfId="8" applyNumberFormat="1" applyFont="1" applyFill="1" applyProtection="1">
      <protection locked="0"/>
    </xf>
    <xf numFmtId="171" fontId="57" fillId="3" borderId="0" xfId="6" applyNumberFormat="1" applyFont="1" applyFill="1" applyBorder="1" applyProtection="1">
      <protection hidden="1"/>
    </xf>
    <xf numFmtId="8" fontId="48" fillId="3" borderId="0" xfId="8" applyNumberFormat="1" applyFont="1" applyFill="1" applyProtection="1">
      <protection locked="0"/>
    </xf>
    <xf numFmtId="0" fontId="51" fillId="3" borderId="0" xfId="8" applyFont="1" applyFill="1" applyAlignment="1" applyProtection="1">
      <alignment horizontal="left"/>
      <protection locked="0"/>
    </xf>
    <xf numFmtId="0" fontId="0" fillId="26" borderId="0" xfId="0" applyFill="1"/>
    <xf numFmtId="0" fontId="6" fillId="3" borderId="10" xfId="0" applyFont="1" applyFill="1" applyBorder="1"/>
    <xf numFmtId="0" fontId="0" fillId="0" borderId="11" xfId="0" applyBorder="1"/>
    <xf numFmtId="0" fontId="0" fillId="0" borderId="12" xfId="0" applyBorder="1"/>
    <xf numFmtId="0" fontId="58" fillId="0" borderId="0" xfId="0" applyFont="1"/>
    <xf numFmtId="0" fontId="60" fillId="26" borderId="0" xfId="0" applyFont="1" applyFill="1"/>
    <xf numFmtId="0" fontId="0" fillId="0" borderId="5" xfId="0" applyBorder="1"/>
    <xf numFmtId="0" fontId="0" fillId="0" borderId="6" xfId="0" applyBorder="1"/>
    <xf numFmtId="0" fontId="61" fillId="5" borderId="63" xfId="4" applyFont="1" applyFill="1" applyBorder="1" applyAlignment="1" applyProtection="1">
      <alignment horizontal="left" vertical="center"/>
      <protection locked="0"/>
    </xf>
    <xf numFmtId="0" fontId="61" fillId="5" borderId="63" xfId="4" applyFont="1" applyFill="1" applyBorder="1" applyAlignment="1" applyProtection="1">
      <alignment horizontal="center" vertical="center"/>
      <protection locked="0"/>
    </xf>
    <xf numFmtId="0" fontId="61" fillId="5" borderId="64" xfId="4" applyFont="1" applyFill="1" applyBorder="1" applyAlignment="1" applyProtection="1">
      <alignment horizontal="center" vertical="center"/>
      <protection locked="0"/>
    </xf>
    <xf numFmtId="0" fontId="61" fillId="5" borderId="65" xfId="4" applyFont="1" applyFill="1" applyBorder="1" applyAlignment="1" applyProtection="1">
      <alignment horizontal="center" vertical="center"/>
      <protection locked="0"/>
    </xf>
    <xf numFmtId="0" fontId="61" fillId="5" borderId="65" xfId="4" applyFont="1" applyFill="1" applyBorder="1" applyAlignment="1" applyProtection="1">
      <alignment horizontal="left" vertical="center"/>
      <protection locked="0"/>
    </xf>
    <xf numFmtId="0" fontId="62" fillId="5" borderId="66" xfId="4" applyFont="1" applyFill="1" applyBorder="1" applyAlignment="1" applyProtection="1">
      <alignment vertical="center" wrapText="1"/>
      <protection locked="0"/>
    </xf>
    <xf numFmtId="0" fontId="62" fillId="5" borderId="67" xfId="4" applyFont="1" applyFill="1" applyBorder="1" applyAlignment="1" applyProtection="1">
      <alignment vertical="center" wrapText="1"/>
      <protection locked="0"/>
    </xf>
    <xf numFmtId="0" fontId="62" fillId="5" borderId="68" xfId="4" applyFont="1" applyFill="1" applyBorder="1" applyAlignment="1" applyProtection="1">
      <alignment vertical="center" wrapText="1"/>
      <protection locked="0"/>
    </xf>
    <xf numFmtId="0" fontId="62" fillId="5" borderId="30" xfId="4" applyFont="1" applyFill="1" applyBorder="1" applyAlignment="1" applyProtection="1">
      <alignment vertical="center" wrapText="1"/>
      <protection locked="0"/>
    </xf>
    <xf numFmtId="0" fontId="62" fillId="5" borderId="30" xfId="4" applyFont="1" applyFill="1" applyBorder="1" applyAlignment="1" applyProtection="1">
      <alignment horizontal="center" vertical="center" wrapText="1"/>
      <protection locked="0"/>
    </xf>
    <xf numFmtId="0" fontId="62" fillId="27" borderId="3" xfId="4" applyFont="1" applyFill="1" applyBorder="1" applyAlignment="1" applyProtection="1">
      <alignment horizontal="center" vertical="center" wrapText="1"/>
      <protection locked="0"/>
    </xf>
    <xf numFmtId="0" fontId="62" fillId="27" borderId="2" xfId="4" applyFont="1" applyFill="1" applyBorder="1" applyAlignment="1" applyProtection="1">
      <alignment horizontal="center" vertical="center" wrapText="1"/>
      <protection locked="0"/>
    </xf>
    <xf numFmtId="0" fontId="62" fillId="27" borderId="4" xfId="4" applyFont="1" applyFill="1" applyBorder="1" applyAlignment="1" applyProtection="1">
      <alignment horizontal="center" vertical="center" wrapText="1"/>
      <protection locked="0"/>
    </xf>
    <xf numFmtId="0" fontId="0" fillId="0" borderId="69" xfId="0" applyBorder="1"/>
    <xf numFmtId="0" fontId="63" fillId="4" borderId="31" xfId="8" applyFont="1" applyFill="1" applyBorder="1" applyProtection="1">
      <protection locked="0"/>
    </xf>
    <xf numFmtId="0" fontId="64" fillId="0" borderId="0" xfId="0" applyFont="1"/>
    <xf numFmtId="0" fontId="65" fillId="0" borderId="70" xfId="0" applyFont="1" applyBorder="1"/>
    <xf numFmtId="14" fontId="63" fillId="4" borderId="31" xfId="8" applyNumberFormat="1" applyFont="1" applyFill="1" applyBorder="1" applyProtection="1">
      <protection locked="0"/>
    </xf>
    <xf numFmtId="171" fontId="0" fillId="0" borderId="69" xfId="23" applyNumberFormat="1" applyFont="1" applyBorder="1"/>
    <xf numFmtId="0" fontId="0" fillId="0" borderId="70" xfId="0" applyBorder="1"/>
    <xf numFmtId="0" fontId="0" fillId="0" borderId="71" xfId="0" applyBorder="1"/>
    <xf numFmtId="0" fontId="63" fillId="4" borderId="33" xfId="8" applyFont="1" applyFill="1" applyBorder="1" applyProtection="1">
      <protection locked="0"/>
    </xf>
    <xf numFmtId="0" fontId="0" fillId="0" borderId="1" xfId="0" applyBorder="1"/>
    <xf numFmtId="0" fontId="64" fillId="0" borderId="72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6" fillId="5" borderId="63" xfId="4" applyFont="1" applyFill="1" applyBorder="1" applyAlignment="1" applyProtection="1">
      <alignment horizontal="left" vertical="center"/>
      <protection locked="0"/>
    </xf>
    <xf numFmtId="0" fontId="66" fillId="5" borderId="63" xfId="4" applyFont="1" applyFill="1" applyBorder="1" applyAlignment="1" applyProtection="1">
      <alignment horizontal="center" vertical="center"/>
      <protection locked="0"/>
    </xf>
    <xf numFmtId="0" fontId="66" fillId="5" borderId="64" xfId="4" applyFont="1" applyFill="1" applyBorder="1" applyAlignment="1" applyProtection="1">
      <alignment horizontal="center" vertical="center"/>
      <protection locked="0"/>
    </xf>
    <xf numFmtId="0" fontId="66" fillId="5" borderId="65" xfId="4" applyFont="1" applyFill="1" applyBorder="1" applyAlignment="1" applyProtection="1">
      <alignment horizontal="center" vertical="center"/>
      <protection locked="0"/>
    </xf>
    <xf numFmtId="0" fontId="66" fillId="5" borderId="65" xfId="4" applyFont="1" applyFill="1" applyBorder="1" applyAlignment="1" applyProtection="1">
      <alignment horizontal="left" vertical="center"/>
      <protection locked="0"/>
    </xf>
    <xf numFmtId="211" fontId="67" fillId="28" borderId="69" xfId="1" applyNumberFormat="1" applyFont="1" applyFill="1" applyBorder="1"/>
    <xf numFmtId="183" fontId="67" fillId="28" borderId="69" xfId="1" applyNumberFormat="1" applyFont="1" applyFill="1" applyBorder="1" applyAlignment="1">
      <alignment horizontal="centerContinuous"/>
    </xf>
    <xf numFmtId="182" fontId="67" fillId="28" borderId="0" xfId="1" applyNumberFormat="1" applyFont="1" applyFill="1" applyAlignment="1">
      <alignment horizontal="centerContinuous"/>
    </xf>
    <xf numFmtId="183" fontId="67" fillId="28" borderId="70" xfId="1" applyNumberFormat="1" applyFont="1" applyFill="1" applyBorder="1" applyAlignment="1">
      <alignment horizontal="centerContinuous"/>
    </xf>
    <xf numFmtId="183" fontId="67" fillId="28" borderId="0" xfId="1" applyNumberFormat="1" applyFont="1" applyFill="1" applyAlignment="1">
      <alignment horizontal="centerContinuous"/>
    </xf>
    <xf numFmtId="0" fontId="67" fillId="29" borderId="69" xfId="0" applyFont="1" applyFill="1" applyBorder="1"/>
    <xf numFmtId="183" fontId="67" fillId="29" borderId="69" xfId="0" applyNumberFormat="1" applyFont="1" applyFill="1" applyBorder="1" applyAlignment="1">
      <alignment horizontal="centerContinuous"/>
    </xf>
    <xf numFmtId="182" fontId="67" fillId="29" borderId="0" xfId="0" applyNumberFormat="1" applyFont="1" applyFill="1" applyAlignment="1">
      <alignment horizontal="centerContinuous"/>
    </xf>
    <xf numFmtId="0" fontId="67" fillId="29" borderId="70" xfId="0" applyFont="1" applyFill="1" applyBorder="1" applyAlignment="1">
      <alignment horizontal="centerContinuous"/>
    </xf>
    <xf numFmtId="0" fontId="67" fillId="29" borderId="0" xfId="0" applyFont="1" applyFill="1" applyAlignment="1">
      <alignment horizontal="centerContinuous"/>
    </xf>
    <xf numFmtId="0" fontId="59" fillId="26" borderId="0" xfId="0" applyFont="1" applyFill="1"/>
    <xf numFmtId="211" fontId="68" fillId="28" borderId="69" xfId="1" applyNumberFormat="1" applyFont="1" applyFill="1" applyBorder="1"/>
    <xf numFmtId="183" fontId="67" fillId="30" borderId="69" xfId="1" applyNumberFormat="1" applyFont="1" applyFill="1" applyBorder="1" applyAlignment="1">
      <alignment horizontal="centerContinuous"/>
    </xf>
    <xf numFmtId="182" fontId="67" fillId="30" borderId="0" xfId="1" applyNumberFormat="1" applyFont="1" applyFill="1" applyAlignment="1">
      <alignment horizontal="centerContinuous"/>
    </xf>
    <xf numFmtId="183" fontId="67" fillId="30" borderId="70" xfId="1" applyNumberFormat="1" applyFont="1" applyFill="1" applyBorder="1" applyAlignment="1">
      <alignment horizontal="centerContinuous"/>
    </xf>
    <xf numFmtId="183" fontId="67" fillId="30" borderId="0" xfId="1" applyNumberFormat="1" applyFont="1" applyFill="1" applyAlignment="1">
      <alignment horizontal="centerContinuous"/>
    </xf>
    <xf numFmtId="171" fontId="0" fillId="26" borderId="0" xfId="0" applyNumberFormat="1" applyFill="1"/>
    <xf numFmtId="10" fontId="0" fillId="26" borderId="0" xfId="2" applyNumberFormat="1" applyFont="1" applyFill="1"/>
    <xf numFmtId="212" fontId="67" fillId="30" borderId="0" xfId="1" applyNumberFormat="1" applyFont="1" applyFill="1" applyAlignment="1">
      <alignment horizontal="centerContinuous"/>
    </xf>
    <xf numFmtId="182" fontId="0" fillId="26" borderId="0" xfId="0" applyNumberFormat="1" applyFill="1"/>
    <xf numFmtId="9" fontId="0" fillId="26" borderId="0" xfId="0" applyNumberFormat="1" applyFill="1"/>
    <xf numFmtId="211" fontId="69" fillId="28" borderId="69" xfId="1" applyNumberFormat="1" applyFont="1" applyFill="1" applyBorder="1"/>
    <xf numFmtId="213" fontId="67" fillId="30" borderId="0" xfId="1" applyNumberFormat="1" applyFont="1" applyFill="1" applyAlignment="1">
      <alignment horizontal="centerContinuous"/>
    </xf>
    <xf numFmtId="183" fontId="70" fillId="30" borderId="69" xfId="1" applyNumberFormat="1" applyFont="1" applyFill="1" applyBorder="1" applyAlignment="1">
      <alignment horizontal="centerContinuous"/>
    </xf>
    <xf numFmtId="213" fontId="70" fillId="30" borderId="0" xfId="1" applyNumberFormat="1" applyFont="1" applyFill="1" applyAlignment="1">
      <alignment horizontal="centerContinuous"/>
    </xf>
    <xf numFmtId="183" fontId="70" fillId="30" borderId="70" xfId="1" applyNumberFormat="1" applyFont="1" applyFill="1" applyBorder="1" applyAlignment="1">
      <alignment horizontal="centerContinuous"/>
    </xf>
    <xf numFmtId="183" fontId="70" fillId="30" borderId="0" xfId="1" applyNumberFormat="1" applyFont="1" applyFill="1" applyAlignment="1">
      <alignment horizontal="centerContinuous"/>
    </xf>
    <xf numFmtId="211" fontId="70" fillId="28" borderId="69" xfId="1" applyNumberFormat="1" applyFont="1" applyFill="1" applyBorder="1"/>
    <xf numFmtId="211" fontId="71" fillId="29" borderId="73" xfId="1" applyNumberFormat="1" applyFont="1" applyFill="1" applyBorder="1"/>
    <xf numFmtId="183" fontId="67" fillId="29" borderId="73" xfId="1" applyNumberFormat="1" applyFont="1" applyFill="1" applyBorder="1" applyAlignment="1">
      <alignment horizontal="centerContinuous"/>
    </xf>
    <xf numFmtId="213" fontId="67" fillId="29" borderId="2" xfId="1" applyNumberFormat="1" applyFont="1" applyFill="1" applyBorder="1" applyAlignment="1">
      <alignment horizontal="centerContinuous"/>
    </xf>
    <xf numFmtId="183" fontId="67" fillId="29" borderId="74" xfId="1" applyNumberFormat="1" applyFont="1" applyFill="1" applyBorder="1" applyAlignment="1">
      <alignment horizontal="centerContinuous"/>
    </xf>
    <xf numFmtId="183" fontId="67" fillId="29" borderId="2" xfId="1" applyNumberFormat="1" applyFont="1" applyFill="1" applyBorder="1" applyAlignment="1">
      <alignment horizontal="centerContinuous"/>
    </xf>
    <xf numFmtId="211" fontId="71" fillId="29" borderId="71" xfId="1" applyNumberFormat="1" applyFont="1" applyFill="1" applyBorder="1"/>
    <xf numFmtId="183" fontId="67" fillId="29" borderId="71" xfId="1" applyNumberFormat="1" applyFont="1" applyFill="1" applyBorder="1" applyAlignment="1">
      <alignment horizontal="centerContinuous"/>
    </xf>
    <xf numFmtId="213" fontId="67" fillId="29" borderId="1" xfId="1" applyNumberFormat="1" applyFont="1" applyFill="1" applyBorder="1" applyAlignment="1">
      <alignment horizontal="centerContinuous"/>
    </xf>
    <xf numFmtId="183" fontId="67" fillId="29" borderId="72" xfId="1" applyNumberFormat="1" applyFont="1" applyFill="1" applyBorder="1" applyAlignment="1">
      <alignment horizontal="centerContinuous"/>
    </xf>
    <xf numFmtId="183" fontId="67" fillId="29" borderId="1" xfId="1" applyNumberFormat="1" applyFont="1" applyFill="1" applyBorder="1" applyAlignment="1">
      <alignment horizontal="centerContinuous"/>
    </xf>
    <xf numFmtId="0" fontId="67" fillId="26" borderId="0" xfId="0" applyFont="1" applyFill="1"/>
    <xf numFmtId="0" fontId="66" fillId="5" borderId="75" xfId="4" applyFont="1" applyFill="1" applyBorder="1" applyAlignment="1" applyProtection="1">
      <alignment horizontal="left" vertical="center"/>
      <protection locked="0"/>
    </xf>
    <xf numFmtId="0" fontId="66" fillId="5" borderId="76" xfId="4" applyFont="1" applyFill="1" applyBorder="1" applyAlignment="1" applyProtection="1">
      <alignment horizontal="centerContinuous" vertical="center" wrapText="1"/>
      <protection locked="0"/>
    </xf>
    <xf numFmtId="0" fontId="66" fillId="5" borderId="64" xfId="4" applyFont="1" applyFill="1" applyBorder="1" applyAlignment="1" applyProtection="1">
      <alignment horizontal="centerContinuous" vertical="center" wrapText="1"/>
      <protection locked="0"/>
    </xf>
    <xf numFmtId="0" fontId="66" fillId="5" borderId="65" xfId="4" applyFont="1" applyFill="1" applyBorder="1" applyAlignment="1" applyProtection="1">
      <alignment horizontal="centerContinuous" vertical="center" wrapText="1"/>
      <protection locked="0"/>
    </xf>
    <xf numFmtId="0" fontId="66" fillId="5" borderId="77" xfId="4" applyFont="1" applyFill="1" applyBorder="1" applyAlignment="1" applyProtection="1">
      <alignment horizontal="right" vertical="center" wrapText="1"/>
      <protection locked="0"/>
    </xf>
    <xf numFmtId="183" fontId="66" fillId="5" borderId="0" xfId="4" applyNumberFormat="1" applyFont="1" applyFill="1" applyAlignment="1" applyProtection="1">
      <alignment horizontal="centerContinuous" vertical="center" wrapText="1"/>
      <protection locked="0"/>
    </xf>
    <xf numFmtId="183" fontId="66" fillId="5" borderId="78" xfId="4" applyNumberFormat="1" applyFont="1" applyFill="1" applyBorder="1" applyAlignment="1" applyProtection="1">
      <alignment horizontal="centerContinuous" vertical="center" wrapText="1"/>
      <protection locked="0"/>
    </xf>
    <xf numFmtId="183" fontId="66" fillId="5" borderId="79" xfId="4" applyNumberFormat="1" applyFont="1" applyFill="1" applyBorder="1" applyAlignment="1" applyProtection="1">
      <alignment horizontal="centerContinuous" vertical="center" wrapText="1"/>
      <protection locked="0"/>
    </xf>
    <xf numFmtId="183" fontId="66" fillId="5" borderId="80" xfId="4" applyNumberFormat="1" applyFont="1" applyFill="1" applyBorder="1" applyAlignment="1" applyProtection="1">
      <alignment horizontal="centerContinuous" vertical="center" wrapText="1"/>
      <protection locked="0"/>
    </xf>
    <xf numFmtId="183" fontId="66" fillId="5" borderId="81" xfId="4" applyNumberFormat="1" applyFont="1" applyFill="1" applyBorder="1" applyAlignment="1" applyProtection="1">
      <alignment horizontal="centerContinuous" vertical="center" wrapText="1"/>
      <protection locked="0"/>
    </xf>
    <xf numFmtId="183" fontId="66" fillId="5" borderId="64" xfId="4" applyNumberFormat="1" applyFont="1" applyFill="1" applyBorder="1" applyAlignment="1" applyProtection="1">
      <alignment horizontal="centerContinuous" vertical="center" wrapText="1"/>
      <protection locked="0"/>
    </xf>
    <xf numFmtId="183" fontId="66" fillId="5" borderId="65" xfId="4" applyNumberFormat="1" applyFont="1" applyFill="1" applyBorder="1" applyAlignment="1" applyProtection="1">
      <alignment horizontal="centerContinuous" vertical="center" wrapText="1"/>
      <protection locked="0"/>
    </xf>
    <xf numFmtId="0" fontId="66" fillId="5" borderId="82" xfId="4" applyFont="1" applyFill="1" applyBorder="1" applyAlignment="1" applyProtection="1">
      <alignment horizontal="left" vertical="center" wrapText="1"/>
      <protection locked="0"/>
    </xf>
    <xf numFmtId="0" fontId="66" fillId="5" borderId="2" xfId="4" applyFont="1" applyFill="1" applyBorder="1" applyAlignment="1" applyProtection="1">
      <alignment horizontal="center" vertical="center" wrapText="1"/>
      <protection locked="0"/>
    </xf>
    <xf numFmtId="0" fontId="66" fillId="5" borderId="83" xfId="4" applyFont="1" applyFill="1" applyBorder="1" applyAlignment="1" applyProtection="1">
      <alignment horizontal="center" vertical="center" wrapText="1"/>
      <protection locked="0"/>
    </xf>
    <xf numFmtId="0" fontId="66" fillId="5" borderId="84" xfId="4" applyFont="1" applyFill="1" applyBorder="1" applyAlignment="1" applyProtection="1">
      <alignment horizontal="center" vertical="center" wrapText="1"/>
      <protection locked="0"/>
    </xf>
    <xf numFmtId="0" fontId="66" fillId="5" borderId="74" xfId="4" applyFont="1" applyFill="1" applyBorder="1" applyAlignment="1" applyProtection="1">
      <alignment horizontal="center" vertical="center" wrapText="1"/>
      <protection locked="0"/>
    </xf>
    <xf numFmtId="0" fontId="67" fillId="0" borderId="85" xfId="0" applyFont="1" applyBorder="1"/>
    <xf numFmtId="211" fontId="67" fillId="0" borderId="0" xfId="2" applyNumberFormat="1" applyFont="1" applyAlignment="1">
      <alignment horizontal="centerContinuous"/>
    </xf>
    <xf numFmtId="211" fontId="67" fillId="0" borderId="78" xfId="2" applyNumberFormat="1" applyFont="1" applyBorder="1" applyAlignment="1">
      <alignment horizontal="centerContinuous"/>
    </xf>
    <xf numFmtId="211" fontId="67" fillId="0" borderId="86" xfId="2" applyNumberFormat="1" applyFont="1" applyBorder="1" applyAlignment="1">
      <alignment horizontal="centerContinuous"/>
    </xf>
    <xf numFmtId="211" fontId="67" fillId="0" borderId="70" xfId="2" applyNumberFormat="1" applyFont="1" applyBorder="1" applyAlignment="1">
      <alignment horizontal="centerContinuous"/>
    </xf>
    <xf numFmtId="0" fontId="72" fillId="26" borderId="0" xfId="0" applyFont="1" applyFill="1" applyAlignment="1">
      <alignment horizontal="right"/>
    </xf>
    <xf numFmtId="214" fontId="67" fillId="0" borderId="0" xfId="2" applyNumberFormat="1" applyFont="1" applyAlignment="1">
      <alignment horizontal="centerContinuous"/>
    </xf>
    <xf numFmtId="214" fontId="67" fillId="0" borderId="78" xfId="2" applyNumberFormat="1" applyFont="1" applyBorder="1" applyAlignment="1">
      <alignment horizontal="centerContinuous"/>
    </xf>
    <xf numFmtId="214" fontId="67" fillId="0" borderId="86" xfId="2" applyNumberFormat="1" applyFont="1" applyBorder="1" applyAlignment="1">
      <alignment horizontal="centerContinuous"/>
    </xf>
    <xf numFmtId="214" fontId="67" fillId="0" borderId="70" xfId="2" applyNumberFormat="1" applyFont="1" applyBorder="1" applyAlignment="1">
      <alignment horizontal="centerContinuous"/>
    </xf>
    <xf numFmtId="44" fontId="0" fillId="26" borderId="0" xfId="0" applyNumberFormat="1" applyFill="1"/>
    <xf numFmtId="183" fontId="0" fillId="26" borderId="0" xfId="0" applyNumberFormat="1" applyFill="1"/>
    <xf numFmtId="0" fontId="67" fillId="29" borderId="87" xfId="0" applyFont="1" applyFill="1" applyBorder="1"/>
    <xf numFmtId="211" fontId="67" fillId="31" borderId="1" xfId="2" applyNumberFormat="1" applyFont="1" applyFill="1" applyBorder="1" applyAlignment="1">
      <alignment horizontal="centerContinuous"/>
    </xf>
    <xf numFmtId="211" fontId="67" fillId="31" borderId="88" xfId="2" applyNumberFormat="1" applyFont="1" applyFill="1" applyBorder="1" applyAlignment="1">
      <alignment horizontal="centerContinuous"/>
    </xf>
    <xf numFmtId="211" fontId="67" fillId="31" borderId="89" xfId="2" applyNumberFormat="1" applyFont="1" applyFill="1" applyBorder="1" applyAlignment="1">
      <alignment horizontal="centerContinuous"/>
    </xf>
    <xf numFmtId="211" fontId="67" fillId="31" borderId="90" xfId="2" applyNumberFormat="1" applyFont="1" applyFill="1" applyBorder="1" applyAlignment="1">
      <alignment horizontal="centerContinuous"/>
    </xf>
    <xf numFmtId="211" fontId="67" fillId="31" borderId="72" xfId="2" applyNumberFormat="1" applyFont="1" applyFill="1" applyBorder="1" applyAlignment="1">
      <alignment horizontal="centerContinuous"/>
    </xf>
    <xf numFmtId="2" fontId="66" fillId="5" borderId="91" xfId="4" applyNumberFormat="1" applyFont="1" applyFill="1" applyBorder="1" applyAlignment="1" applyProtection="1">
      <alignment horizontal="centerContinuous" vertical="center" wrapText="1"/>
      <protection locked="0"/>
    </xf>
    <xf numFmtId="2" fontId="73" fillId="5" borderId="92" xfId="4" applyNumberFormat="1" applyFont="1" applyFill="1" applyBorder="1" applyAlignment="1" applyProtection="1">
      <alignment horizontal="centerContinuous" vertical="center"/>
      <protection locked="0"/>
    </xf>
    <xf numFmtId="2" fontId="66" fillId="5" borderId="93" xfId="4" applyNumberFormat="1" applyFont="1" applyFill="1" applyBorder="1" applyAlignment="1" applyProtection="1">
      <alignment horizontal="centerContinuous" vertical="center" wrapText="1"/>
      <protection locked="0"/>
    </xf>
    <xf numFmtId="0" fontId="66" fillId="5" borderId="91" xfId="4" applyFont="1" applyFill="1" applyBorder="1" applyAlignment="1" applyProtection="1">
      <alignment horizontal="centerContinuous" vertical="center" wrapText="1"/>
      <protection locked="0"/>
    </xf>
    <xf numFmtId="0" fontId="66" fillId="5" borderId="92" xfId="4" applyFont="1" applyFill="1" applyBorder="1" applyAlignment="1" applyProtection="1">
      <alignment horizontal="centerContinuous" vertical="center" wrapText="1"/>
      <protection locked="0"/>
    </xf>
    <xf numFmtId="0" fontId="66" fillId="5" borderId="93" xfId="4" applyFont="1" applyFill="1" applyBorder="1" applyAlignment="1" applyProtection="1">
      <alignment horizontal="centerContinuous" vertical="center" wrapText="1"/>
      <protection locked="0"/>
    </xf>
    <xf numFmtId="0" fontId="66" fillId="5" borderId="91" xfId="4" applyFont="1" applyFill="1" applyBorder="1" applyAlignment="1" applyProtection="1">
      <alignment horizontal="center" vertical="center" wrapText="1"/>
      <protection locked="0"/>
    </xf>
    <xf numFmtId="0" fontId="66" fillId="5" borderId="92" xfId="4" applyFont="1" applyFill="1" applyBorder="1" applyAlignment="1" applyProtection="1">
      <alignment horizontal="center" vertical="center" wrapText="1"/>
      <protection locked="0"/>
    </xf>
    <xf numFmtId="0" fontId="66" fillId="5" borderId="93" xfId="4" applyFont="1" applyFill="1" applyBorder="1" applyAlignment="1" applyProtection="1">
      <alignment horizontal="center" vertical="center" wrapText="1"/>
      <protection locked="0"/>
    </xf>
    <xf numFmtId="0" fontId="66" fillId="5" borderId="69" xfId="4" applyFont="1" applyFill="1" applyBorder="1" applyAlignment="1" applyProtection="1">
      <alignment horizontal="right" vertical="center" wrapText="1"/>
      <protection locked="0"/>
    </xf>
    <xf numFmtId="183" fontId="66" fillId="5" borderId="94" xfId="4" applyNumberFormat="1" applyFont="1" applyFill="1" applyBorder="1" applyAlignment="1" applyProtection="1">
      <alignment horizontal="centerContinuous" vertical="center" wrapText="1"/>
      <protection locked="0"/>
    </xf>
    <xf numFmtId="0" fontId="66" fillId="5" borderId="16" xfId="4" applyFont="1" applyFill="1" applyBorder="1" applyAlignment="1" applyProtection="1">
      <alignment horizontal="centerContinuous" vertical="center" wrapText="1"/>
      <protection locked="0"/>
    </xf>
    <xf numFmtId="0" fontId="66" fillId="5" borderId="95" xfId="4" applyFont="1" applyFill="1" applyBorder="1" applyAlignment="1" applyProtection="1">
      <alignment horizontal="centerContinuous" vertical="center" wrapText="1"/>
      <protection locked="0"/>
    </xf>
    <xf numFmtId="183" fontId="66" fillId="5" borderId="96" xfId="4" applyNumberFormat="1" applyFont="1" applyFill="1" applyBorder="1" applyAlignment="1" applyProtection="1">
      <alignment horizontal="centerContinuous" vertical="center" wrapText="1"/>
      <protection locked="0"/>
    </xf>
    <xf numFmtId="0" fontId="66" fillId="5" borderId="97" xfId="4" applyFont="1" applyFill="1" applyBorder="1" applyAlignment="1" applyProtection="1">
      <alignment horizontal="left" vertical="center" wrapText="1"/>
      <protection locked="0"/>
    </xf>
    <xf numFmtId="0" fontId="66" fillId="5" borderId="14" xfId="4" applyFont="1" applyFill="1" applyBorder="1" applyAlignment="1" applyProtection="1">
      <alignment horizontal="center" vertical="center" wrapText="1"/>
      <protection locked="0"/>
    </xf>
    <xf numFmtId="0" fontId="66" fillId="5" borderId="98" xfId="4" applyFont="1" applyFill="1" applyBorder="1" applyAlignment="1" applyProtection="1">
      <alignment horizontal="center" vertical="center" wrapText="1"/>
      <protection locked="0"/>
    </xf>
    <xf numFmtId="0" fontId="66" fillId="5" borderId="99" xfId="4" applyFont="1" applyFill="1" applyBorder="1" applyAlignment="1" applyProtection="1">
      <alignment horizontal="center" vertical="center" wrapText="1"/>
      <protection locked="0"/>
    </xf>
    <xf numFmtId="14" fontId="67" fillId="0" borderId="69" xfId="0" applyNumberFormat="1" applyFont="1" applyBorder="1"/>
    <xf numFmtId="182" fontId="67" fillId="0" borderId="100" xfId="0" applyNumberFormat="1" applyFont="1" applyBorder="1"/>
    <xf numFmtId="215" fontId="74" fillId="3" borderId="101" xfId="0" applyNumberFormat="1" applyFont="1" applyFill="1" applyBorder="1" applyAlignment="1">
      <alignment horizontal="center"/>
    </xf>
    <xf numFmtId="9" fontId="74" fillId="3" borderId="102" xfId="2" applyFont="1" applyFill="1" applyBorder="1" applyAlignment="1">
      <alignment horizontal="center"/>
    </xf>
    <xf numFmtId="0" fontId="67" fillId="29" borderId="101" xfId="0" applyFont="1" applyFill="1" applyBorder="1"/>
    <xf numFmtId="0" fontId="67" fillId="29" borderId="102" xfId="0" applyFont="1" applyFill="1" applyBorder="1"/>
    <xf numFmtId="0" fontId="67" fillId="0" borderId="69" xfId="0" applyFont="1" applyBorder="1"/>
    <xf numFmtId="183" fontId="67" fillId="0" borderId="101" xfId="0" applyNumberFormat="1" applyFont="1" applyBorder="1"/>
    <xf numFmtId="0" fontId="67" fillId="29" borderId="71" xfId="0" applyFont="1" applyFill="1" applyBorder="1"/>
    <xf numFmtId="183" fontId="67" fillId="29" borderId="88" xfId="0" applyNumberFormat="1" applyFont="1" applyFill="1" applyBorder="1" applyAlignment="1">
      <alignment horizontal="right"/>
    </xf>
    <xf numFmtId="215" fontId="67" fillId="29" borderId="103" xfId="0" applyNumberFormat="1" applyFont="1" applyFill="1" applyBorder="1" applyAlignment="1">
      <alignment horizontal="center"/>
    </xf>
    <xf numFmtId="9" fontId="74" fillId="3" borderId="104" xfId="2" applyFont="1" applyFill="1" applyBorder="1" applyAlignment="1">
      <alignment horizontal="center"/>
    </xf>
    <xf numFmtId="183" fontId="67" fillId="29" borderId="105" xfId="0" applyNumberFormat="1" applyFont="1" applyFill="1" applyBorder="1" applyAlignment="1">
      <alignment horizontal="right"/>
    </xf>
    <xf numFmtId="183" fontId="75" fillId="26" borderId="0" xfId="0" applyNumberFormat="1" applyFont="1" applyFill="1"/>
    <xf numFmtId="0" fontId="66" fillId="5" borderId="106" xfId="4" applyFont="1" applyFill="1" applyBorder="1" applyAlignment="1" applyProtection="1">
      <alignment horizontal="center" vertical="center" wrapText="1"/>
      <protection locked="0"/>
    </xf>
    <xf numFmtId="0" fontId="73" fillId="5" borderId="64" xfId="4" applyFont="1" applyFill="1" applyBorder="1" applyAlignment="1" applyProtection="1">
      <alignment horizontal="center" vertical="center"/>
      <protection locked="0"/>
    </xf>
    <xf numFmtId="0" fontId="66" fillId="5" borderId="64" xfId="4" applyFont="1" applyFill="1" applyBorder="1" applyAlignment="1" applyProtection="1">
      <alignment horizontal="center" vertical="center" wrapText="1"/>
      <protection locked="0"/>
    </xf>
    <xf numFmtId="0" fontId="66" fillId="5" borderId="65" xfId="4" applyFont="1" applyFill="1" applyBorder="1" applyAlignment="1" applyProtection="1">
      <alignment horizontal="center" vertical="center" wrapText="1"/>
      <protection locked="0"/>
    </xf>
    <xf numFmtId="183" fontId="66" fillId="5" borderId="107" xfId="4" applyNumberFormat="1" applyFont="1" applyFill="1" applyBorder="1" applyAlignment="1" applyProtection="1">
      <alignment horizontal="centerContinuous" vertical="center" wrapText="1"/>
      <protection locked="0"/>
    </xf>
    <xf numFmtId="0" fontId="66" fillId="5" borderId="108" xfId="4" applyFont="1" applyFill="1" applyBorder="1" applyAlignment="1" applyProtection="1">
      <alignment horizontal="centerContinuous" vertical="center" wrapText="1"/>
      <protection locked="0"/>
    </xf>
    <xf numFmtId="0" fontId="66" fillId="5" borderId="109" xfId="4" applyFont="1" applyFill="1" applyBorder="1" applyAlignment="1" applyProtection="1">
      <alignment horizontal="centerContinuous" vertical="center" wrapText="1"/>
      <protection locked="0"/>
    </xf>
    <xf numFmtId="0" fontId="66" fillId="5" borderId="69" xfId="4" applyFont="1" applyFill="1" applyBorder="1" applyAlignment="1" applyProtection="1">
      <alignment horizontal="left" vertical="center" wrapText="1"/>
      <protection locked="0"/>
    </xf>
    <xf numFmtId="0" fontId="67" fillId="0" borderId="110" xfId="0" applyFont="1" applyBorder="1"/>
    <xf numFmtId="44" fontId="67" fillId="0" borderId="100" xfId="1" applyFont="1" applyBorder="1" applyAlignment="1">
      <alignment horizontal="center"/>
    </xf>
    <xf numFmtId="215" fontId="74" fillId="3" borderId="102" xfId="0" applyNumberFormat="1" applyFont="1" applyFill="1" applyBorder="1" applyAlignment="1">
      <alignment horizontal="center"/>
    </xf>
    <xf numFmtId="44" fontId="67" fillId="29" borderId="105" xfId="0" applyNumberFormat="1" applyFont="1" applyFill="1" applyBorder="1" applyAlignment="1">
      <alignment horizontal="center"/>
    </xf>
    <xf numFmtId="215" fontId="67" fillId="29" borderId="104" xfId="0" applyNumberFormat="1" applyFont="1" applyFill="1" applyBorder="1" applyAlignment="1">
      <alignment horizontal="center"/>
    </xf>
    <xf numFmtId="14" fontId="5" fillId="3" borderId="0" xfId="0" applyNumberFormat="1" applyFont="1" applyFill="1" applyProtection="1">
      <protection locked="0"/>
    </xf>
    <xf numFmtId="14" fontId="5" fillId="3" borderId="0" xfId="8" applyNumberFormat="1" applyFont="1" applyFill="1" applyAlignment="1" applyProtection="1">
      <alignment horizontal="center"/>
      <protection locked="0"/>
    </xf>
    <xf numFmtId="0" fontId="61" fillId="32" borderId="3" xfId="4" applyFont="1" applyFill="1" applyBorder="1" applyAlignment="1" applyProtection="1">
      <alignment vertical="center" wrapText="1"/>
      <protection locked="0"/>
    </xf>
    <xf numFmtId="0" fontId="61" fillId="32" borderId="2" xfId="4" applyFont="1" applyFill="1" applyBorder="1" applyAlignment="1" applyProtection="1">
      <alignment vertical="center" wrapText="1"/>
      <protection locked="0"/>
    </xf>
    <xf numFmtId="0" fontId="3" fillId="32" borderId="13" xfId="4" applyFont="1" applyFill="1" applyBorder="1" applyAlignment="1" applyProtection="1">
      <alignment horizontal="center" vertical="center" wrapText="1"/>
      <protection locked="0"/>
    </xf>
    <xf numFmtId="0" fontId="3" fillId="5" borderId="15" xfId="4" applyFont="1" applyFill="1" applyBorder="1" applyAlignment="1" applyProtection="1">
      <alignment horizontal="center" vertical="center" wrapText="1"/>
      <protection locked="0"/>
    </xf>
    <xf numFmtId="0" fontId="76" fillId="0" borderId="5" xfId="0" applyFont="1" applyBorder="1"/>
    <xf numFmtId="171" fontId="0" fillId="0" borderId="0" xfId="23" applyNumberFormat="1" applyFont="1"/>
    <xf numFmtId="171" fontId="0" fillId="0" borderId="0" xfId="2" applyNumberFormat="1" applyFont="1"/>
    <xf numFmtId="10" fontId="0" fillId="0" borderId="0" xfId="2" applyNumberFormat="1" applyFont="1"/>
    <xf numFmtId="14" fontId="0" fillId="0" borderId="5" xfId="0" applyNumberFormat="1" applyBorder="1"/>
    <xf numFmtId="44" fontId="0" fillId="0" borderId="0" xfId="1" applyFont="1"/>
    <xf numFmtId="9" fontId="0" fillId="0" borderId="0" xfId="2" applyFont="1"/>
    <xf numFmtId="211" fontId="0" fillId="0" borderId="0" xfId="1" applyNumberFormat="1" applyFont="1"/>
    <xf numFmtId="211" fontId="0" fillId="0" borderId="6" xfId="1" applyNumberFormat="1" applyFont="1" applyBorder="1"/>
    <xf numFmtId="0" fontId="59" fillId="0" borderId="7" xfId="0" applyFont="1" applyBorder="1"/>
    <xf numFmtId="171" fontId="0" fillId="0" borderId="8" xfId="0" applyNumberFormat="1" applyBorder="1"/>
    <xf numFmtId="171" fontId="0" fillId="0" borderId="8" xfId="2" applyNumberFormat="1" applyFont="1" applyBorder="1"/>
    <xf numFmtId="44" fontId="0" fillId="0" borderId="8" xfId="1" applyFont="1" applyBorder="1"/>
    <xf numFmtId="9" fontId="0" fillId="0" borderId="8" xfId="1" applyNumberFormat="1" applyFont="1" applyBorder="1"/>
    <xf numFmtId="171" fontId="0" fillId="0" borderId="9" xfId="0" applyNumberFormat="1" applyBorder="1"/>
    <xf numFmtId="9" fontId="0" fillId="0" borderId="8" xfId="2" applyFont="1" applyBorder="1"/>
    <xf numFmtId="0" fontId="61" fillId="32" borderId="3" xfId="4" applyFont="1" applyFill="1" applyBorder="1" applyAlignment="1" applyProtection="1">
      <alignment vertical="center"/>
      <protection locked="0"/>
    </xf>
    <xf numFmtId="0" fontId="61" fillId="32" borderId="4" xfId="4" applyFont="1" applyFill="1" applyBorder="1" applyAlignment="1" applyProtection="1">
      <alignment vertical="center" wrapText="1"/>
      <protection locked="0"/>
    </xf>
    <xf numFmtId="0" fontId="77" fillId="0" borderId="0" xfId="0" applyFont="1"/>
    <xf numFmtId="171" fontId="0" fillId="0" borderId="8" xfId="23" applyNumberFormat="1" applyFont="1" applyBorder="1"/>
    <xf numFmtId="211" fontId="0" fillId="0" borderId="8" xfId="1" applyNumberFormat="1" applyFont="1" applyBorder="1"/>
    <xf numFmtId="0" fontId="61" fillId="27" borderId="3" xfId="4" applyFont="1" applyFill="1" applyBorder="1" applyAlignment="1" applyProtection="1">
      <alignment vertical="center"/>
      <protection locked="0"/>
    </xf>
    <xf numFmtId="0" fontId="61" fillId="27" borderId="2" xfId="4" applyFont="1" applyFill="1" applyBorder="1" applyAlignment="1" applyProtection="1">
      <alignment vertical="center" wrapText="1"/>
      <protection locked="0"/>
    </xf>
    <xf numFmtId="0" fontId="61" fillId="27" borderId="4" xfId="4" applyFont="1" applyFill="1" applyBorder="1" applyAlignment="1" applyProtection="1">
      <alignment vertical="center" wrapText="1"/>
      <protection locked="0"/>
    </xf>
    <xf numFmtId="0" fontId="62" fillId="5" borderId="5" xfId="4" applyFont="1" applyFill="1" applyBorder="1" applyAlignment="1" applyProtection="1">
      <alignment horizontal="center" vertical="center" wrapText="1"/>
      <protection locked="0"/>
    </xf>
    <xf numFmtId="0" fontId="62" fillId="5" borderId="0" xfId="4" applyFont="1" applyFill="1" applyAlignment="1" applyProtection="1">
      <alignment horizontal="center" vertical="center" wrapText="1"/>
      <protection locked="0"/>
    </xf>
    <xf numFmtId="0" fontId="62" fillId="5" borderId="6" xfId="4" applyFont="1" applyFill="1" applyBorder="1" applyAlignment="1" applyProtection="1">
      <alignment horizontal="center" vertical="center" wrapText="1"/>
      <protection locked="0"/>
    </xf>
    <xf numFmtId="0" fontId="0" fillId="0" borderId="111" xfId="0" applyBorder="1"/>
    <xf numFmtId="9" fontId="0" fillId="0" borderId="0" xfId="2" applyFont="1" applyAlignment="1">
      <alignment horizontal="center"/>
    </xf>
    <xf numFmtId="0" fontId="0" fillId="29" borderId="7" xfId="0" applyFill="1" applyBorder="1"/>
    <xf numFmtId="171" fontId="0" fillId="29" borderId="8" xfId="23" applyNumberFormat="1" applyFont="1" applyFill="1" applyBorder="1"/>
    <xf numFmtId="10" fontId="0" fillId="29" borderId="8" xfId="2" applyNumberFormat="1" applyFont="1" applyFill="1" applyBorder="1"/>
    <xf numFmtId="44" fontId="0" fillId="29" borderId="8" xfId="0" applyNumberFormat="1" applyFill="1" applyBorder="1" applyAlignment="1">
      <alignment horizontal="center"/>
    </xf>
    <xf numFmtId="211" fontId="0" fillId="29" borderId="8" xfId="1" applyNumberFormat="1" applyFont="1" applyFill="1" applyBorder="1"/>
    <xf numFmtId="211" fontId="0" fillId="29" borderId="9" xfId="1" applyNumberFormat="1" applyFont="1" applyFill="1" applyBorder="1"/>
    <xf numFmtId="44" fontId="0" fillId="29" borderId="8" xfId="1" applyFont="1" applyFill="1" applyBorder="1"/>
    <xf numFmtId="0" fontId="0" fillId="33" borderId="64" xfId="0" applyFill="1" applyBorder="1"/>
    <xf numFmtId="0" fontId="0" fillId="33" borderId="65" xfId="0" applyFill="1" applyBorder="1"/>
    <xf numFmtId="0" fontId="18" fillId="3" borderId="10" xfId="0" applyFont="1" applyFill="1" applyBorder="1" applyAlignment="1" applyProtection="1">
      <alignment horizontal="left" vertical="center"/>
      <protection locked="0"/>
    </xf>
    <xf numFmtId="0" fontId="18" fillId="3" borderId="17" xfId="0" applyFont="1" applyFill="1" applyBorder="1" applyAlignment="1" applyProtection="1">
      <alignment horizontal="left" vertical="center"/>
      <protection locked="0"/>
    </xf>
    <xf numFmtId="0" fontId="18" fillId="3" borderId="30" xfId="0" applyFont="1" applyFill="1" applyBorder="1" applyAlignment="1" applyProtection="1">
      <alignment horizontal="left" vertical="center"/>
      <protection locked="0"/>
    </xf>
    <xf numFmtId="14" fontId="0" fillId="0" borderId="69" xfId="0" applyNumberFormat="1" applyBorder="1"/>
    <xf numFmtId="216" fontId="5" fillId="3" borderId="13" xfId="8" applyNumberFormat="1" applyFont="1" applyFill="1" applyBorder="1" applyAlignment="1" applyProtection="1">
      <alignment horizontal="center"/>
      <protection locked="0"/>
    </xf>
    <xf numFmtId="187" fontId="5" fillId="3" borderId="32" xfId="8" applyNumberFormat="1" applyFont="1" applyFill="1" applyBorder="1" applyAlignment="1" applyProtection="1">
      <alignment horizontal="center"/>
      <protection locked="0"/>
    </xf>
    <xf numFmtId="176" fontId="5" fillId="3" borderId="35" xfId="8" applyNumberFormat="1" applyFont="1" applyFill="1" applyBorder="1" applyAlignment="1" applyProtection="1">
      <alignment horizontal="center"/>
      <protection locked="0"/>
    </xf>
    <xf numFmtId="14" fontId="5" fillId="34" borderId="71" xfId="0" applyNumberFormat="1" applyFont="1" applyFill="1" applyBorder="1" applyProtection="1">
      <protection locked="0"/>
    </xf>
    <xf numFmtId="176" fontId="5" fillId="34" borderId="1" xfId="8" applyNumberFormat="1" applyFont="1" applyFill="1" applyBorder="1" applyAlignment="1" applyProtection="1">
      <alignment horizontal="center"/>
      <protection locked="0"/>
    </xf>
    <xf numFmtId="14" fontId="0" fillId="0" borderId="71" xfId="0" applyNumberFormat="1" applyBorder="1"/>
    <xf numFmtId="183" fontId="5" fillId="35" borderId="1" xfId="1" applyNumberFormat="1" applyFont="1" applyFill="1" applyBorder="1" applyAlignment="1" applyProtection="1">
      <alignment horizontal="center"/>
      <protection locked="0"/>
    </xf>
    <xf numFmtId="44" fontId="5" fillId="34" borderId="35" xfId="1" applyFont="1" applyFill="1" applyBorder="1" applyAlignment="1" applyProtection="1">
      <alignment horizontal="center"/>
      <protection locked="0"/>
    </xf>
    <xf numFmtId="0" fontId="0" fillId="33" borderId="63" xfId="0" applyFill="1" applyBorder="1"/>
    <xf numFmtId="0" fontId="0" fillId="33" borderId="112" xfId="0" applyFill="1" applyBorder="1"/>
    <xf numFmtId="216" fontId="5" fillId="3" borderId="31" xfId="8" applyNumberFormat="1" applyFont="1" applyFill="1" applyBorder="1" applyAlignment="1" applyProtection="1">
      <alignment horizontal="center"/>
      <protection locked="0"/>
    </xf>
    <xf numFmtId="183" fontId="5" fillId="35" borderId="71" xfId="1" applyNumberFormat="1" applyFont="1" applyFill="1" applyBorder="1" applyAlignment="1" applyProtection="1">
      <alignment horizontal="center"/>
      <protection locked="0"/>
    </xf>
    <xf numFmtId="0" fontId="18" fillId="3" borderId="18" xfId="0" applyFont="1" applyFill="1" applyBorder="1" applyAlignment="1" applyProtection="1">
      <alignment horizontal="left" vertical="center"/>
      <protection locked="0"/>
    </xf>
    <xf numFmtId="0" fontId="78" fillId="27" borderId="69" xfId="0" applyFont="1" applyFill="1" applyBorder="1" applyAlignment="1">
      <alignment horizontal="center"/>
    </xf>
    <xf numFmtId="0" fontId="78" fillId="27" borderId="0" xfId="0" applyFont="1" applyFill="1" applyAlignment="1">
      <alignment horizontal="center"/>
    </xf>
    <xf numFmtId="14" fontId="0" fillId="0" borderId="70" xfId="0" applyNumberFormat="1" applyBorder="1"/>
    <xf numFmtId="216" fontId="0" fillId="0" borderId="70" xfId="0" applyNumberFormat="1" applyBorder="1"/>
    <xf numFmtId="182" fontId="0" fillId="0" borderId="70" xfId="0" applyNumberFormat="1" applyBorder="1"/>
    <xf numFmtId="183" fontId="0" fillId="0" borderId="70" xfId="0" applyNumberFormat="1" applyBorder="1"/>
    <xf numFmtId="187" fontId="0" fillId="0" borderId="70" xfId="0" applyNumberFormat="1" applyBorder="1"/>
    <xf numFmtId="182" fontId="0" fillId="0" borderId="72" xfId="0" applyNumberFormat="1" applyBorder="1"/>
    <xf numFmtId="14" fontId="41" fillId="20" borderId="0" xfId="21" applyNumberFormat="1" applyFont="1" applyFill="1" applyAlignment="1">
      <alignment horizontal="left"/>
    </xf>
    <xf numFmtId="0" fontId="39" fillId="0" borderId="114" xfId="21" applyFont="1" applyBorder="1" applyAlignment="1">
      <alignment vertical="center"/>
    </xf>
    <xf numFmtId="49" fontId="42" fillId="20" borderId="115" xfId="23" applyNumberFormat="1" applyFont="1" applyFill="1" applyBorder="1" applyAlignment="1">
      <alignment horizontal="left" vertical="center"/>
    </xf>
    <xf numFmtId="0" fontId="45" fillId="0" borderId="113" xfId="21" applyFont="1" applyBorder="1"/>
    <xf numFmtId="0" fontId="39" fillId="0" borderId="113" xfId="21" applyFont="1" applyBorder="1" applyAlignment="1">
      <alignment vertical="center"/>
    </xf>
    <xf numFmtId="0" fontId="36" fillId="0" borderId="113" xfId="21" applyFont="1" applyBorder="1" applyAlignment="1">
      <alignment horizontal="center" vertical="center"/>
    </xf>
    <xf numFmtId="0" fontId="43" fillId="0" borderId="113" xfId="21" applyFont="1" applyBorder="1" applyAlignment="1">
      <alignment horizontal="centerContinuous" vertical="center"/>
    </xf>
    <xf numFmtId="0" fontId="39" fillId="0" borderId="113" xfId="21" applyFont="1" applyBorder="1" applyAlignment="1">
      <alignment horizontal="centerContinuous" vertical="center"/>
    </xf>
    <xf numFmtId="14" fontId="43" fillId="0" borderId="113" xfId="21" applyNumberFormat="1" applyFont="1" applyBorder="1" applyAlignment="1">
      <alignment horizontal="center" vertical="center"/>
    </xf>
    <xf numFmtId="0" fontId="43" fillId="0" borderId="113" xfId="21" applyFont="1" applyBorder="1" applyAlignment="1">
      <alignment horizontal="center" vertical="center"/>
    </xf>
    <xf numFmtId="0" fontId="12" fillId="0" borderId="113" xfId="21" applyFont="1" applyBorder="1" applyAlignment="1">
      <alignment horizontal="right" vertical="center"/>
    </xf>
    <xf numFmtId="0" fontId="39" fillId="0" borderId="113" xfId="21" applyFont="1" applyBorder="1"/>
    <xf numFmtId="0" fontId="39" fillId="0" borderId="113" xfId="21" applyFont="1" applyBorder="1" applyAlignment="1">
      <alignment horizontal="right"/>
    </xf>
    <xf numFmtId="196" fontId="39" fillId="0" borderId="113" xfId="21" applyNumberFormat="1" applyFont="1" applyBorder="1" applyAlignment="1">
      <alignment vertical="center"/>
    </xf>
    <xf numFmtId="192" fontId="39" fillId="0" borderId="113" xfId="21" applyNumberFormat="1" applyFont="1" applyBorder="1" applyAlignment="1">
      <alignment horizontal="right" vertical="center"/>
    </xf>
    <xf numFmtId="7" fontId="39" fillId="0" borderId="113" xfId="21" applyNumberFormat="1" applyFont="1" applyBorder="1" applyAlignment="1">
      <alignment vertical="center"/>
    </xf>
    <xf numFmtId="5" fontId="39" fillId="0" borderId="113" xfId="21" applyNumberFormat="1" applyFont="1" applyBorder="1" applyAlignment="1">
      <alignment vertical="center"/>
    </xf>
    <xf numFmtId="192" fontId="39" fillId="0" borderId="113" xfId="21" applyNumberFormat="1" applyFont="1" applyBorder="1" applyAlignment="1">
      <alignment vertical="center"/>
    </xf>
    <xf numFmtId="0" fontId="39" fillId="0" borderId="116" xfId="21" applyFont="1" applyBorder="1" applyAlignment="1">
      <alignment vertical="center"/>
    </xf>
    <xf numFmtId="0" fontId="39" fillId="0" borderId="116" xfId="21" applyFont="1" applyBorder="1" applyAlignment="1">
      <alignment horizontal="center" vertical="center"/>
    </xf>
    <xf numFmtId="0" fontId="39" fillId="0" borderId="116" xfId="21" applyFont="1" applyBorder="1"/>
    <xf numFmtId="0" fontId="36" fillId="7" borderId="116" xfId="21" applyFont="1" applyFill="1" applyBorder="1" applyAlignment="1">
      <alignment vertical="center"/>
    </xf>
    <xf numFmtId="43" fontId="45" fillId="0" borderId="117" xfId="23" applyFont="1" applyFill="1" applyBorder="1"/>
    <xf numFmtId="0" fontId="45" fillId="0" borderId="117" xfId="21" applyFont="1" applyBorder="1"/>
    <xf numFmtId="0" fontId="12" fillId="0" borderId="118" xfId="21" applyFont="1" applyBorder="1" applyAlignment="1">
      <alignment vertical="center"/>
    </xf>
    <xf numFmtId="0" fontId="39" fillId="0" borderId="118" xfId="21" applyFont="1" applyBorder="1" applyAlignment="1">
      <alignment vertical="center"/>
    </xf>
    <xf numFmtId="196" fontId="39" fillId="0" borderId="118" xfId="21" applyNumberFormat="1" applyFont="1" applyBorder="1" applyAlignment="1">
      <alignment vertical="center"/>
    </xf>
    <xf numFmtId="192" fontId="39" fillId="0" borderId="118" xfId="21" applyNumberFormat="1" applyFont="1" applyBorder="1" applyAlignment="1">
      <alignment horizontal="right" vertical="center"/>
    </xf>
    <xf numFmtId="0" fontId="39" fillId="0" borderId="119" xfId="21" applyFont="1" applyBorder="1" applyAlignment="1">
      <alignment vertical="center"/>
    </xf>
    <xf numFmtId="0" fontId="36" fillId="0" borderId="120" xfId="21" applyFont="1" applyBorder="1" applyAlignment="1">
      <alignment horizontal="center" vertical="center"/>
    </xf>
    <xf numFmtId="0" fontId="39" fillId="0" borderId="120" xfId="21" applyFont="1" applyBorder="1" applyAlignment="1">
      <alignment vertical="center"/>
    </xf>
    <xf numFmtId="0" fontId="37" fillId="21" borderId="120" xfId="21" applyFont="1" applyFill="1" applyBorder="1" applyAlignment="1">
      <alignment horizontal="centerContinuous" vertical="center"/>
    </xf>
    <xf numFmtId="0" fontId="46" fillId="21" borderId="120" xfId="21" applyFont="1" applyFill="1" applyBorder="1" applyAlignment="1">
      <alignment horizontal="centerContinuous" vertical="center"/>
    </xf>
    <xf numFmtId="0" fontId="46" fillId="21" borderId="121" xfId="21" applyFont="1" applyFill="1" applyBorder="1" applyAlignment="1">
      <alignment horizontal="centerContinuous" vertical="center"/>
    </xf>
    <xf numFmtId="0" fontId="39" fillId="0" borderId="122" xfId="21" applyFont="1" applyBorder="1" applyAlignment="1">
      <alignment vertical="center"/>
    </xf>
    <xf numFmtId="0" fontId="39" fillId="0" borderId="123" xfId="21" applyFont="1" applyBorder="1" applyAlignment="1">
      <alignment horizontal="centerContinuous" vertical="center"/>
    </xf>
    <xf numFmtId="0" fontId="43" fillId="0" borderId="122" xfId="21" applyFont="1" applyBorder="1" applyAlignment="1">
      <alignment horizontal="left" vertical="center"/>
    </xf>
    <xf numFmtId="0" fontId="43" fillId="0" borderId="123" xfId="21" applyFont="1" applyBorder="1" applyAlignment="1">
      <alignment horizontal="center" vertical="center"/>
    </xf>
    <xf numFmtId="0" fontId="39" fillId="0" borderId="122" xfId="21" applyFont="1" applyBorder="1"/>
    <xf numFmtId="0" fontId="39" fillId="0" borderId="123" xfId="21" applyFont="1" applyBorder="1"/>
    <xf numFmtId="0" fontId="12" fillId="0" borderId="122" xfId="21" applyFont="1" applyBorder="1" applyAlignment="1">
      <alignment vertical="center"/>
    </xf>
    <xf numFmtId="192" fontId="39" fillId="0" borderId="123" xfId="21" applyNumberFormat="1" applyFont="1" applyBorder="1" applyAlignment="1">
      <alignment horizontal="right" vertical="center"/>
    </xf>
    <xf numFmtId="0" fontId="36" fillId="0" borderId="122" xfId="21" applyFont="1" applyBorder="1" applyAlignment="1">
      <alignment vertical="center"/>
    </xf>
    <xf numFmtId="0" fontId="12" fillId="0" borderId="122" xfId="21" applyFont="1" applyBorder="1" applyAlignment="1">
      <alignment horizontal="left" vertical="center"/>
    </xf>
    <xf numFmtId="0" fontId="39" fillId="0" borderId="125" xfId="21" applyFont="1" applyBorder="1" applyAlignment="1">
      <alignment vertical="center"/>
    </xf>
    <xf numFmtId="196" fontId="39" fillId="0" borderId="125" xfId="21" applyNumberFormat="1" applyFont="1" applyBorder="1" applyAlignment="1">
      <alignment vertical="center"/>
    </xf>
    <xf numFmtId="192" fontId="39" fillId="0" borderId="125" xfId="21" applyNumberFormat="1" applyFont="1" applyBorder="1" applyAlignment="1">
      <alignment horizontal="right" vertical="center"/>
    </xf>
    <xf numFmtId="192" fontId="39" fillId="0" borderId="126" xfId="21" applyNumberFormat="1" applyFont="1" applyBorder="1" applyAlignment="1">
      <alignment horizontal="right" vertical="center"/>
    </xf>
    <xf numFmtId="0" fontId="12" fillId="0" borderId="127" xfId="21" applyFont="1" applyBorder="1"/>
    <xf numFmtId="7" fontId="39" fillId="0" borderId="118" xfId="21" applyNumberFormat="1" applyFont="1" applyBorder="1"/>
    <xf numFmtId="196" fontId="39" fillId="0" borderId="118" xfId="21" applyNumberFormat="1" applyFont="1" applyBorder="1"/>
    <xf numFmtId="37" fontId="39" fillId="0" borderId="118" xfId="21" applyNumberFormat="1" applyFont="1" applyBorder="1"/>
    <xf numFmtId="0" fontId="39" fillId="0" borderId="118" xfId="21" applyFont="1" applyBorder="1"/>
    <xf numFmtId="192" fontId="39" fillId="0" borderId="118" xfId="21" applyNumberFormat="1" applyFont="1" applyBorder="1" applyAlignment="1">
      <alignment horizontal="right"/>
    </xf>
    <xf numFmtId="192" fontId="39" fillId="0" borderId="118" xfId="21" applyNumberFormat="1" applyFont="1" applyBorder="1"/>
    <xf numFmtId="192" fontId="39" fillId="0" borderId="128" xfId="21" applyNumberFormat="1" applyFont="1" applyBorder="1" applyAlignment="1">
      <alignment horizontal="right"/>
    </xf>
    <xf numFmtId="0" fontId="12" fillId="0" borderId="124" xfId="21" applyFont="1" applyBorder="1" applyAlignment="1">
      <alignment horizontal="left" vertical="center"/>
    </xf>
    <xf numFmtId="7" fontId="39" fillId="0" borderId="125" xfId="21" applyNumberFormat="1" applyFont="1" applyBorder="1" applyAlignment="1">
      <alignment vertical="center"/>
    </xf>
    <xf numFmtId="5" fontId="39" fillId="0" borderId="125" xfId="21" applyNumberFormat="1" applyFont="1" applyBorder="1" applyAlignment="1">
      <alignment vertical="center"/>
    </xf>
    <xf numFmtId="192" fontId="39" fillId="0" borderId="125" xfId="21" applyNumberFormat="1" applyFont="1" applyBorder="1" applyAlignment="1">
      <alignment vertical="center"/>
    </xf>
    <xf numFmtId="0" fontId="12" fillId="0" borderId="129" xfId="21" applyFont="1" applyBorder="1" applyAlignment="1">
      <alignment vertical="center"/>
    </xf>
    <xf numFmtId="0" fontId="39" fillId="0" borderId="117" xfId="21" applyFont="1" applyBorder="1" applyAlignment="1">
      <alignment vertical="center"/>
    </xf>
    <xf numFmtId="196" fontId="39" fillId="0" borderId="117" xfId="21" applyNumberFormat="1" applyFont="1" applyBorder="1" applyAlignment="1">
      <alignment vertical="center"/>
    </xf>
    <xf numFmtId="192" fontId="39" fillId="0" borderId="117" xfId="21" applyNumberFormat="1" applyFont="1" applyBorder="1" applyAlignment="1">
      <alignment horizontal="right" vertical="center"/>
    </xf>
    <xf numFmtId="192" fontId="39" fillId="0" borderId="130" xfId="21" applyNumberFormat="1" applyFont="1" applyBorder="1" applyAlignment="1">
      <alignment horizontal="right" vertical="center"/>
    </xf>
    <xf numFmtId="0" fontId="12" fillId="0" borderId="131" xfId="21" applyFont="1" applyBorder="1" applyAlignment="1">
      <alignment vertical="center"/>
    </xf>
    <xf numFmtId="0" fontId="39" fillId="0" borderId="132" xfId="21" applyFont="1" applyBorder="1" applyAlignment="1">
      <alignment vertical="center"/>
    </xf>
    <xf numFmtId="196" fontId="39" fillId="0" borderId="132" xfId="21" applyNumberFormat="1" applyFont="1" applyBorder="1" applyAlignment="1">
      <alignment vertical="center"/>
    </xf>
    <xf numFmtId="192" fontId="39" fillId="0" borderId="132" xfId="21" applyNumberFormat="1" applyFont="1" applyBorder="1" applyAlignment="1">
      <alignment horizontal="right" vertical="center"/>
    </xf>
    <xf numFmtId="192" fontId="39" fillId="0" borderId="133" xfId="21" applyNumberFormat="1" applyFont="1" applyBorder="1" applyAlignment="1">
      <alignment horizontal="right" vertical="center"/>
    </xf>
    <xf numFmtId="0" fontId="36" fillId="7" borderId="134" xfId="21" applyFont="1" applyFill="1" applyBorder="1" applyAlignment="1">
      <alignment vertical="center"/>
    </xf>
    <xf numFmtId="196" fontId="39" fillId="7" borderId="134" xfId="21" applyNumberFormat="1" applyFont="1" applyFill="1" applyBorder="1" applyAlignment="1">
      <alignment vertical="center"/>
    </xf>
    <xf numFmtId="196" fontId="36" fillId="7" borderId="134" xfId="21" applyNumberFormat="1" applyFont="1" applyFill="1" applyBorder="1" applyAlignment="1">
      <alignment vertical="center"/>
    </xf>
    <xf numFmtId="192" fontId="36" fillId="7" borderId="134" xfId="21" applyNumberFormat="1" applyFont="1" applyFill="1" applyBorder="1" applyAlignment="1">
      <alignment horizontal="right" vertical="center"/>
    </xf>
    <xf numFmtId="0" fontId="36" fillId="7" borderId="135" xfId="21" applyFont="1" applyFill="1" applyBorder="1" applyAlignment="1">
      <alignment vertical="center"/>
    </xf>
    <xf numFmtId="196" fontId="39" fillId="7" borderId="135" xfId="21" applyNumberFormat="1" applyFont="1" applyFill="1" applyBorder="1" applyAlignment="1">
      <alignment vertical="center"/>
    </xf>
    <xf numFmtId="196" fontId="36" fillId="7" borderId="135" xfId="21" applyNumberFormat="1" applyFont="1" applyFill="1" applyBorder="1" applyAlignment="1">
      <alignment vertical="center"/>
    </xf>
    <xf numFmtId="192" fontId="36" fillId="7" borderId="135" xfId="21" applyNumberFormat="1" applyFont="1" applyFill="1" applyBorder="1" applyAlignment="1">
      <alignment horizontal="right" vertical="center"/>
    </xf>
    <xf numFmtId="0" fontId="43" fillId="7" borderId="136" xfId="21" applyFont="1" applyFill="1" applyBorder="1" applyAlignment="1">
      <alignment vertical="center"/>
    </xf>
    <xf numFmtId="192" fontId="36" fillId="7" borderId="137" xfId="21" applyNumberFormat="1" applyFont="1" applyFill="1" applyBorder="1" applyAlignment="1">
      <alignment horizontal="right" vertical="center"/>
    </xf>
    <xf numFmtId="0" fontId="43" fillId="7" borderId="138" xfId="21" applyFont="1" applyFill="1" applyBorder="1" applyAlignment="1">
      <alignment vertical="center"/>
    </xf>
    <xf numFmtId="192" fontId="36" fillId="7" borderId="139" xfId="21" applyNumberFormat="1" applyFont="1" applyFill="1" applyBorder="1" applyAlignment="1">
      <alignment horizontal="right" vertical="center"/>
    </xf>
    <xf numFmtId="182" fontId="52" fillId="36" borderId="13" xfId="1" applyNumberFormat="1" applyFont="1" applyFill="1" applyBorder="1" applyAlignment="1" applyProtection="1">
      <protection locked="0"/>
    </xf>
    <xf numFmtId="178" fontId="52" fillId="36" borderId="13" xfId="9" applyNumberFormat="1" applyFont="1" applyFill="1" applyBorder="1" applyAlignment="1" applyProtection="1"/>
    <xf numFmtId="179" fontId="52" fillId="36" borderId="13" xfId="8" applyNumberFormat="1" applyFont="1" applyFill="1" applyBorder="1"/>
    <xf numFmtId="171" fontId="5" fillId="3" borderId="0" xfId="23" applyNumberFormat="1" applyFont="1" applyFill="1" applyBorder="1" applyAlignment="1" applyProtection="1">
      <protection locked="0"/>
    </xf>
    <xf numFmtId="0" fontId="59" fillId="0" borderId="3" xfId="0" applyFont="1" applyBorder="1"/>
    <xf numFmtId="0" fontId="59" fillId="0" borderId="2" xfId="0" applyFont="1" applyBorder="1"/>
    <xf numFmtId="0" fontId="59" fillId="0" borderId="4" xfId="0" applyFont="1" applyBorder="1"/>
    <xf numFmtId="0" fontId="81" fillId="29" borderId="10" xfId="0" applyFont="1" applyFill="1" applyBorder="1"/>
    <xf numFmtId="0" fontId="81" fillId="29" borderId="11" xfId="0" applyFont="1" applyFill="1" applyBorder="1"/>
    <xf numFmtId="0" fontId="81" fillId="29" borderId="12" xfId="0" applyFont="1" applyFill="1" applyBorder="1"/>
    <xf numFmtId="0" fontId="80" fillId="0" borderId="140" xfId="0" applyFont="1" applyBorder="1" applyAlignment="1">
      <alignment horizontal="left" vertical="top"/>
    </xf>
    <xf numFmtId="0" fontId="63" fillId="0" borderId="141" xfId="0" applyFont="1" applyBorder="1"/>
    <xf numFmtId="0" fontId="80" fillId="0" borderId="141" xfId="0" applyFont="1" applyBorder="1" applyAlignment="1">
      <alignment horizontal="left"/>
    </xf>
    <xf numFmtId="17" fontId="80" fillId="0" borderId="141" xfId="0" applyNumberFormat="1" applyFont="1" applyBorder="1"/>
    <xf numFmtId="0" fontId="80" fillId="0" borderId="141" xfId="0" applyFont="1" applyBorder="1"/>
    <xf numFmtId="171" fontId="80" fillId="0" borderId="141" xfId="23" applyNumberFormat="1" applyFont="1" applyBorder="1"/>
    <xf numFmtId="0" fontId="80" fillId="0" borderId="141" xfId="0" applyFont="1" applyBorder="1" applyAlignment="1">
      <alignment horizontal="right"/>
    </xf>
    <xf numFmtId="217" fontId="80" fillId="0" borderId="142" xfId="0" applyNumberFormat="1" applyFont="1" applyBorder="1"/>
    <xf numFmtId="0" fontId="80" fillId="0" borderId="143" xfId="0" applyFont="1" applyBorder="1" applyAlignment="1">
      <alignment horizontal="left" vertical="top"/>
    </xf>
    <xf numFmtId="0" fontId="63" fillId="0" borderId="144" xfId="0" applyFont="1" applyBorder="1"/>
    <xf numFmtId="0" fontId="80" fillId="0" borderId="144" xfId="0" applyFont="1" applyBorder="1" applyAlignment="1">
      <alignment horizontal="left"/>
    </xf>
    <xf numFmtId="17" fontId="80" fillId="0" borderId="144" xfId="0" applyNumberFormat="1" applyFont="1" applyBorder="1"/>
    <xf numFmtId="217" fontId="80" fillId="0" borderId="144" xfId="0" applyNumberFormat="1" applyFont="1" applyBorder="1"/>
    <xf numFmtId="171" fontId="80" fillId="0" borderId="144" xfId="23" applyNumberFormat="1" applyFont="1" applyFill="1" applyBorder="1"/>
    <xf numFmtId="217" fontId="80" fillId="0" borderId="145" xfId="0" applyNumberFormat="1" applyFont="1" applyBorder="1"/>
    <xf numFmtId="171" fontId="80" fillId="0" borderId="144" xfId="23" applyNumberFormat="1" applyFont="1" applyBorder="1"/>
    <xf numFmtId="0" fontId="80" fillId="0" borderId="144" xfId="0" applyFont="1" applyBorder="1"/>
    <xf numFmtId="0" fontId="83" fillId="0" borderId="143" xfId="24" applyFont="1" applyFill="1" applyBorder="1" applyAlignment="1">
      <alignment horizontal="left" vertical="top"/>
    </xf>
    <xf numFmtId="0" fontId="80" fillId="0" borderId="143" xfId="0" applyFont="1" applyBorder="1" applyAlignment="1">
      <alignment vertical="top"/>
    </xf>
    <xf numFmtId="0" fontId="80" fillId="0" borderId="146" xfId="0" applyFont="1" applyBorder="1" applyAlignment="1">
      <alignment vertical="top"/>
    </xf>
    <xf numFmtId="0" fontId="80" fillId="0" borderId="147" xfId="0" applyFont="1" applyBorder="1"/>
    <xf numFmtId="0" fontId="80" fillId="0" borderId="147" xfId="0" applyFont="1" applyBorder="1" applyAlignment="1">
      <alignment horizontal="left"/>
    </xf>
    <xf numFmtId="217" fontId="80" fillId="0" borderId="147" xfId="0" applyNumberFormat="1" applyFont="1" applyBorder="1"/>
    <xf numFmtId="171" fontId="80" fillId="0" borderId="147" xfId="23" applyNumberFormat="1" applyFont="1" applyBorder="1"/>
    <xf numFmtId="217" fontId="80" fillId="0" borderId="148" xfId="0" applyNumberFormat="1" applyFont="1" applyBorder="1"/>
    <xf numFmtId="0" fontId="84" fillId="0" borderId="10" xfId="0" applyFont="1" applyBorder="1"/>
    <xf numFmtId="0" fontId="81" fillId="0" borderId="11" xfId="0" applyFont="1" applyBorder="1"/>
    <xf numFmtId="217" fontId="81" fillId="0" borderId="11" xfId="0" applyNumberFormat="1" applyFont="1" applyBorder="1"/>
    <xf numFmtId="217" fontId="81" fillId="0" borderId="12" xfId="0" applyNumberFormat="1" applyFont="1" applyBorder="1"/>
    <xf numFmtId="0" fontId="84" fillId="0" borderId="7" xfId="0" applyFont="1" applyBorder="1"/>
    <xf numFmtId="0" fontId="81" fillId="0" borderId="8" xfId="0" applyFont="1" applyBorder="1"/>
    <xf numFmtId="217" fontId="81" fillId="0" borderId="8" xfId="0" applyNumberFormat="1" applyFont="1" applyBorder="1"/>
    <xf numFmtId="217" fontId="81" fillId="0" borderId="9" xfId="0" applyNumberFormat="1" applyFont="1" applyBorder="1"/>
    <xf numFmtId="0" fontId="53" fillId="4" borderId="13" xfId="8" applyFont="1" applyFill="1" applyBorder="1" applyProtection="1">
      <protection locked="0"/>
    </xf>
    <xf numFmtId="172" fontId="5" fillId="3" borderId="9" xfId="22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83" fontId="12" fillId="3" borderId="0" xfId="0" applyNumberFormat="1" applyFont="1" applyFill="1"/>
    <xf numFmtId="0" fontId="12" fillId="3" borderId="0" xfId="0" applyFont="1" applyFill="1"/>
    <xf numFmtId="189" fontId="12" fillId="3" borderId="0" xfId="0" applyNumberFormat="1" applyFont="1" applyFill="1"/>
    <xf numFmtId="190" fontId="12" fillId="3" borderId="0" xfId="0" applyNumberFormat="1" applyFont="1" applyFill="1"/>
    <xf numFmtId="0" fontId="12" fillId="3" borderId="0" xfId="0" applyFont="1" applyFill="1" applyProtection="1">
      <protection locked="0"/>
    </xf>
    <xf numFmtId="0" fontId="9" fillId="0" borderId="3" xfId="5" applyFont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0" fontId="9" fillId="0" borderId="4" xfId="5" applyFont="1" applyBorder="1" applyAlignment="1">
      <alignment horizontal="center" vertical="center"/>
    </xf>
    <xf numFmtId="0" fontId="9" fillId="0" borderId="5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9" fillId="0" borderId="9" xfId="5" applyFont="1" applyBorder="1" applyAlignment="1">
      <alignment horizontal="center" vertical="center"/>
    </xf>
    <xf numFmtId="6" fontId="51" fillId="3" borderId="10" xfId="8" applyNumberFormat="1" applyFont="1" applyFill="1" applyBorder="1" applyAlignment="1">
      <alignment horizontal="center"/>
    </xf>
    <xf numFmtId="6" fontId="51" fillId="3" borderId="12" xfId="8" applyNumberFormat="1" applyFont="1" applyFill="1" applyBorder="1" applyAlignment="1">
      <alignment horizontal="center"/>
    </xf>
    <xf numFmtId="0" fontId="18" fillId="3" borderId="10" xfId="8" applyFont="1" applyFill="1" applyBorder="1" applyAlignment="1">
      <alignment horizontal="center"/>
    </xf>
    <xf numFmtId="0" fontId="18" fillId="3" borderId="11" xfId="8" applyFont="1" applyFill="1" applyBorder="1" applyAlignment="1">
      <alignment horizontal="center"/>
    </xf>
    <xf numFmtId="0" fontId="18" fillId="3" borderId="12" xfId="8" applyFont="1" applyFill="1" applyBorder="1" applyAlignment="1">
      <alignment horizontal="center"/>
    </xf>
    <xf numFmtId="43" fontId="51" fillId="4" borderId="10" xfId="10" applyFont="1" applyFill="1" applyBorder="1" applyAlignment="1" applyProtection="1">
      <alignment horizontal="center"/>
      <protection locked="0"/>
    </xf>
    <xf numFmtId="43" fontId="51" fillId="4" borderId="12" xfId="10" applyFont="1" applyFill="1" applyBorder="1" applyAlignment="1" applyProtection="1">
      <alignment horizontal="center"/>
      <protection locked="0"/>
    </xf>
    <xf numFmtId="6" fontId="51" fillId="4" borderId="10" xfId="9" applyNumberFormat="1" applyFont="1" applyFill="1" applyBorder="1" applyAlignment="1" applyProtection="1">
      <alignment horizontal="center"/>
      <protection locked="0"/>
    </xf>
    <xf numFmtId="6" fontId="51" fillId="4" borderId="12" xfId="9" applyNumberFormat="1" applyFont="1" applyFill="1" applyBorder="1" applyAlignment="1" applyProtection="1">
      <alignment horizontal="center"/>
      <protection locked="0"/>
    </xf>
    <xf numFmtId="0" fontId="28" fillId="3" borderId="13" xfId="8" applyFont="1" applyFill="1" applyBorder="1" applyAlignment="1">
      <alignment horizontal="center"/>
    </xf>
    <xf numFmtId="14" fontId="53" fillId="4" borderId="13" xfId="8" applyNumberFormat="1" applyFont="1" applyFill="1" applyBorder="1" applyAlignment="1" applyProtection="1">
      <alignment horizontal="left"/>
      <protection locked="0"/>
    </xf>
    <xf numFmtId="14" fontId="53" fillId="4" borderId="12" xfId="8" applyNumberFormat="1" applyFont="1" applyFill="1" applyBorder="1" applyAlignment="1" applyProtection="1">
      <alignment horizontal="left"/>
      <protection locked="0"/>
    </xf>
    <xf numFmtId="174" fontId="53" fillId="4" borderId="13" xfId="11" applyNumberFormat="1" applyFont="1" applyFill="1" applyBorder="1" applyAlignment="1" applyProtection="1">
      <alignment horizontal="left"/>
      <protection locked="0"/>
    </xf>
    <xf numFmtId="174" fontId="53" fillId="4" borderId="12" xfId="11" applyNumberFormat="1" applyFont="1" applyFill="1" applyBorder="1" applyAlignment="1" applyProtection="1">
      <alignment horizontal="left"/>
      <protection locked="0"/>
    </xf>
    <xf numFmtId="0" fontId="3" fillId="5" borderId="10" xfId="4" applyFont="1" applyFill="1" applyBorder="1" applyAlignment="1" applyProtection="1">
      <alignment horizontal="center" vertical="center" wrapText="1"/>
      <protection locked="0"/>
    </xf>
    <xf numFmtId="0" fontId="3" fillId="5" borderId="12" xfId="4" applyFont="1" applyFill="1" applyBorder="1" applyAlignment="1" applyProtection="1">
      <alignment horizontal="center" vertical="center" wrapText="1"/>
      <protection locked="0"/>
    </xf>
    <xf numFmtId="0" fontId="5" fillId="3" borderId="0" xfId="8" applyFont="1" applyFill="1" applyAlignment="1" applyProtection="1">
      <alignment horizontal="center"/>
      <protection locked="0"/>
    </xf>
    <xf numFmtId="0" fontId="21" fillId="3" borderId="13" xfId="4" applyFont="1" applyFill="1" applyBorder="1" applyAlignment="1" applyProtection="1">
      <alignment horizontal="right"/>
      <protection locked="0"/>
    </xf>
    <xf numFmtId="0" fontId="56" fillId="7" borderId="10" xfId="8" applyFont="1" applyFill="1" applyBorder="1" applyAlignment="1" applyProtection="1">
      <alignment horizontal="center"/>
      <protection locked="0"/>
    </xf>
    <xf numFmtId="0" fontId="56" fillId="7" borderId="11" xfId="8" applyFont="1" applyFill="1" applyBorder="1" applyAlignment="1" applyProtection="1">
      <alignment horizontal="center"/>
      <protection locked="0"/>
    </xf>
    <xf numFmtId="0" fontId="5" fillId="3" borderId="13" xfId="8" applyFont="1" applyFill="1" applyBorder="1" applyAlignment="1" applyProtection="1">
      <alignment horizontal="right"/>
      <protection locked="0"/>
    </xf>
    <xf numFmtId="0" fontId="18" fillId="3" borderId="24" xfId="0" applyFont="1" applyFill="1" applyBorder="1" applyAlignment="1">
      <alignment horizontal="center"/>
    </xf>
    <xf numFmtId="0" fontId="18" fillId="3" borderId="25" xfId="0" applyFont="1" applyFill="1" applyBorder="1" applyAlignment="1">
      <alignment horizontal="center"/>
    </xf>
    <xf numFmtId="0" fontId="18" fillId="3" borderId="26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/>
    </xf>
    <xf numFmtId="0" fontId="18" fillId="3" borderId="28" xfId="0" applyFont="1" applyFill="1" applyBorder="1" applyAlignment="1">
      <alignment horizontal="center"/>
    </xf>
    <xf numFmtId="0" fontId="18" fillId="3" borderId="29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center"/>
    </xf>
    <xf numFmtId="184" fontId="18" fillId="3" borderId="37" xfId="0" applyNumberFormat="1" applyFont="1" applyFill="1" applyBorder="1" applyAlignment="1">
      <alignment horizontal="center" vertical="center" wrapText="1"/>
    </xf>
    <xf numFmtId="184" fontId="18" fillId="3" borderId="38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/>
    </xf>
    <xf numFmtId="0" fontId="19" fillId="5" borderId="0" xfId="4" applyFont="1" applyFill="1" applyAlignment="1">
      <alignment horizontal="center"/>
    </xf>
    <xf numFmtId="0" fontId="20" fillId="3" borderId="3" xfId="4" applyFont="1" applyFill="1" applyBorder="1" applyAlignment="1">
      <alignment horizontal="center"/>
    </xf>
    <xf numFmtId="0" fontId="20" fillId="3" borderId="2" xfId="4" applyFont="1" applyFill="1" applyBorder="1" applyAlignment="1">
      <alignment horizontal="center"/>
    </xf>
    <xf numFmtId="0" fontId="20" fillId="3" borderId="4" xfId="4" applyFont="1" applyFill="1" applyBorder="1" applyAlignment="1">
      <alignment horizontal="center"/>
    </xf>
    <xf numFmtId="174" fontId="18" fillId="3" borderId="12" xfId="8" applyNumberFormat="1" applyFont="1" applyFill="1" applyBorder="1" applyAlignment="1" applyProtection="1">
      <alignment horizontal="left"/>
      <protection locked="0"/>
    </xf>
    <xf numFmtId="174" fontId="18" fillId="3" borderId="13" xfId="8" applyNumberFormat="1" applyFont="1" applyFill="1" applyBorder="1" applyAlignment="1" applyProtection="1">
      <alignment horizontal="left"/>
      <protection locked="0"/>
    </xf>
    <xf numFmtId="14" fontId="18" fillId="3" borderId="12" xfId="8" applyNumberFormat="1" applyFont="1" applyFill="1" applyBorder="1" applyAlignment="1" applyProtection="1">
      <alignment horizontal="left"/>
      <protection locked="0"/>
    </xf>
    <xf numFmtId="14" fontId="18" fillId="3" borderId="13" xfId="8" applyNumberFormat="1" applyFont="1" applyFill="1" applyBorder="1" applyAlignment="1" applyProtection="1">
      <alignment horizontal="left"/>
      <protection locked="0"/>
    </xf>
    <xf numFmtId="6" fontId="18" fillId="3" borderId="10" xfId="8" applyNumberFormat="1" applyFont="1" applyFill="1" applyBorder="1" applyAlignment="1">
      <alignment horizontal="center"/>
    </xf>
    <xf numFmtId="6" fontId="18" fillId="3" borderId="12" xfId="8" applyNumberFormat="1" applyFont="1" applyFill="1" applyBorder="1" applyAlignment="1">
      <alignment horizontal="center"/>
    </xf>
    <xf numFmtId="43" fontId="18" fillId="3" borderId="10" xfId="10" applyFont="1" applyFill="1" applyBorder="1" applyAlignment="1" applyProtection="1">
      <alignment horizontal="center"/>
      <protection locked="0"/>
    </xf>
    <xf numFmtId="43" fontId="18" fillId="3" borderId="12" xfId="10" applyFont="1" applyFill="1" applyBorder="1" applyAlignment="1" applyProtection="1">
      <alignment horizontal="center"/>
      <protection locked="0"/>
    </xf>
    <xf numFmtId="6" fontId="18" fillId="3" borderId="10" xfId="9" applyNumberFormat="1" applyFont="1" applyFill="1" applyBorder="1" applyAlignment="1" applyProtection="1">
      <alignment horizontal="center"/>
      <protection locked="0"/>
    </xf>
    <xf numFmtId="6" fontId="18" fillId="3" borderId="12" xfId="9" applyNumberFormat="1" applyFont="1" applyFill="1" applyBorder="1" applyAlignment="1" applyProtection="1">
      <alignment horizontal="center"/>
      <protection locked="0"/>
    </xf>
    <xf numFmtId="0" fontId="17" fillId="7" borderId="10" xfId="8" applyFont="1" applyFill="1" applyBorder="1" applyAlignment="1" applyProtection="1">
      <alignment horizontal="center"/>
      <protection locked="0"/>
    </xf>
    <xf numFmtId="0" fontId="17" fillId="7" borderId="11" xfId="8" applyFont="1" applyFill="1" applyBorder="1" applyAlignment="1" applyProtection="1">
      <alignment horizontal="center"/>
      <protection locked="0"/>
    </xf>
    <xf numFmtId="0" fontId="5" fillId="3" borderId="13" xfId="8" applyFont="1" applyFill="1" applyBorder="1" applyAlignment="1" applyProtection="1">
      <alignment horizontal="center"/>
      <protection locked="0"/>
    </xf>
    <xf numFmtId="0" fontId="21" fillId="3" borderId="13" xfId="4" applyFont="1" applyFill="1" applyBorder="1" applyAlignment="1" applyProtection="1">
      <alignment horizontal="center"/>
      <protection locked="0"/>
    </xf>
    <xf numFmtId="174" fontId="18" fillId="4" borderId="12" xfId="11" applyNumberFormat="1" applyFont="1" applyFill="1" applyBorder="1" applyAlignment="1" applyProtection="1">
      <alignment horizontal="left"/>
      <protection locked="0"/>
    </xf>
    <xf numFmtId="174" fontId="18" fillId="4" borderId="13" xfId="11" applyNumberFormat="1" applyFont="1" applyFill="1" applyBorder="1" applyAlignment="1" applyProtection="1">
      <alignment horizontal="left"/>
      <protection locked="0"/>
    </xf>
    <xf numFmtId="14" fontId="18" fillId="4" borderId="12" xfId="8" applyNumberFormat="1" applyFont="1" applyFill="1" applyBorder="1" applyAlignment="1" applyProtection="1">
      <alignment horizontal="left"/>
      <protection locked="0"/>
    </xf>
    <xf numFmtId="14" fontId="18" fillId="4" borderId="13" xfId="8" applyNumberFormat="1" applyFont="1" applyFill="1" applyBorder="1" applyAlignment="1" applyProtection="1">
      <alignment horizontal="left"/>
      <protection locked="0"/>
    </xf>
    <xf numFmtId="43" fontId="18" fillId="4" borderId="10" xfId="10" applyFont="1" applyFill="1" applyBorder="1" applyAlignment="1" applyProtection="1">
      <alignment horizontal="center"/>
      <protection locked="0"/>
    </xf>
    <xf numFmtId="43" fontId="18" fillId="4" borderId="12" xfId="10" applyFont="1" applyFill="1" applyBorder="1" applyAlignment="1" applyProtection="1">
      <alignment horizontal="center"/>
      <protection locked="0"/>
    </xf>
    <xf numFmtId="6" fontId="18" fillId="4" borderId="10" xfId="9" applyNumberFormat="1" applyFont="1" applyFill="1" applyBorder="1" applyAlignment="1" applyProtection="1">
      <alignment horizontal="center"/>
      <protection locked="0"/>
    </xf>
    <xf numFmtId="6" fontId="18" fillId="4" borderId="12" xfId="9" applyNumberFormat="1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78" fillId="27" borderId="27" xfId="0" applyFont="1" applyFill="1" applyBorder="1" applyAlignment="1">
      <alignment horizontal="center"/>
    </xf>
    <xf numFmtId="0" fontId="78" fillId="27" borderId="28" xfId="0" applyFont="1" applyFill="1" applyBorder="1" applyAlignment="1">
      <alignment horizontal="center"/>
    </xf>
    <xf numFmtId="0" fontId="78" fillId="27" borderId="29" xfId="0" applyFont="1" applyFill="1" applyBorder="1" applyAlignment="1">
      <alignment horizontal="center"/>
    </xf>
    <xf numFmtId="0" fontId="78" fillId="27" borderId="30" xfId="0" applyFont="1" applyFill="1" applyBorder="1" applyAlignment="1">
      <alignment horizontal="center"/>
    </xf>
    <xf numFmtId="0" fontId="18" fillId="0" borderId="43" xfId="14" applyFont="1" applyBorder="1" applyAlignment="1">
      <alignment horizontal="center" vertical="center"/>
    </xf>
    <xf numFmtId="0" fontId="18" fillId="0" borderId="23" xfId="14" applyFont="1" applyBorder="1" applyAlignment="1">
      <alignment horizontal="center" vertical="center"/>
    </xf>
    <xf numFmtId="0" fontId="18" fillId="0" borderId="44" xfId="14" applyFont="1" applyBorder="1" applyAlignment="1">
      <alignment horizontal="center" vertical="center"/>
    </xf>
    <xf numFmtId="0" fontId="3" fillId="5" borderId="0" xfId="4" applyFont="1" applyFill="1" applyAlignment="1">
      <alignment horizontal="center" vertical="center" wrapText="1"/>
    </xf>
    <xf numFmtId="0" fontId="3" fillId="5" borderId="6" xfId="4" applyFont="1" applyFill="1" applyBorder="1" applyAlignment="1">
      <alignment horizontal="center" vertical="center" wrapText="1"/>
    </xf>
    <xf numFmtId="0" fontId="3" fillId="5" borderId="43" xfId="4" applyFont="1" applyFill="1" applyBorder="1" applyAlignment="1">
      <alignment horizontal="center" vertical="center" wrapText="1"/>
    </xf>
    <xf numFmtId="0" fontId="3" fillId="5" borderId="23" xfId="4" applyFont="1" applyFill="1" applyBorder="1" applyAlignment="1">
      <alignment horizontal="center" vertical="center" wrapText="1"/>
    </xf>
    <xf numFmtId="0" fontId="3" fillId="5" borderId="44" xfId="4" applyFont="1" applyFill="1" applyBorder="1" applyAlignment="1">
      <alignment horizontal="center" vertical="center" wrapText="1"/>
    </xf>
    <xf numFmtId="0" fontId="18" fillId="3" borderId="45" xfId="14" applyFont="1" applyFill="1" applyBorder="1" applyAlignment="1">
      <alignment horizontal="center" vertical="center"/>
    </xf>
    <xf numFmtId="0" fontId="18" fillId="3" borderId="46" xfId="14" applyFont="1" applyFill="1" applyBorder="1" applyAlignment="1">
      <alignment horizontal="center" vertical="center"/>
    </xf>
    <xf numFmtId="0" fontId="18" fillId="3" borderId="43" xfId="14" applyFont="1" applyFill="1" applyBorder="1" applyAlignment="1">
      <alignment horizontal="center" vertical="center"/>
    </xf>
    <xf numFmtId="0" fontId="18" fillId="3" borderId="23" xfId="14" applyFont="1" applyFill="1" applyBorder="1" applyAlignment="1">
      <alignment horizontal="center" vertical="center"/>
    </xf>
    <xf numFmtId="0" fontId="18" fillId="3" borderId="44" xfId="14" applyFont="1" applyFill="1" applyBorder="1" applyAlignment="1">
      <alignment horizontal="center" vertical="center"/>
    </xf>
    <xf numFmtId="0" fontId="3" fillId="5" borderId="56" xfId="11" applyFont="1" applyFill="1" applyBorder="1" applyAlignment="1">
      <alignment horizontal="center"/>
    </xf>
    <xf numFmtId="0" fontId="3" fillId="5" borderId="0" xfId="11" applyFont="1" applyFill="1" applyAlignment="1">
      <alignment horizontal="center"/>
    </xf>
    <xf numFmtId="0" fontId="9" fillId="7" borderId="51" xfId="11" applyFont="1" applyFill="1" applyBorder="1" applyAlignment="1">
      <alignment horizontal="center"/>
    </xf>
    <xf numFmtId="0" fontId="9" fillId="7" borderId="52" xfId="11" applyFont="1" applyFill="1" applyBorder="1" applyAlignment="1">
      <alignment horizontal="center"/>
    </xf>
    <xf numFmtId="0" fontId="3" fillId="5" borderId="45" xfId="11" applyFont="1" applyFill="1" applyBorder="1" applyAlignment="1">
      <alignment horizontal="center"/>
    </xf>
    <xf numFmtId="0" fontId="3" fillId="5" borderId="50" xfId="11" applyFont="1" applyFill="1" applyBorder="1" applyAlignment="1">
      <alignment horizontal="center"/>
    </xf>
    <xf numFmtId="0" fontId="3" fillId="5" borderId="46" xfId="11" applyFont="1" applyFill="1" applyBorder="1" applyAlignment="1">
      <alignment horizontal="center"/>
    </xf>
    <xf numFmtId="0" fontId="3" fillId="5" borderId="0" xfId="16" applyFont="1" applyFill="1" applyAlignment="1">
      <alignment horizontal="center"/>
    </xf>
    <xf numFmtId="0" fontId="18" fillId="7" borderId="52" xfId="16" applyFont="1" applyFill="1" applyBorder="1" applyAlignment="1">
      <alignment horizontal="center"/>
    </xf>
    <xf numFmtId="0" fontId="9" fillId="11" borderId="45" xfId="11" applyFont="1" applyFill="1" applyBorder="1" applyAlignment="1">
      <alignment horizontal="center"/>
    </xf>
    <xf numFmtId="0" fontId="5" fillId="0" borderId="50" xfId="16" applyFont="1" applyBorder="1" applyAlignment="1">
      <alignment horizontal="center"/>
    </xf>
    <xf numFmtId="0" fontId="5" fillId="4" borderId="13" xfId="0" applyFont="1" applyFill="1" applyBorder="1" applyAlignment="1" applyProtection="1">
      <alignment horizontal="left"/>
      <protection locked="0"/>
    </xf>
    <xf numFmtId="193" fontId="7" fillId="4" borderId="13" xfId="18" applyNumberFormat="1" applyFont="1" applyFill="1" applyBorder="1" applyAlignment="1" applyProtection="1">
      <alignment horizontal="left"/>
      <protection locked="0"/>
    </xf>
    <xf numFmtId="0" fontId="9" fillId="0" borderId="13" xfId="19" applyFont="1" applyBorder="1" applyAlignment="1" applyProtection="1">
      <alignment horizontal="center"/>
      <protection locked="0"/>
    </xf>
    <xf numFmtId="5" fontId="9" fillId="15" borderId="13" xfId="19" applyNumberFormat="1" applyFont="1" applyFill="1" applyBorder="1" applyAlignment="1" applyProtection="1">
      <alignment horizontal="center"/>
      <protection locked="0"/>
    </xf>
    <xf numFmtId="192" fontId="4" fillId="4" borderId="0" xfId="19" applyNumberFormat="1" applyFont="1" applyFill="1" applyAlignment="1" applyProtection="1">
      <alignment horizontal="center" vertical="center"/>
      <protection locked="0"/>
    </xf>
    <xf numFmtId="174" fontId="18" fillId="17" borderId="12" xfId="11" applyNumberFormat="1" applyFont="1" applyFill="1" applyBorder="1" applyAlignment="1" applyProtection="1">
      <alignment horizontal="center"/>
      <protection locked="0"/>
    </xf>
    <xf numFmtId="174" fontId="18" fillId="17" borderId="13" xfId="11" applyNumberFormat="1" applyFont="1" applyFill="1" applyBorder="1" applyAlignment="1" applyProtection="1">
      <alignment horizontal="center"/>
      <protection locked="0"/>
    </xf>
    <xf numFmtId="0" fontId="19" fillId="18" borderId="0" xfId="4" applyFont="1" applyFill="1" applyAlignment="1">
      <alignment horizontal="center"/>
    </xf>
    <xf numFmtId="14" fontId="18" fillId="17" borderId="12" xfId="8" applyNumberFormat="1" applyFont="1" applyFill="1" applyBorder="1" applyAlignment="1" applyProtection="1">
      <alignment horizontal="center"/>
      <protection locked="0"/>
    </xf>
    <xf numFmtId="14" fontId="18" fillId="17" borderId="13" xfId="8" applyNumberFormat="1" applyFont="1" applyFill="1" applyBorder="1" applyAlignment="1" applyProtection="1">
      <alignment horizontal="center"/>
      <protection locked="0"/>
    </xf>
  </cellXfs>
  <cellStyles count="25">
    <cellStyle name="60% - Accent3" xfId="3" builtinId="40"/>
    <cellStyle name="Comma" xfId="23" builtinId="3"/>
    <cellStyle name="Comma 2" xfId="6" xr:uid="{C4E351CE-278E-4DEC-A96B-34DEDDA92873}"/>
    <cellStyle name="Comma 3" xfId="10" xr:uid="{AB2FBC01-A6D8-43D9-8FB9-5D55D00E56CF}"/>
    <cellStyle name="Comma 4" xfId="20" xr:uid="{395EDE1A-E1FE-4BA3-BA80-C1F4F1A58926}"/>
    <cellStyle name="Currency" xfId="1" builtinId="4"/>
    <cellStyle name="Hyperlink" xfId="24" builtinId="8"/>
    <cellStyle name="Normal" xfId="0" builtinId="0"/>
    <cellStyle name="Normal 2" xfId="5" xr:uid="{E2C09234-EDB9-43AA-8C52-9238F5ECCBCD}"/>
    <cellStyle name="Normal 2 2" xfId="12" xr:uid="{13D78035-F793-446F-B677-DEA372837EA7}"/>
    <cellStyle name="Normal 2 3" xfId="19" xr:uid="{2BDE793E-98B1-437C-8EC5-5F319B00CF61}"/>
    <cellStyle name="Normal 2 4" xfId="18" xr:uid="{55B4A6BC-3470-4E5D-9D77-C9EB6526728B}"/>
    <cellStyle name="Normal 2 5" xfId="17" xr:uid="{8BA5C311-4F17-4717-BF51-F50F5438C8AA}"/>
    <cellStyle name="Normal 2 6" xfId="13" xr:uid="{421F9108-9731-47BF-9DE0-01B4C77D3B5E}"/>
    <cellStyle name="Normal 3" xfId="4" xr:uid="{3AEB630F-8FDC-4A79-BCB9-B534A40A12BC}"/>
    <cellStyle name="Normal 4" xfId="21" xr:uid="{8A35F12A-A57A-45A4-9324-14B2BA794D67}"/>
    <cellStyle name="Normal 5" xfId="8" xr:uid="{4B40E492-7917-485A-B20F-AC8E3B9E6A7E}"/>
    <cellStyle name="Normal 5 2" xfId="11" xr:uid="{F173A16B-4F34-4593-8A94-054E629C072B}"/>
    <cellStyle name="Normal 6 2 2" xfId="14" xr:uid="{408FFB55-F774-4247-A116-E6D085F4B88B}"/>
    <cellStyle name="Normal 7" xfId="16" xr:uid="{79B2462E-DC37-48AB-A370-AA9B5F35ABAA}"/>
    <cellStyle name="Percent" xfId="2" builtinId="5"/>
    <cellStyle name="Percent 2" xfId="7" xr:uid="{4984D82F-9CF1-4465-B004-F58C39F12AB1}"/>
    <cellStyle name="Percent 3" xfId="9" xr:uid="{9F933176-0EE6-44FE-82C5-F56233280E65}"/>
    <cellStyle name="Percent 4" xfId="22" xr:uid="{537D5547-0653-40C7-AB14-8859017E51D3}"/>
    <cellStyle name="Percent 6 2 2" xfId="15" xr:uid="{75107ADC-C5BA-438F-92EE-B88555E0730D}"/>
  </cellStyles>
  <dxfs count="1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Returns Comparison by Investor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Waterfall'!$C$75</c:f>
              <c:strCache>
                <c:ptCount val="1"/>
                <c:pt idx="0">
                  <c:v>$60.00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'Return Waterfall'!$B$77:$B$104</c:f>
              <c:strCache>
                <c:ptCount val="28"/>
                <c:pt idx="0">
                  <c:v>Investor 2</c:v>
                </c:pt>
                <c:pt idx="1">
                  <c:v>Investor 3</c:v>
                </c:pt>
                <c:pt idx="2">
                  <c:v>Investor 4</c:v>
                </c:pt>
                <c:pt idx="3">
                  <c:v>Investor 5</c:v>
                </c:pt>
                <c:pt idx="4">
                  <c:v>Investor 6</c:v>
                </c:pt>
                <c:pt idx="5">
                  <c:v>0</c:v>
                </c:pt>
                <c:pt idx="6">
                  <c:v>Founders/Leadership</c:v>
                </c:pt>
                <c:pt idx="7">
                  <c:v>Others 1</c:v>
                </c:pt>
                <c:pt idx="8">
                  <c:v>Others 2</c:v>
                </c:pt>
                <c:pt idx="9">
                  <c:v>Others 3</c:v>
                </c:pt>
                <c:pt idx="10">
                  <c:v>Others 4</c:v>
                </c:pt>
                <c:pt idx="11">
                  <c:v>Others 1</c:v>
                </c:pt>
                <c:pt idx="12">
                  <c:v>0</c:v>
                </c:pt>
                <c:pt idx="13">
                  <c:v>0</c:v>
                </c:pt>
                <c:pt idx="14">
                  <c:v>ESOP - allocated</c:v>
                </c:pt>
                <c:pt idx="15">
                  <c:v>Available ESOP</c:v>
                </c:pt>
                <c:pt idx="16">
                  <c:v>New ESOP</c:v>
                </c:pt>
                <c:pt idx="17">
                  <c:v>0</c:v>
                </c:pt>
                <c:pt idx="19">
                  <c:v>CHECK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Warrants</c:v>
                </c:pt>
                <c:pt idx="25">
                  <c:v>Allocated</c:v>
                </c:pt>
                <c:pt idx="26">
                  <c:v>Available ESOP</c:v>
                </c:pt>
                <c:pt idx="27">
                  <c:v>New ESOP</c:v>
                </c:pt>
              </c:strCache>
            </c:strRef>
          </c:cat>
          <c:val>
            <c:numRef>
              <c:f>'Return Waterfall'!$C$77:$C$104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5-44C0-8C03-D21695A19BB7}"/>
            </c:ext>
          </c:extLst>
        </c:ser>
        <c:ser>
          <c:idx val="1"/>
          <c:order val="1"/>
          <c:tx>
            <c:strRef>
              <c:f>'Return Waterfall'!$F$75</c:f>
              <c:strCache>
                <c:ptCount val="1"/>
                <c:pt idx="0">
                  <c:v>$100.00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'Return Waterfall'!$B$77:$B$104</c:f>
              <c:strCache>
                <c:ptCount val="28"/>
                <c:pt idx="0">
                  <c:v>Investor 2</c:v>
                </c:pt>
                <c:pt idx="1">
                  <c:v>Investor 3</c:v>
                </c:pt>
                <c:pt idx="2">
                  <c:v>Investor 4</c:v>
                </c:pt>
                <c:pt idx="3">
                  <c:v>Investor 5</c:v>
                </c:pt>
                <c:pt idx="4">
                  <c:v>Investor 6</c:v>
                </c:pt>
                <c:pt idx="5">
                  <c:v>0</c:v>
                </c:pt>
                <c:pt idx="6">
                  <c:v>Founders/Leadership</c:v>
                </c:pt>
                <c:pt idx="7">
                  <c:v>Others 1</c:v>
                </c:pt>
                <c:pt idx="8">
                  <c:v>Others 2</c:v>
                </c:pt>
                <c:pt idx="9">
                  <c:v>Others 3</c:v>
                </c:pt>
                <c:pt idx="10">
                  <c:v>Others 4</c:v>
                </c:pt>
                <c:pt idx="11">
                  <c:v>Others 1</c:v>
                </c:pt>
                <c:pt idx="12">
                  <c:v>0</c:v>
                </c:pt>
                <c:pt idx="13">
                  <c:v>0</c:v>
                </c:pt>
                <c:pt idx="14">
                  <c:v>ESOP - allocated</c:v>
                </c:pt>
                <c:pt idx="15">
                  <c:v>Available ESOP</c:v>
                </c:pt>
                <c:pt idx="16">
                  <c:v>New ESOP</c:v>
                </c:pt>
                <c:pt idx="17">
                  <c:v>0</c:v>
                </c:pt>
                <c:pt idx="19">
                  <c:v>CHECK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Warrants</c:v>
                </c:pt>
                <c:pt idx="25">
                  <c:v>Allocated</c:v>
                </c:pt>
                <c:pt idx="26">
                  <c:v>Available ESOP</c:v>
                </c:pt>
                <c:pt idx="27">
                  <c:v>New ESOP</c:v>
                </c:pt>
              </c:strCache>
            </c:strRef>
          </c:cat>
          <c:val>
            <c:numRef>
              <c:f>'Return Waterfall'!$F$77:$F$104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5-44C0-8C03-D21695A19BB7}"/>
            </c:ext>
          </c:extLst>
        </c:ser>
        <c:ser>
          <c:idx val="2"/>
          <c:order val="2"/>
          <c:tx>
            <c:strRef>
              <c:f>'Return Waterfall'!$I$75</c:f>
              <c:strCache>
                <c:ptCount val="1"/>
                <c:pt idx="0">
                  <c:v>$200.00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'Return Waterfall'!$B$77:$B$104</c:f>
              <c:strCache>
                <c:ptCount val="28"/>
                <c:pt idx="0">
                  <c:v>Investor 2</c:v>
                </c:pt>
                <c:pt idx="1">
                  <c:v>Investor 3</c:v>
                </c:pt>
                <c:pt idx="2">
                  <c:v>Investor 4</c:v>
                </c:pt>
                <c:pt idx="3">
                  <c:v>Investor 5</c:v>
                </c:pt>
                <c:pt idx="4">
                  <c:v>Investor 6</c:v>
                </c:pt>
                <c:pt idx="5">
                  <c:v>0</c:v>
                </c:pt>
                <c:pt idx="6">
                  <c:v>Founders/Leadership</c:v>
                </c:pt>
                <c:pt idx="7">
                  <c:v>Others 1</c:v>
                </c:pt>
                <c:pt idx="8">
                  <c:v>Others 2</c:v>
                </c:pt>
                <c:pt idx="9">
                  <c:v>Others 3</c:v>
                </c:pt>
                <c:pt idx="10">
                  <c:v>Others 4</c:v>
                </c:pt>
                <c:pt idx="11">
                  <c:v>Others 1</c:v>
                </c:pt>
                <c:pt idx="12">
                  <c:v>0</c:v>
                </c:pt>
                <c:pt idx="13">
                  <c:v>0</c:v>
                </c:pt>
                <c:pt idx="14">
                  <c:v>ESOP - allocated</c:v>
                </c:pt>
                <c:pt idx="15">
                  <c:v>Available ESOP</c:v>
                </c:pt>
                <c:pt idx="16">
                  <c:v>New ESOP</c:v>
                </c:pt>
                <c:pt idx="17">
                  <c:v>0</c:v>
                </c:pt>
                <c:pt idx="19">
                  <c:v>CHECK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Warrants</c:v>
                </c:pt>
                <c:pt idx="25">
                  <c:v>Allocated</c:v>
                </c:pt>
                <c:pt idx="26">
                  <c:v>Available ESOP</c:v>
                </c:pt>
                <c:pt idx="27">
                  <c:v>New ESOP</c:v>
                </c:pt>
              </c:strCache>
            </c:strRef>
          </c:cat>
          <c:val>
            <c:numRef>
              <c:f>'Return Waterfall'!$I$77:$I$104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5-44C0-8C03-D21695A1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74922944"/>
        <c:axId val="58835680"/>
      </c:barChart>
      <c:catAx>
        <c:axId val="127492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5680"/>
        <c:crosses val="autoZero"/>
        <c:auto val="1"/>
        <c:lblAlgn val="ctr"/>
        <c:lblOffset val="100"/>
        <c:noMultiLvlLbl val="0"/>
      </c:catAx>
      <c:valAx>
        <c:axId val="588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Proceeds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  <a:r>
              <a:rPr lang="en-US" baseline="0"/>
              <a:t> Comparison by Share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86399370506347"/>
          <c:y val="0.2958597433842865"/>
          <c:w val="0.84153821772331827"/>
          <c:h val="0.54650586729090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'Return Waterfall'!$C$55</c:f>
              <c:strCache>
                <c:ptCount val="1"/>
                <c:pt idx="0">
                  <c:v>$60.00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'Return Waterfall'!$B$57:$B$71</c:f>
            </c:multiLvlStrRef>
          </c:cat>
          <c:val>
            <c:numRef>
              <c:f>'Return Waterfall'!$C$57:$C$71</c:f>
            </c:numRef>
          </c:val>
          <c:extLst>
            <c:ext xmlns:c16="http://schemas.microsoft.com/office/drawing/2014/chart" uri="{C3380CC4-5D6E-409C-BE32-E72D297353CC}">
              <c16:uniqueId val="{00000000-ED05-4F7B-A364-FC2FAB007E48}"/>
            </c:ext>
          </c:extLst>
        </c:ser>
        <c:ser>
          <c:idx val="1"/>
          <c:order val="1"/>
          <c:tx>
            <c:strRef>
              <c:f>'Return Waterfall'!$F$55</c:f>
              <c:strCache>
                <c:ptCount val="1"/>
                <c:pt idx="0">
                  <c:v>$100.00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'Return Waterfall'!$B$57:$B$71</c:f>
            </c:multiLvlStrRef>
          </c:cat>
          <c:val>
            <c:numRef>
              <c:f>'Return Waterfall'!$F$57:$F$71</c:f>
            </c:numRef>
          </c:val>
          <c:extLst>
            <c:ext xmlns:c16="http://schemas.microsoft.com/office/drawing/2014/chart" uri="{C3380CC4-5D6E-409C-BE32-E72D297353CC}">
              <c16:uniqueId val="{00000001-ED05-4F7B-A364-FC2FAB007E48}"/>
            </c:ext>
          </c:extLst>
        </c:ser>
        <c:ser>
          <c:idx val="2"/>
          <c:order val="2"/>
          <c:tx>
            <c:strRef>
              <c:f>'Return Waterfall'!$I$55</c:f>
              <c:strCache>
                <c:ptCount val="1"/>
                <c:pt idx="0">
                  <c:v>$200.00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'Return Waterfall'!$B$57:$B$71</c:f>
            </c:multiLvlStrRef>
          </c:cat>
          <c:val>
            <c:numRef>
              <c:f>'Return Waterfall'!$I$57:$I$71</c:f>
            </c:numRef>
          </c:val>
          <c:extLst>
            <c:ext xmlns:c16="http://schemas.microsoft.com/office/drawing/2014/chart" uri="{C3380CC4-5D6E-409C-BE32-E72D297353CC}">
              <c16:uniqueId val="{00000002-ED05-4F7B-A364-FC2FAB007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3186528"/>
        <c:axId val="1274132544"/>
      </c:barChart>
      <c:catAx>
        <c:axId val="128318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32544"/>
        <c:crosses val="autoZero"/>
        <c:auto val="1"/>
        <c:lblAlgn val="ctr"/>
        <c:lblOffset val="100"/>
        <c:noMultiLvlLbl val="0"/>
      </c:catAx>
      <c:valAx>
        <c:axId val="12741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Proceeds</a:t>
                </a:r>
                <a:r>
                  <a:rPr lang="en-US" baseline="0"/>
                  <a:t> (</a:t>
                </a:r>
                <a:r>
                  <a:rPr lang="en-US"/>
                  <a:t>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1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600">
                <a:latin typeface="+mn-lt"/>
              </a:rPr>
              <a:t>Valuation</a:t>
            </a:r>
            <a:r>
              <a:rPr lang="en-US" sz="1600" baseline="0">
                <a:latin typeface="+mn-lt"/>
              </a:rPr>
              <a:t> Summary</a:t>
            </a:r>
            <a:endParaRPr lang="en-US" sz="1600"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987436631873051"/>
          <c:y val="0.11887659141936899"/>
          <c:w val="0.72707310473724795"/>
          <c:h val="0.80488031224203127"/>
        </c:manualLayout>
      </c:layout>
      <c:barChart>
        <c:barDir val="bar"/>
        <c:grouping val="stacked"/>
        <c:varyColors val="0"/>
        <c:ser>
          <c:idx val="0"/>
          <c:order val="0"/>
          <c:tx>
            <c:v>Low</c:v>
          </c:tx>
          <c:spPr>
            <a:solidFill>
              <a:schemeClr val="bg1"/>
            </a:solidFill>
          </c:spPr>
          <c:invertIfNegative val="0"/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99C-4C7A-BF2E-AA0F0C3AFDB3}"/>
            </c:ext>
          </c:extLst>
        </c:ser>
        <c:ser>
          <c:idx val="1"/>
          <c:order val="1"/>
          <c:tx>
            <c:v>Labeling</c:v>
          </c:tx>
          <c:spPr>
            <a:solidFill>
              <a:schemeClr val="bg1">
                <a:lumMod val="6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2-E99C-4C7A-BF2E-AA0F0C3AFDB3}"/>
              </c:ext>
            </c:extLst>
          </c:dPt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E99C-4C7A-BF2E-AA0F0C3AFDB3}"/>
            </c:ext>
          </c:extLst>
        </c:ser>
        <c:ser>
          <c:idx val="2"/>
          <c:order val="2"/>
          <c:tx>
            <c:v>High</c:v>
          </c:tx>
          <c:spPr>
            <a:solidFill>
              <a:schemeClr val="bg1"/>
            </a:solidFill>
          </c:spPr>
          <c:invertIfNegative val="0"/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99C-4C7A-BF2E-AA0F0C3A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16016712"/>
        <c:axId val="1016006912"/>
      </c:barChart>
      <c:catAx>
        <c:axId val="10160167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  <a:alpha val="94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016006912"/>
        <c:crosses val="autoZero"/>
        <c:auto val="1"/>
        <c:lblAlgn val="ctr"/>
        <c:lblOffset val="100"/>
        <c:noMultiLvlLbl val="0"/>
      </c:catAx>
      <c:valAx>
        <c:axId val="10160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16016712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600">
                <a:latin typeface="+mn-lt"/>
              </a:rPr>
              <a:t>Valuation</a:t>
            </a:r>
            <a:r>
              <a:rPr lang="en-US" sz="1600" baseline="0">
                <a:latin typeface="+mn-lt"/>
              </a:rPr>
              <a:t> Summary</a:t>
            </a:r>
            <a:endParaRPr lang="en-US" sz="1600"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987436631873051"/>
          <c:y val="0.11887659141936899"/>
          <c:w val="0.72707310473724795"/>
          <c:h val="0.80488031224203127"/>
        </c:manualLayout>
      </c:layout>
      <c:barChart>
        <c:barDir val="bar"/>
        <c:grouping val="stacked"/>
        <c:varyColors val="0"/>
        <c:ser>
          <c:idx val="0"/>
          <c:order val="0"/>
          <c:tx>
            <c:v>Low</c:v>
          </c:tx>
          <c:spPr>
            <a:solidFill>
              <a:schemeClr val="bg1"/>
            </a:solidFill>
          </c:spPr>
          <c:invertIfNegative val="0"/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6E-498B-8288-1FA55062071B}"/>
            </c:ext>
          </c:extLst>
        </c:ser>
        <c:ser>
          <c:idx val="1"/>
          <c:order val="1"/>
          <c:tx>
            <c:v>Labeling</c:v>
          </c:tx>
          <c:spPr>
            <a:solidFill>
              <a:schemeClr val="bg1">
                <a:lumMod val="6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2-B86E-498B-8288-1FA55062071B}"/>
              </c:ext>
            </c:extLst>
          </c:dPt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B86E-498B-8288-1FA55062071B}"/>
            </c:ext>
          </c:extLst>
        </c:ser>
        <c:ser>
          <c:idx val="2"/>
          <c:order val="2"/>
          <c:tx>
            <c:v>High</c:v>
          </c:tx>
          <c:spPr>
            <a:solidFill>
              <a:schemeClr val="bg1"/>
            </a:solidFill>
          </c:spPr>
          <c:invertIfNegative val="0"/>
          <c:cat>
            <c:strLit>
              <c:ptCount val="5"/>
              <c:pt idx="0">
                <c:v>Average</c:v>
              </c:pt>
              <c:pt idx="1">
                <c:v>Financings Adj.</c:v>
              </c:pt>
              <c:pt idx="2">
                <c:v>Financings</c:v>
              </c:pt>
              <c:pt idx="3">
                <c:v>M&amp;A</c:v>
              </c:pt>
              <c:pt idx="4">
                <c:v>Public 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B86E-498B-8288-1FA55062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16009656"/>
        <c:axId val="1016013184"/>
      </c:barChart>
      <c:catAx>
        <c:axId val="1016009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  <a:alpha val="94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016013184"/>
        <c:crosses val="autoZero"/>
        <c:auto val="1"/>
        <c:lblAlgn val="ctr"/>
        <c:lblOffset val="100"/>
        <c:noMultiLvlLbl val="0"/>
      </c:catAx>
      <c:valAx>
        <c:axId val="10160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1600965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Returns Analysis - Participating - Proceeds: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862-4B8B-9105-08C32D9F7BDB}"/>
            </c:ext>
          </c:extLst>
        </c:ser>
        <c:ser>
          <c:idx val="1"/>
          <c:order val="1"/>
          <c:tx>
            <c:v>NO PLAY - Returns Analysis - Non Participating - Proceeds: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862-4B8B-9105-08C32D9F7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6015536"/>
        <c:axId val="1016007696"/>
      </c:barChart>
      <c:scatterChart>
        <c:scatterStyle val="lineMarker"/>
        <c:varyColors val="0"/>
        <c:ser>
          <c:idx val="3"/>
          <c:order val="2"/>
          <c:tx>
            <c:v>Returns Analysis - Participating - IRR2019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</c:marker>
          <c:y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862-4B8B-9105-08C32D9F7BDB}"/>
            </c:ext>
          </c:extLst>
        </c:ser>
        <c:ser>
          <c:idx val="4"/>
          <c:order val="3"/>
          <c:tx>
            <c:v>NO PLAY - Returns Analysis - Non Participating - IRR2019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862-4B8B-9105-08C32D9F7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017496"/>
        <c:axId val="1016008088"/>
      </c:scatterChart>
      <c:catAx>
        <c:axId val="10160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007696"/>
        <c:crosses val="autoZero"/>
        <c:auto val="1"/>
        <c:lblAlgn val="ctr"/>
        <c:lblOffset val="100"/>
        <c:noMultiLvlLbl val="0"/>
      </c:catAx>
      <c:valAx>
        <c:axId val="10160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015536"/>
        <c:crosses val="autoZero"/>
        <c:crossBetween val="between"/>
      </c:valAx>
      <c:valAx>
        <c:axId val="1016008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017496"/>
        <c:crosses val="max"/>
        <c:crossBetween val="midCat"/>
      </c:valAx>
      <c:valAx>
        <c:axId val="1016017496"/>
        <c:scaling>
          <c:orientation val="minMax"/>
        </c:scaling>
        <c:delete val="1"/>
        <c:axPos val="b"/>
        <c:majorTickMark val="out"/>
        <c:minorTickMark val="none"/>
        <c:tickLblPos val="nextTo"/>
        <c:crossAx val="1016008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Watefall Returns by Investor (Base Case)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Watefall Returns by Investor (Base Case)</a:t>
          </a:r>
        </a:p>
      </cx:txPr>
    </cx:title>
    <cx:plotArea>
      <cx:plotAreaRegion>
        <cx:series layoutId="waterfall" uniqueId="{C2B01CD4-AF47-4F35-A75D-F6375A9723A4}" formatIdx="0">
          <cx:tx>
            <cx:txData>
              <cx:f>_xlchart.v1.1</cx:f>
              <cx:v>$60.00 Proceeds $M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28"/>
            </cx:subtotals>
          </cx:layoutPr>
        </cx:series>
        <cx:series layoutId="waterfall" hidden="1" uniqueId="{FC9E2DC4-061A-479E-A9B3-D8ADE1C402E9}" formatIdx="1">
          <cx:tx>
            <cx:txData>
              <cx:f>_xlchart.v1.3</cx:f>
              <cx:v>CoC (x) 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69337CA3-69ED-4B43-AE7D-980C95409EE9}" formatIdx="2">
          <cx:tx>
            <cx:txData>
              <cx:f>_xlchart.v1.5</cx:f>
              <cx:v>IRR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Waterfall Returns by Round (Base Case)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Returns by Round (Base Case)</a:t>
          </a:r>
        </a:p>
      </cx:txPr>
    </cx:title>
    <cx:plotArea>
      <cx:plotAreaRegion>
        <cx:series layoutId="waterfall" hidden="1" uniqueId="{552858C6-7E77-4B50-A7EB-1E3B5BEA3919}" formatIdx="0">
          <cx:tx>
            <cx:txData>
              <cx:f>_xlchart.v1.8</cx:f>
              <cx:v/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14"/>
              <cx:idx val="15"/>
            </cx:subtotals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2989330</xdr:colOff>
      <xdr:row>5</xdr:row>
      <xdr:rowOff>177800</xdr:rowOff>
    </xdr:from>
    <xdr:to>
      <xdr:col>5</xdr:col>
      <xdr:colOff>1315</xdr:colOff>
      <xdr:row>6</xdr:row>
      <xdr:rowOff>158751</xdr:rowOff>
    </xdr:to>
    <xdr:pic>
      <xdr:nvPicPr>
        <xdr:cNvPr id="6" name="irc_mi" descr="Image result for refresh icon">
          <a:extLst>
            <a:ext uri="{FF2B5EF4-FFF2-40B4-BE49-F238E27FC236}">
              <a16:creationId xmlns:a16="http://schemas.microsoft.com/office/drawing/2014/main" id="{66A8FEAA-2A88-483F-B809-28150036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630" y="1054100"/>
          <a:ext cx="186985" cy="17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85421</xdr:colOff>
      <xdr:row>14</xdr:row>
      <xdr:rowOff>31750</xdr:rowOff>
    </xdr:from>
    <xdr:to>
      <xdr:col>3</xdr:col>
      <xdr:colOff>223471</xdr:colOff>
      <xdr:row>14</xdr:row>
      <xdr:rowOff>168910</xdr:rowOff>
    </xdr:to>
    <xdr:pic>
      <xdr:nvPicPr>
        <xdr:cNvPr id="7" name="irc_mi" descr="Image result for clean icon">
          <a:extLst>
            <a:ext uri="{FF2B5EF4-FFF2-40B4-BE49-F238E27FC236}">
              <a16:creationId xmlns:a16="http://schemas.microsoft.com/office/drawing/2014/main" id="{7EFD7479-1DD0-4C64-8CB6-C73459972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371" y="2679700"/>
          <a:ext cx="13805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84931</xdr:colOff>
      <xdr:row>15</xdr:row>
      <xdr:rowOff>35719</xdr:rowOff>
    </xdr:from>
    <xdr:to>
      <xdr:col>3</xdr:col>
      <xdr:colOff>223962</xdr:colOff>
      <xdr:row>15</xdr:row>
      <xdr:rowOff>172879</xdr:rowOff>
    </xdr:to>
    <xdr:pic>
      <xdr:nvPicPr>
        <xdr:cNvPr id="8" name="irc_mi" descr="Image result for refresh icon">
          <a:extLst>
            <a:ext uri="{FF2B5EF4-FFF2-40B4-BE49-F238E27FC236}">
              <a16:creationId xmlns:a16="http://schemas.microsoft.com/office/drawing/2014/main" id="{59EE8EA7-C6B0-4255-9062-6AADC3F3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881" y="2880519"/>
          <a:ext cx="139031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86158</xdr:colOff>
      <xdr:row>16</xdr:row>
      <xdr:rowOff>41776</xdr:rowOff>
    </xdr:from>
    <xdr:ext cx="136577" cy="137160"/>
    <xdr:pic>
      <xdr:nvPicPr>
        <xdr:cNvPr id="9" name="Picture 8" descr="left round icon">
          <a:extLst>
            <a:ext uri="{FF2B5EF4-FFF2-40B4-BE49-F238E27FC236}">
              <a16:creationId xmlns:a16="http://schemas.microsoft.com/office/drawing/2014/main" id="{723696C9-08CD-42EA-AC83-B31776A3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108" y="3083426"/>
          <a:ext cx="136577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154667</xdr:colOff>
      <xdr:row>77</xdr:row>
      <xdr:rowOff>99182</xdr:rowOff>
    </xdr:from>
    <xdr:to>
      <xdr:col>32</xdr:col>
      <xdr:colOff>260047</xdr:colOff>
      <xdr:row>109</xdr:row>
      <xdr:rowOff>70001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BBC9B-A7ED-48B3-9351-B4E69D954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797718</xdr:colOff>
      <xdr:row>76</xdr:row>
      <xdr:rowOff>126998</xdr:rowOff>
    </xdr:from>
    <xdr:to>
      <xdr:col>20</xdr:col>
      <xdr:colOff>238125</xdr:colOff>
      <xdr:row>108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DB90F4-FE1A-43DF-AFCE-0B0F69E61A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3118" y="9677398"/>
              <a:ext cx="10660857" cy="6918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798285</xdr:colOff>
      <xdr:row>53</xdr:row>
      <xdr:rowOff>47624</xdr:rowOff>
    </xdr:from>
    <xdr:to>
      <xdr:col>20</xdr:col>
      <xdr:colOff>539750</xdr:colOff>
      <xdr:row>73</xdr:row>
      <xdr:rowOff>174624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ACAF3B8-3919-4D78-8941-66DE61879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3685" y="8820150"/>
              <a:ext cx="10961915" cy="174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182941</xdr:colOff>
      <xdr:row>53</xdr:row>
      <xdr:rowOff>121708</xdr:rowOff>
    </xdr:from>
    <xdr:to>
      <xdr:col>32</xdr:col>
      <xdr:colOff>250976</xdr:colOff>
      <xdr:row>73</xdr:row>
      <xdr:rowOff>185208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AD3832-2826-4C80-B7F0-CD49A7777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74706</xdr:colOff>
      <xdr:row>6</xdr:row>
      <xdr:rowOff>37353</xdr:rowOff>
    </xdr:from>
    <xdr:to>
      <xdr:col>9</xdr:col>
      <xdr:colOff>138205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FF252E-29A5-4C94-98D6-5A302BA5D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74706</xdr:colOff>
      <xdr:row>31</xdr:row>
      <xdr:rowOff>37353</xdr:rowOff>
    </xdr:from>
    <xdr:to>
      <xdr:col>9</xdr:col>
      <xdr:colOff>138205</xdr:colOff>
      <xdr:row>54</xdr:row>
      <xdr:rowOff>37353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F59CB2-0AD4-4D75-AB0D-EA73FFEE8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50800</xdr:colOff>
      <xdr:row>66</xdr:row>
      <xdr:rowOff>41275</xdr:rowOff>
    </xdr:from>
    <xdr:to>
      <xdr:col>12</xdr:col>
      <xdr:colOff>25400</xdr:colOff>
      <xdr:row>82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BBEBA8-56DC-4C21-B150-120EB5EDD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2104129</xdr:colOff>
      <xdr:row>1</xdr:row>
      <xdr:rowOff>39080</xdr:rowOff>
    </xdr:from>
    <xdr:to>
      <xdr:col>2</xdr:col>
      <xdr:colOff>2283083</xdr:colOff>
      <xdr:row>2</xdr:row>
      <xdr:rowOff>32730</xdr:rowOff>
    </xdr:to>
    <xdr:pic>
      <xdr:nvPicPr>
        <xdr:cNvPr id="9" name="irc_mi" descr="Image result for clean icon">
          <a:extLst>
            <a:ext uri="{FF2B5EF4-FFF2-40B4-BE49-F238E27FC236}">
              <a16:creationId xmlns:a16="http://schemas.microsoft.com/office/drawing/2014/main" id="{4D302C3C-71F8-42D8-B4D4-A33BC056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429" y="134330"/>
          <a:ext cx="178954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ER43/ESWModels/CRM(next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ER43/ESWModels/HYS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ER43/ESWModels/be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ER43/ESWModels/OMT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1%20%20Deal%20Repository\Researched%20&amp;%20Engaged%20Transactions\RSA\Divestiture%20Analysis\Excel\RSA%2011.30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del"/>
      <sheetName val="MS Revenue Analysis"/>
      <sheetName val="BS"/>
      <sheetName val="CF"/>
      <sheetName val="__FDSCACHE__"/>
      <sheetName val="Intrinsic Value"/>
      <sheetName val="Scenario Analysis"/>
      <sheetName val="Scenario Charts"/>
      <sheetName val="Rev by Geo"/>
      <sheetName val="Seasonality"/>
      <sheetName val="Charts"/>
      <sheetName val="Results Table"/>
      <sheetName val="mwareValPrintout"/>
      <sheetName val="Model Changes Table"/>
      <sheetName val="mwareTaxoPres"/>
      <sheetName val="Notes"/>
      <sheetName val="Add'lOptionsData"/>
      <sheetName val="SHLDRs EQTY"/>
      <sheetName val="mwareDates"/>
      <sheetName val="mwareSettings"/>
      <sheetName val="CRM(next)"/>
      <sheetName val="Assumptions"/>
      <sheetName val="Revenue Drivers"/>
      <sheetName val="Metrics"/>
      <sheetName val="Acq"/>
      <sheetName val="Comps"/>
      <sheetName val="#REF"/>
      <sheetName val="MultipleAnalysis"/>
      <sheetName val="N"/>
      <sheetName val="Sheet1"/>
      <sheetName val="Results"/>
      <sheetName val="Model Notes"/>
      <sheetName val="Consensus View"/>
      <sheetName val="MWA RR"/>
      <sheetName val="MW-Cache"/>
      <sheetName val="Recurring Revs IV"/>
      <sheetName val="Seasonality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mwareValPrintout"/>
      <sheetName val="BS"/>
      <sheetName val="CF"/>
      <sheetName val="Metrics"/>
      <sheetName val="Rev by Geo"/>
      <sheetName val="Scenario Analysis"/>
      <sheetName val="__FDSCACHE__"/>
      <sheetName val="Intrinsic Value"/>
      <sheetName val="Seasonality"/>
      <sheetName val="Model_Template"/>
      <sheetName val="Charts"/>
      <sheetName val="Scenario Charts"/>
      <sheetName val="Acq"/>
      <sheetName val="Results Table"/>
      <sheetName val="Model Changes Table"/>
      <sheetName val="Guidance"/>
      <sheetName val="Model Notes"/>
      <sheetName val="mwareDates"/>
      <sheetName val="mwareSettings"/>
      <sheetName val="Add'lOptionsData"/>
      <sheetName val="mwareTaxoPres"/>
      <sheetName val="HYSL"/>
      <sheetName val="Summary"/>
      <sheetName val="NOTE FS"/>
      <sheetName val="mwarePreview"/>
      <sheetName val="Maintenance Matrix"/>
      <sheetName val="IV Cha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s"/>
      <sheetName val="mwareValPrintout"/>
      <sheetName val="Model"/>
      <sheetName val="BS"/>
      <sheetName val="CF"/>
      <sheetName val="Metrics"/>
      <sheetName val="__FDSCACHE__"/>
      <sheetName val="Intrinsic Value"/>
      <sheetName val="Rev by Geo"/>
      <sheetName val="Scenario Analysis"/>
      <sheetName val="Scenario Charts"/>
      <sheetName val="Survey data"/>
      <sheetName val="Model Changes Table"/>
      <sheetName val="Results Table"/>
      <sheetName val="Historical EV"/>
      <sheetName val="Comps"/>
      <sheetName val="Acq"/>
      <sheetName val="Annual Charts"/>
      <sheetName val="Quarterly Charts"/>
      <sheetName val="Model Notes"/>
      <sheetName val="mwareSettings"/>
      <sheetName val="Products"/>
      <sheetName val="mwareDates"/>
      <sheetName val="MWare_Cached"/>
      <sheetName val="PE Analysis"/>
      <sheetName val="NY UPLOAD shado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venue Drivers"/>
      <sheetName val="BS"/>
      <sheetName val="__FDSCACHE__"/>
      <sheetName val="CF"/>
      <sheetName val="Intrinsic Value"/>
      <sheetName val="Scenario Analysis"/>
      <sheetName val="Scenario Charts"/>
      <sheetName val="Comps"/>
      <sheetName val="Model Notes"/>
      <sheetName val="Charts"/>
      <sheetName val="Acquisitions"/>
      <sheetName val="Results"/>
      <sheetName val="Model Changes Table"/>
      <sheetName val="Market Data"/>
      <sheetName val="MultipleAnalysis"/>
      <sheetName val="GoogAnalytics"/>
      <sheetName val="Competitors"/>
      <sheetName val="Genesis Partners"/>
      <sheetName val="Client Interest"/>
      <sheetName val="mwareSettings"/>
      <sheetName val="mwareDates"/>
      <sheetName val="Rev by Geo"/>
      <sheetName val="Metrics"/>
      <sheetName val="Results Table"/>
      <sheetName val="OMTR"/>
      <sheetName val="IPO"/>
      <sheetName val="Revenue Summary"/>
      <sheetName val="Assumptions"/>
      <sheetName val=" Rev Summary"/>
      <sheetName val="New Customers"/>
      <sheetName val="billings workup"/>
      <sheetName val="Acq"/>
      <sheetName val="Recurring Revs IV"/>
      <sheetName val="MW-Cache"/>
      <sheetName val="MWA RR"/>
      <sheetName val="Scenario Analysis 2"/>
      <sheetName val="Consensus View"/>
      <sheetName val="Thesis"/>
      <sheetName val="Comments"/>
      <sheetName val="Valuation"/>
      <sheetName val="Compsalt"/>
      <sheetName val="Reported 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SA P&amp;L"/>
      <sheetName val="EMC Pro Forma"/>
      <sheetName val="Outputs"/>
      <sheetName val="Transaction Mix"/>
      <sheetName val="P&amp;L Summary"/>
      <sheetName val="LBO"/>
      <sheetName val="LBO Summary"/>
      <sheetName val="Debt Schedule"/>
      <sheetName val="DCF"/>
      <sheetName val="DCF Summary"/>
      <sheetName val="FBF"/>
      <sheetName val="FBF Summary"/>
      <sheetName val="Comps"/>
      <sheetName val="Public Comps"/>
      <sheetName val="Public Comp - Scatter"/>
      <sheetName val="Acquisition Comps "/>
      <sheetName val="M&amp;A Comps - Scatter"/>
      <sheetName val="Public Comps_JC"/>
      <sheetName val="Backup"/>
      <sheetName val="Implided Valuation"/>
      <sheetName val="Sheet1"/>
      <sheetName val="RSA"/>
      <sheetName val="SYMC"/>
      <sheetName val="Large Cap Divestitures"/>
      <sheetName val="Kofax OLD"/>
      <sheetName val="Open Text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D951-6F6C-44FF-9379-ACA558544720}">
  <dimension ref="A1:B4"/>
  <sheetViews>
    <sheetView workbookViewId="0"/>
  </sheetViews>
  <sheetFormatPr defaultRowHeight="14.5" x14ac:dyDescent="0.35"/>
  <sheetData>
    <row r="1" spans="1:2" x14ac:dyDescent="0.35">
      <c r="B1" t="s">
        <v>0</v>
      </c>
    </row>
    <row r="2" spans="1:2" x14ac:dyDescent="0.35"/>
    <row r="3" spans="1:2" x14ac:dyDescent="0.35"/>
    <row r="4" spans="1:2" x14ac:dyDescent="0.35"/>
  </sheetData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2258-24B7-4D30-88C8-2A190DC2E235}">
  <dimension ref="A1:R24"/>
  <sheetViews>
    <sheetView showGridLines="0" zoomScale="85" zoomScaleNormal="85" workbookViewId="0">
      <selection activeCell="D10" sqref="D10"/>
    </sheetView>
  </sheetViews>
  <sheetFormatPr defaultColWidth="9.1796875" defaultRowHeight="15.5" x14ac:dyDescent="0.35"/>
  <cols>
    <col min="1" max="2" width="0.81640625" style="3" customWidth="1"/>
    <col min="3" max="3" width="23.54296875" style="6" customWidth="1"/>
    <col min="4" max="4" width="23.7265625" style="6" customWidth="1"/>
    <col min="5" max="5" width="45.453125" style="6" customWidth="1"/>
    <col min="6" max="7" width="1.7265625" style="6" customWidth="1"/>
    <col min="8" max="16384" width="9.1796875" style="6"/>
  </cols>
  <sheetData>
    <row r="1" spans="1:18" s="3" customFormat="1" ht="7.5" customHeight="1" x14ac:dyDescent="0.35">
      <c r="A1" s="1" t="s">
        <v>1</v>
      </c>
      <c r="B1" s="2"/>
      <c r="C1" s="2"/>
      <c r="D1" s="2"/>
      <c r="E1" s="2"/>
      <c r="F1" s="2"/>
      <c r="G1" s="2"/>
      <c r="H1" s="2"/>
      <c r="J1" s="2"/>
      <c r="K1" s="2"/>
      <c r="M1" s="2"/>
      <c r="N1" s="2"/>
      <c r="O1" s="2"/>
      <c r="P1" s="2"/>
      <c r="R1" s="2"/>
    </row>
    <row r="2" spans="1:18" ht="19.5" customHeight="1" thickBot="1" x14ac:dyDescent="0.55000000000000004">
      <c r="A2" s="2"/>
      <c r="B2" s="2"/>
      <c r="C2" s="4" t="s">
        <v>2</v>
      </c>
      <c r="D2" s="5"/>
      <c r="E2" s="5"/>
    </row>
    <row r="3" spans="1:18" ht="11.25" customHeight="1" x14ac:dyDescent="0.35">
      <c r="A3" s="2"/>
      <c r="B3" s="2"/>
    </row>
    <row r="4" spans="1:18" s="9" customFormat="1" x14ac:dyDescent="0.35">
      <c r="A4" s="2"/>
      <c r="B4" s="2"/>
      <c r="C4" s="7" t="s">
        <v>3</v>
      </c>
      <c r="D4" s="8" t="s">
        <v>4</v>
      </c>
    </row>
    <row r="5" spans="1:18" s="9" customFormat="1" x14ac:dyDescent="0.35">
      <c r="A5" s="2"/>
      <c r="B5" s="2"/>
      <c r="D5" s="8" t="s">
        <v>5</v>
      </c>
    </row>
    <row r="6" spans="1:18" s="9" customFormat="1" x14ac:dyDescent="0.35">
      <c r="A6" s="2"/>
      <c r="B6" s="2"/>
    </row>
    <row r="7" spans="1:18" s="9" customFormat="1" x14ac:dyDescent="0.35">
      <c r="A7" s="2"/>
      <c r="B7" s="2"/>
      <c r="C7" s="9" t="s">
        <v>6</v>
      </c>
    </row>
    <row r="8" spans="1:18" s="9" customFormat="1" x14ac:dyDescent="0.35">
      <c r="A8" s="2"/>
      <c r="B8" s="2"/>
      <c r="C8" s="10" t="s">
        <v>7</v>
      </c>
      <c r="D8" s="11" t="s">
        <v>8</v>
      </c>
      <c r="E8" s="12"/>
    </row>
    <row r="9" spans="1:18" s="9" customFormat="1" x14ac:dyDescent="0.35">
      <c r="A9" s="2"/>
      <c r="B9" s="2"/>
      <c r="C9" s="13" t="s">
        <v>9</v>
      </c>
      <c r="D9" s="14">
        <f ca="1">NOW()</f>
        <v>46105.390324305554</v>
      </c>
    </row>
    <row r="10" spans="1:18" s="9" customFormat="1" x14ac:dyDescent="0.35">
      <c r="A10" s="2"/>
      <c r="B10" s="2"/>
      <c r="C10" s="13" t="s">
        <v>10</v>
      </c>
      <c r="D10" s="15" t="s">
        <v>11</v>
      </c>
    </row>
    <row r="11" spans="1:18" s="9" customFormat="1" x14ac:dyDescent="0.35">
      <c r="A11" s="2"/>
      <c r="B11" s="2"/>
      <c r="D11" s="16"/>
    </row>
    <row r="12" spans="1:18" s="9" customFormat="1" x14ac:dyDescent="0.35">
      <c r="A12" s="2"/>
      <c r="B12" s="2"/>
      <c r="C12" s="13"/>
      <c r="D12" s="16"/>
    </row>
    <row r="13" spans="1:18" s="9" customFormat="1" x14ac:dyDescent="0.35">
      <c r="A13" s="2"/>
      <c r="B13" s="2"/>
      <c r="C13" s="13"/>
      <c r="D13" s="16"/>
    </row>
    <row r="14" spans="1:18" s="9" customFormat="1" x14ac:dyDescent="0.35">
      <c r="A14" s="2"/>
      <c r="B14" s="2"/>
      <c r="C14" s="13"/>
      <c r="D14" s="17" t="s">
        <v>12</v>
      </c>
    </row>
    <row r="15" spans="1:18" s="9" customFormat="1" x14ac:dyDescent="0.35">
      <c r="A15" s="2"/>
      <c r="B15" s="2"/>
      <c r="C15" s="13"/>
      <c r="D15" s="18" t="s">
        <v>13</v>
      </c>
    </row>
    <row r="16" spans="1:18" s="9" customFormat="1" x14ac:dyDescent="0.35">
      <c r="A16" s="2"/>
      <c r="B16" s="2"/>
      <c r="C16" s="13"/>
      <c r="D16" s="18" t="s">
        <v>14</v>
      </c>
    </row>
    <row r="17" spans="1:5" s="9" customFormat="1" x14ac:dyDescent="0.35">
      <c r="A17" s="2"/>
      <c r="B17" s="2"/>
      <c r="C17" s="13"/>
      <c r="D17" s="18" t="s">
        <v>15</v>
      </c>
    </row>
    <row r="18" spans="1:5" s="9" customFormat="1" x14ac:dyDescent="0.35">
      <c r="A18" s="2"/>
      <c r="B18" s="2"/>
      <c r="C18" s="13"/>
      <c r="D18" s="16"/>
    </row>
    <row r="19" spans="1:5" s="9" customFormat="1" x14ac:dyDescent="0.35">
      <c r="A19" s="2"/>
      <c r="B19" s="2"/>
      <c r="C19" s="1306" t="s">
        <v>16</v>
      </c>
      <c r="D19" s="1307"/>
      <c r="E19" s="1308"/>
    </row>
    <row r="20" spans="1:5" s="9" customFormat="1" x14ac:dyDescent="0.35">
      <c r="A20" s="2"/>
      <c r="B20" s="2"/>
      <c r="C20" s="1309"/>
      <c r="D20" s="1310"/>
      <c r="E20" s="1311"/>
    </row>
    <row r="21" spans="1:5" s="9" customFormat="1" x14ac:dyDescent="0.35">
      <c r="A21" s="2"/>
      <c r="B21" s="2"/>
      <c r="C21" s="1312"/>
      <c r="D21" s="1313"/>
      <c r="E21" s="1314"/>
    </row>
    <row r="22" spans="1:5" s="9" customFormat="1" x14ac:dyDescent="0.35">
      <c r="A22" s="2"/>
      <c r="B22" s="2"/>
      <c r="C22" s="13"/>
      <c r="D22" s="16"/>
    </row>
    <row r="23" spans="1:5" s="9" customFormat="1" x14ac:dyDescent="0.35">
      <c r="A23" s="2"/>
      <c r="B23" s="2"/>
      <c r="C23" s="13"/>
      <c r="D23" s="19"/>
    </row>
    <row r="24" spans="1:5" s="9" customFormat="1" x14ac:dyDescent="0.35">
      <c r="A24" s="2"/>
      <c r="B24" s="2"/>
      <c r="C24" s="13"/>
      <c r="D24" s="20"/>
    </row>
  </sheetData>
  <mergeCells count="1">
    <mergeCell ref="C19:E21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E591-8D4F-4407-B6FE-3D50B1086405}">
  <dimension ref="A1:CK77"/>
  <sheetViews>
    <sheetView tabSelected="1" zoomScale="50" zoomScaleNormal="50" workbookViewId="0">
      <selection activeCell="G8" sqref="G8"/>
    </sheetView>
  </sheetViews>
  <sheetFormatPr defaultColWidth="8.7265625" defaultRowHeight="15.5" outlineLevelCol="1" x14ac:dyDescent="0.35"/>
  <cols>
    <col min="1" max="2" width="0.81640625" style="181" customWidth="1"/>
    <col min="3" max="3" width="3.7265625" style="191" customWidth="1"/>
    <col min="4" max="4" width="42" style="191" customWidth="1"/>
    <col min="5" max="5" width="16.1796875" style="191" bestFit="1" customWidth="1"/>
    <col min="6" max="6" width="15.54296875" style="191" customWidth="1"/>
    <col min="7" max="7" width="13.81640625" style="191" customWidth="1"/>
    <col min="8" max="8" width="16.453125" style="191" customWidth="1"/>
    <col min="9" max="9" width="13.81640625" style="191" customWidth="1" outlineLevel="1"/>
    <col min="10" max="10" width="13.81640625" style="191" customWidth="1"/>
    <col min="11" max="11" width="13.81640625" style="191" customWidth="1" outlineLevel="1"/>
    <col min="12" max="12" width="16.1796875" style="191" customWidth="1" outlineLevel="1"/>
    <col min="13" max="13" width="13.81640625" style="191" customWidth="1" outlineLevel="1"/>
    <col min="14" max="15" width="13.81640625" style="191" customWidth="1"/>
    <col min="16" max="16" width="16.453125" style="191" customWidth="1"/>
    <col min="17" max="17" width="13.81640625" style="191" customWidth="1" outlineLevel="1"/>
    <col min="18" max="18" width="13.81640625" style="191" customWidth="1"/>
    <col min="19" max="19" width="13.81640625" style="191" customWidth="1" outlineLevel="1"/>
    <col min="20" max="20" width="16.1796875" style="191" customWidth="1" outlineLevel="1"/>
    <col min="21" max="21" width="13.81640625" style="191" customWidth="1" outlineLevel="1"/>
    <col min="22" max="23" width="13.81640625" style="191" customWidth="1"/>
    <col min="24" max="24" width="16.453125" style="191" customWidth="1"/>
    <col min="25" max="25" width="13.7265625" style="191" customWidth="1" outlineLevel="1"/>
    <col min="26" max="26" width="13.81640625" style="191" customWidth="1"/>
    <col min="27" max="27" width="13.81640625" style="191" customWidth="1" outlineLevel="1"/>
    <col min="28" max="28" width="16.1796875" style="191" customWidth="1" outlineLevel="1"/>
    <col min="29" max="29" width="13.81640625" style="191" customWidth="1" outlineLevel="1"/>
    <col min="30" max="31" width="13.81640625" style="191" customWidth="1"/>
    <col min="32" max="32" width="16.453125" style="191" customWidth="1"/>
    <col min="33" max="33" width="13.81640625" style="191" customWidth="1" outlineLevel="1"/>
    <col min="34" max="34" width="13.81640625" style="191" customWidth="1"/>
    <col min="35" max="35" width="13.81640625" style="191" customWidth="1" outlineLevel="1"/>
    <col min="36" max="36" width="16.1796875" style="191" customWidth="1" outlineLevel="1"/>
    <col min="37" max="37" width="13.81640625" style="191" customWidth="1" outlineLevel="1"/>
    <col min="38" max="39" width="13.81640625" style="191" customWidth="1"/>
    <col min="40" max="40" width="16.453125" style="191" customWidth="1"/>
    <col min="41" max="41" width="13.81640625" style="191" customWidth="1" outlineLevel="1"/>
    <col min="42" max="42" width="13.81640625" style="191" customWidth="1"/>
    <col min="43" max="43" width="13.81640625" style="191" customWidth="1" outlineLevel="1"/>
    <col min="44" max="44" width="16.1796875" style="191" customWidth="1" outlineLevel="1"/>
    <col min="45" max="45" width="13.81640625" style="191" customWidth="1" outlineLevel="1"/>
    <col min="46" max="47" width="13.81640625" style="191" customWidth="1"/>
    <col min="48" max="48" width="16.453125" style="191" customWidth="1"/>
    <col min="49" max="49" width="13.81640625" style="191" customWidth="1" outlineLevel="1"/>
    <col min="50" max="50" width="13.81640625" style="191" customWidth="1"/>
    <col min="51" max="51" width="13.81640625" style="191" customWidth="1" outlineLevel="1"/>
    <col min="52" max="52" width="16.1796875" style="191" customWidth="1" outlineLevel="1"/>
    <col min="53" max="53" width="13.81640625" style="191" customWidth="1" outlineLevel="1"/>
    <col min="54" max="55" width="13.81640625" style="191" customWidth="1"/>
    <col min="56" max="56" width="16.453125" style="191" customWidth="1"/>
    <col min="57" max="57" width="13.81640625" style="191" customWidth="1" outlineLevel="1"/>
    <col min="58" max="58" width="13.81640625" style="191" customWidth="1"/>
    <col min="59" max="59" width="13.81640625" style="191" customWidth="1" outlineLevel="1"/>
    <col min="60" max="60" width="16.1796875" style="191" customWidth="1" outlineLevel="1"/>
    <col min="61" max="61" width="13.81640625" style="191" customWidth="1" outlineLevel="1"/>
    <col min="62" max="63" width="13.81640625" style="191" customWidth="1"/>
    <col min="64" max="64" width="16.453125" style="191" customWidth="1"/>
    <col min="65" max="65" width="13.81640625" style="191" customWidth="1" outlineLevel="1"/>
    <col min="66" max="66" width="13.81640625" style="191" customWidth="1"/>
    <col min="67" max="67" width="13.81640625" style="191" customWidth="1" outlineLevel="1"/>
    <col min="68" max="68" width="16.1796875" style="191" customWidth="1" outlineLevel="1"/>
    <col min="69" max="69" width="13.81640625" style="191" customWidth="1" outlineLevel="1"/>
    <col min="70" max="71" width="13.81640625" style="191" customWidth="1"/>
    <col min="72" max="72" width="16.453125" style="191" customWidth="1"/>
    <col min="73" max="73" width="13.81640625" style="191" customWidth="1" outlineLevel="1"/>
    <col min="74" max="74" width="13.81640625" style="191" customWidth="1"/>
    <col min="75" max="75" width="13.81640625" style="191" customWidth="1" outlineLevel="1"/>
    <col min="76" max="76" width="16.1796875" style="191" customWidth="1" outlineLevel="1"/>
    <col min="77" max="77" width="13.81640625" style="191" customWidth="1" outlineLevel="1"/>
    <col min="78" max="78" width="13.81640625" style="191" customWidth="1"/>
    <col min="79" max="79" width="14" style="191" customWidth="1"/>
    <col min="80" max="80" width="1.26953125" style="181" customWidth="1"/>
    <col min="81" max="81" width="23.54296875" style="191" customWidth="1"/>
    <col min="82" max="83" width="1.26953125" style="181" customWidth="1"/>
    <col min="84" max="16384" width="8.7265625" style="191"/>
  </cols>
  <sheetData>
    <row r="1" spans="1:83" s="181" customFormat="1" ht="7.5" customHeight="1" x14ac:dyDescent="0.35">
      <c r="A1" s="21" t="s">
        <v>1</v>
      </c>
      <c r="B1" s="178"/>
      <c r="C1" s="179"/>
      <c r="D1" s="180"/>
      <c r="E1" s="180"/>
      <c r="F1" s="180"/>
      <c r="G1" s="180"/>
      <c r="H1" s="180"/>
      <c r="I1" s="180"/>
      <c r="K1" s="180"/>
      <c r="L1" s="180"/>
      <c r="O1" s="180"/>
      <c r="P1" s="180"/>
      <c r="Q1" s="180"/>
      <c r="R1" s="180"/>
      <c r="T1" s="180"/>
      <c r="Y1" s="180"/>
      <c r="CB1" s="180"/>
      <c r="CD1" s="180"/>
      <c r="CE1" s="180"/>
    </row>
    <row r="2" spans="1:83" s="186" customFormat="1" ht="21.5" thickBot="1" x14ac:dyDescent="0.55000000000000004">
      <c r="A2" s="182"/>
      <c r="B2" s="182"/>
      <c r="C2" s="183" t="s">
        <v>17</v>
      </c>
      <c r="D2" s="18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4"/>
      <c r="W2" s="184"/>
      <c r="X2" s="184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2"/>
      <c r="CC2" s="185"/>
      <c r="CD2" s="182"/>
      <c r="CE2" s="182"/>
    </row>
    <row r="3" spans="1:83" s="26" customFormat="1" x14ac:dyDescent="0.35">
      <c r="C3" s="27" t="s">
        <v>18</v>
      </c>
      <c r="Q3" s="187" t="str">
        <f>K5</f>
        <v>Seed</v>
      </c>
    </row>
    <row r="4" spans="1:83" s="181" customFormat="1" x14ac:dyDescent="0.35">
      <c r="A4" s="180"/>
      <c r="B4" s="180"/>
      <c r="C4" s="179"/>
      <c r="D4" s="180"/>
      <c r="E4" s="180"/>
      <c r="F4" s="180"/>
      <c r="G4" s="180"/>
      <c r="H4" s="188"/>
      <c r="I4" s="180"/>
      <c r="K4" s="1317" t="s">
        <v>19</v>
      </c>
      <c r="L4" s="1318"/>
      <c r="M4" s="1318"/>
      <c r="N4" s="1319"/>
      <c r="O4" s="180"/>
      <c r="P4" s="191"/>
      <c r="Q4" s="187" t="str">
        <f t="shared" ref="Q4:Q6" si="0">K6</f>
        <v>Series A</v>
      </c>
      <c r="T4" s="180"/>
      <c r="Y4" s="180"/>
      <c r="CB4" s="189"/>
      <c r="CD4" s="189"/>
      <c r="CE4" s="189"/>
    </row>
    <row r="5" spans="1:83" ht="15.75" customHeight="1" x14ac:dyDescent="0.35">
      <c r="A5" s="180"/>
      <c r="B5" s="180"/>
      <c r="C5" s="190"/>
      <c r="D5" s="190"/>
      <c r="E5" s="190"/>
      <c r="H5" s="192"/>
      <c r="K5" s="193" t="str">
        <f>H13</f>
        <v>Seed</v>
      </c>
      <c r="L5" s="194" t="e">
        <f>(H$55+I$55)/$BY$55</f>
        <v>#DIV/0!</v>
      </c>
      <c r="M5" s="195" t="str">
        <f>BD13</f>
        <v>Series E-1</v>
      </c>
      <c r="N5" s="194" t="e">
        <f>(BD55+BE55)/$BY$55</f>
        <v>#DIV/0!</v>
      </c>
      <c r="Q5" s="187" t="str">
        <f t="shared" si="0"/>
        <v>Series B</v>
      </c>
      <c r="T5" s="196"/>
      <c r="CB5" s="180"/>
      <c r="CD5" s="180"/>
      <c r="CE5" s="180"/>
    </row>
    <row r="6" spans="1:83" ht="21.75" customHeight="1" x14ac:dyDescent="0.5">
      <c r="A6" s="191"/>
      <c r="B6" s="191"/>
      <c r="D6" s="944" t="s">
        <v>20</v>
      </c>
      <c r="E6" s="1320" t="s">
        <v>21</v>
      </c>
      <c r="F6" s="1321"/>
      <c r="H6" s="192"/>
      <c r="K6" s="198" t="str">
        <f>P13</f>
        <v>Series A</v>
      </c>
      <c r="L6" s="199" t="e">
        <f>(P$55+Q$55)/$BY$55</f>
        <v>#DIV/0!</v>
      </c>
      <c r="M6" s="200" t="str">
        <f>BL13</f>
        <v>Series F</v>
      </c>
      <c r="N6" s="199" t="e">
        <f>(J$55+K$55)/$BY$55</f>
        <v>#DIV/0!</v>
      </c>
      <c r="Q6" s="187" t="str">
        <f t="shared" si="0"/>
        <v>Series C</v>
      </c>
      <c r="T6" s="196"/>
      <c r="AK6" s="201"/>
      <c r="AL6" s="201"/>
      <c r="CB6" s="180"/>
      <c r="CD6" s="180"/>
      <c r="CE6" s="180"/>
    </row>
    <row r="7" spans="1:83" ht="21.75" customHeight="1" x14ac:dyDescent="0.5">
      <c r="A7" s="202"/>
      <c r="B7" s="202"/>
      <c r="D7" s="944" t="str">
        <f>"DTC Investment in "&amp;E6</f>
        <v>DTC Investment in Seed</v>
      </c>
      <c r="E7" s="1322"/>
      <c r="F7" s="1323"/>
      <c r="H7" s="192"/>
      <c r="K7" s="198" t="str">
        <f>X13</f>
        <v>Series B</v>
      </c>
      <c r="L7" s="199" t="e">
        <f>(X$55+Y$55)/$BY$55</f>
        <v>#DIV/0!</v>
      </c>
      <c r="M7" s="198" t="str">
        <f>BT13</f>
        <v>Series G</v>
      </c>
      <c r="N7" s="199" t="e">
        <f>(BT55+BU55)/$BY$55</f>
        <v>#DIV/0!</v>
      </c>
      <c r="Q7" s="187" t="str">
        <f t="shared" ref="Q7:Q8" si="1">K9</f>
        <v>Series D</v>
      </c>
      <c r="T7" s="196"/>
      <c r="AK7" s="201"/>
      <c r="AL7" s="201"/>
      <c r="CB7" s="180"/>
      <c r="CD7" s="180"/>
      <c r="CE7" s="180"/>
    </row>
    <row r="8" spans="1:83" ht="21.75" customHeight="1" x14ac:dyDescent="0.5">
      <c r="A8" s="180"/>
      <c r="B8" s="180"/>
      <c r="D8" s="944" t="s">
        <v>22</v>
      </c>
      <c r="E8" s="1322"/>
      <c r="F8" s="1323"/>
      <c r="K8" s="198" t="str">
        <f>AF13</f>
        <v>Series C</v>
      </c>
      <c r="L8" s="199" t="e">
        <f>(AF$55+AG$55)/$BY$55</f>
        <v>#DIV/0!</v>
      </c>
      <c r="M8" s="198" t="s">
        <v>23</v>
      </c>
      <c r="N8" s="199" t="e">
        <f>E$55/$BY$55</f>
        <v>#DIV/0!</v>
      </c>
      <c r="Q8" s="187" t="str">
        <f t="shared" si="1"/>
        <v>Series E</v>
      </c>
      <c r="T8" s="196"/>
      <c r="AK8" s="201"/>
      <c r="AL8" s="201"/>
      <c r="CB8" s="203"/>
      <c r="CD8" s="203"/>
      <c r="CE8" s="203"/>
    </row>
    <row r="9" spans="1:83" ht="21.75" customHeight="1" x14ac:dyDescent="0.5">
      <c r="A9" s="180"/>
      <c r="B9" s="180"/>
      <c r="D9" s="944" t="str">
        <f>"Total "&amp;E6&amp;" Round"</f>
        <v>Total Seed Round</v>
      </c>
      <c r="E9" s="1322"/>
      <c r="F9" s="1323"/>
      <c r="K9" s="198" t="str">
        <f>AN13</f>
        <v>Series D</v>
      </c>
      <c r="L9" s="199" t="e">
        <f>(AN$55+AO$55)/$BY$55</f>
        <v>#DIV/0!</v>
      </c>
      <c r="M9" s="198" t="s">
        <v>24</v>
      </c>
      <c r="N9" s="199" t="e">
        <f>F$55/$BY$55</f>
        <v>#DIV/0!</v>
      </c>
      <c r="Q9" s="187" t="str">
        <f>M5</f>
        <v>Series E-1</v>
      </c>
      <c r="T9" s="196"/>
      <c r="AK9" s="201"/>
      <c r="AL9" s="201"/>
      <c r="CB9" s="180"/>
      <c r="CD9" s="180"/>
      <c r="CE9" s="180"/>
    </row>
    <row r="10" spans="1:83" ht="21.75" customHeight="1" x14ac:dyDescent="0.5">
      <c r="A10" s="180"/>
      <c r="B10" s="180"/>
      <c r="D10" s="944" t="s">
        <v>25</v>
      </c>
      <c r="E10" s="1315" t="e">
        <f>IF(E6=H13,H16*M55,(IF(E6=P13,P16*U55,(IF(E6=X13,X16*AC55,(IF(E6=AF13,AF16*AK55,(IF(E6=AN13,AN16*AS55,(IF(E6=AV13,AV16*BA55,(IF(E6=BD13,BD16*BI55,(IF(E6=BL13,BL16*BQ55,(IF(E6=BT13,BT16*BY55,0)))))))))))))))))</f>
        <v>#DIV/0!</v>
      </c>
      <c r="F10" s="1316"/>
      <c r="G10" s="204"/>
      <c r="K10" s="205" t="str">
        <f>AV13</f>
        <v>Series E</v>
      </c>
      <c r="L10" s="206" t="e">
        <f>(AV$55+AW$55)/$BY$55</f>
        <v>#DIV/0!</v>
      </c>
      <c r="M10" s="205" t="s">
        <v>26</v>
      </c>
      <c r="N10" s="206" t="e">
        <f>G$55/$BY$55</f>
        <v>#DIV/0!</v>
      </c>
      <c r="Q10" s="187" t="str">
        <f>M6</f>
        <v>Series F</v>
      </c>
      <c r="T10" s="196"/>
      <c r="X10" s="196"/>
      <c r="AF10" s="196"/>
      <c r="AK10" s="201"/>
      <c r="AL10" s="201"/>
      <c r="AN10" s="196"/>
      <c r="AV10" s="196"/>
      <c r="CB10" s="180"/>
      <c r="CD10" s="180"/>
      <c r="CE10" s="180"/>
    </row>
    <row r="11" spans="1:83" x14ac:dyDescent="0.35">
      <c r="A11" s="37"/>
      <c r="B11" s="37"/>
      <c r="D11" s="207" t="s">
        <v>27</v>
      </c>
      <c r="E11" s="1324" t="e">
        <f>IF(ROUND(E10,-2)=ROUND((E8+E9),-2),"Ok", "Review")</f>
        <v>#DIV/0!</v>
      </c>
      <c r="F11" s="1324"/>
      <c r="G11" s="208"/>
      <c r="P11" s="196"/>
      <c r="Q11" s="187" t="str">
        <f>M7</f>
        <v>Series G</v>
      </c>
      <c r="R11" s="196"/>
      <c r="S11" s="196"/>
      <c r="T11" s="209"/>
      <c r="X11" s="190"/>
      <c r="Y11" s="192"/>
      <c r="Z11" s="192"/>
      <c r="AA11" s="192"/>
      <c r="AB11" s="192"/>
      <c r="AK11" s="201"/>
      <c r="AL11" s="201"/>
      <c r="BD11" s="210"/>
      <c r="BL11" s="210"/>
      <c r="BN11" s="210"/>
      <c r="CB11" s="180"/>
      <c r="CD11" s="180"/>
      <c r="CE11" s="180"/>
    </row>
    <row r="12" spans="1:83" ht="15.75" customHeight="1" x14ac:dyDescent="0.35">
      <c r="A12" s="37"/>
      <c r="B12" s="37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1"/>
      <c r="BC12" s="211"/>
      <c r="BD12" s="211"/>
      <c r="BE12" s="211"/>
      <c r="BF12" s="211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1"/>
      <c r="BR12" s="211"/>
      <c r="BS12" s="211"/>
      <c r="BT12" s="211"/>
      <c r="BU12" s="211"/>
      <c r="BV12" s="211"/>
      <c r="BW12" s="211"/>
      <c r="BX12" s="211"/>
      <c r="BY12" s="211"/>
      <c r="BZ12" s="211"/>
      <c r="CA12" s="211"/>
      <c r="CB12" s="211"/>
      <c r="CC12" s="211"/>
      <c r="CD12" s="180"/>
      <c r="CE12" s="180"/>
    </row>
    <row r="13" spans="1:83" s="211" customFormat="1" ht="21.75" customHeight="1" x14ac:dyDescent="0.55000000000000004">
      <c r="A13" s="212"/>
      <c r="B13" s="212"/>
      <c r="D13" s="869"/>
      <c r="E13" s="869"/>
      <c r="F13" s="869"/>
      <c r="G13" s="870"/>
      <c r="H13" s="1325" t="s">
        <v>21</v>
      </c>
      <c r="I13" s="1325"/>
      <c r="J13" s="1325"/>
      <c r="K13" s="1325"/>
      <c r="L13" s="1325"/>
      <c r="M13" s="1325"/>
      <c r="N13" s="1325"/>
      <c r="O13" s="1325"/>
      <c r="P13" s="1326" t="s">
        <v>28</v>
      </c>
      <c r="Q13" s="1325"/>
      <c r="R13" s="1325"/>
      <c r="S13" s="1325"/>
      <c r="T13" s="1325"/>
      <c r="U13" s="1325"/>
      <c r="V13" s="1325"/>
      <c r="W13" s="1325"/>
      <c r="X13" s="1326" t="s">
        <v>29</v>
      </c>
      <c r="Y13" s="1325"/>
      <c r="Z13" s="1325"/>
      <c r="AA13" s="1325"/>
      <c r="AB13" s="1325"/>
      <c r="AC13" s="1325"/>
      <c r="AD13" s="1325"/>
      <c r="AE13" s="1325"/>
      <c r="AF13" s="1326" t="s">
        <v>30</v>
      </c>
      <c r="AG13" s="1325"/>
      <c r="AH13" s="1325"/>
      <c r="AI13" s="1325"/>
      <c r="AJ13" s="1325"/>
      <c r="AK13" s="1325"/>
      <c r="AL13" s="1325"/>
      <c r="AM13" s="1325"/>
      <c r="AN13" s="1326" t="s">
        <v>31</v>
      </c>
      <c r="AO13" s="1325"/>
      <c r="AP13" s="1325"/>
      <c r="AQ13" s="1325"/>
      <c r="AR13" s="1325"/>
      <c r="AS13" s="1325"/>
      <c r="AT13" s="1325"/>
      <c r="AU13" s="1325"/>
      <c r="AV13" s="1325" t="s">
        <v>32</v>
      </c>
      <c r="AW13" s="1325"/>
      <c r="AX13" s="1325"/>
      <c r="AY13" s="1325"/>
      <c r="AZ13" s="1325"/>
      <c r="BA13" s="1325"/>
      <c r="BB13" s="1325"/>
      <c r="BC13" s="1325"/>
      <c r="BD13" s="1326" t="s">
        <v>33</v>
      </c>
      <c r="BE13" s="1325"/>
      <c r="BF13" s="1325"/>
      <c r="BG13" s="1325"/>
      <c r="BH13" s="1325"/>
      <c r="BI13" s="1325"/>
      <c r="BJ13" s="1325"/>
      <c r="BK13" s="1325"/>
      <c r="BL13" s="1326" t="s">
        <v>34</v>
      </c>
      <c r="BM13" s="1325"/>
      <c r="BN13" s="1325"/>
      <c r="BO13" s="1325"/>
      <c r="BP13" s="1325"/>
      <c r="BQ13" s="1325"/>
      <c r="BR13" s="1325"/>
      <c r="BS13" s="1325"/>
      <c r="BT13" s="1325" t="s">
        <v>35</v>
      </c>
      <c r="BU13" s="1325"/>
      <c r="BV13" s="1325"/>
      <c r="BW13" s="1325"/>
      <c r="BX13" s="1325"/>
      <c r="BY13" s="1325"/>
      <c r="BZ13" s="1325"/>
      <c r="CA13" s="1325"/>
      <c r="CB13" s="871"/>
      <c r="CC13" s="872"/>
      <c r="CD13" s="180"/>
      <c r="CE13" s="180"/>
    </row>
    <row r="14" spans="1:83" s="215" customFormat="1" ht="21.75" customHeight="1" x14ac:dyDescent="0.55000000000000004">
      <c r="A14" s="181"/>
      <c r="B14" s="181"/>
      <c r="D14" s="873"/>
      <c r="E14" s="874"/>
      <c r="F14" s="874"/>
      <c r="G14" s="874"/>
      <c r="H14" s="1327" t="s">
        <v>36</v>
      </c>
      <c r="I14" s="1327"/>
      <c r="J14" s="1327"/>
      <c r="K14" s="1327"/>
      <c r="L14" s="1327"/>
      <c r="M14" s="1327"/>
      <c r="N14" s="1327"/>
      <c r="O14" s="1327"/>
      <c r="P14" s="1328" t="s">
        <v>36</v>
      </c>
      <c r="Q14" s="1327"/>
      <c r="R14" s="1327"/>
      <c r="S14" s="1327"/>
      <c r="T14" s="1327"/>
      <c r="U14" s="1327"/>
      <c r="V14" s="1327"/>
      <c r="W14" s="1327"/>
      <c r="X14" s="1328" t="s">
        <v>36</v>
      </c>
      <c r="Y14" s="1327"/>
      <c r="Z14" s="1327"/>
      <c r="AA14" s="1327"/>
      <c r="AB14" s="1327"/>
      <c r="AC14" s="1327"/>
      <c r="AD14" s="1327"/>
      <c r="AE14" s="1327"/>
      <c r="AF14" s="1328" t="s">
        <v>36</v>
      </c>
      <c r="AG14" s="1327"/>
      <c r="AH14" s="1327"/>
      <c r="AI14" s="1327"/>
      <c r="AJ14" s="1327"/>
      <c r="AK14" s="1327"/>
      <c r="AL14" s="1327"/>
      <c r="AM14" s="1327"/>
      <c r="AN14" s="1328" t="s">
        <v>36</v>
      </c>
      <c r="AO14" s="1327"/>
      <c r="AP14" s="1327"/>
      <c r="AQ14" s="1327"/>
      <c r="AR14" s="1327"/>
      <c r="AS14" s="1327"/>
      <c r="AT14" s="1327"/>
      <c r="AU14" s="1327"/>
      <c r="AV14" s="1328" t="s">
        <v>36</v>
      </c>
      <c r="AW14" s="1327"/>
      <c r="AX14" s="1327"/>
      <c r="AY14" s="1327"/>
      <c r="AZ14" s="1327"/>
      <c r="BA14" s="1327"/>
      <c r="BB14" s="1327"/>
      <c r="BC14" s="1327"/>
      <c r="BD14" s="1327" t="s">
        <v>36</v>
      </c>
      <c r="BE14" s="1327"/>
      <c r="BF14" s="1327"/>
      <c r="BG14" s="1327"/>
      <c r="BH14" s="1327"/>
      <c r="BI14" s="1327"/>
      <c r="BJ14" s="1327"/>
      <c r="BK14" s="1327"/>
      <c r="BL14" s="1327" t="s">
        <v>36</v>
      </c>
      <c r="BM14" s="1327"/>
      <c r="BN14" s="1327"/>
      <c r="BO14" s="1327"/>
      <c r="BP14" s="1327"/>
      <c r="BQ14" s="1327"/>
      <c r="BR14" s="1327"/>
      <c r="BS14" s="1327"/>
      <c r="BT14" s="1327" t="s">
        <v>36</v>
      </c>
      <c r="BU14" s="1327"/>
      <c r="BV14" s="1327"/>
      <c r="BW14" s="1327"/>
      <c r="BX14" s="1327"/>
      <c r="BY14" s="1327"/>
      <c r="BZ14" s="1327"/>
      <c r="CA14" s="1327"/>
      <c r="CB14" s="875"/>
      <c r="CC14" s="874"/>
      <c r="CD14" s="181"/>
      <c r="CE14" s="181"/>
    </row>
    <row r="15" spans="1:83" s="214" customFormat="1" ht="48" customHeight="1" x14ac:dyDescent="0.55000000000000004">
      <c r="A15" s="180"/>
      <c r="B15" s="180"/>
      <c r="C15" s="217"/>
      <c r="D15" s="876"/>
      <c r="E15" s="876" t="s">
        <v>23</v>
      </c>
      <c r="F15" s="876" t="s">
        <v>24</v>
      </c>
      <c r="G15" s="876" t="s">
        <v>37</v>
      </c>
      <c r="H15" s="877" t="str">
        <f>$H$13&amp;" Prfrd"</f>
        <v>Seed Prfrd</v>
      </c>
      <c r="I15" s="876" t="str">
        <f>$H$13&amp;" Warrants"</f>
        <v>Seed Warrants</v>
      </c>
      <c r="J15" s="876" t="str">
        <f>H13&amp;
"
$$ Invested"</f>
        <v>Seed
$$ Invested</v>
      </c>
      <c r="K15" s="876" t="str">
        <f>$H$13&amp;" Prfrd  %"</f>
        <v>Seed Prfrd  %</v>
      </c>
      <c r="L15" s="876" t="s">
        <v>38</v>
      </c>
      <c r="M15" s="876" t="s">
        <v>39</v>
      </c>
      <c r="N15" s="876" t="s">
        <v>40</v>
      </c>
      <c r="O15" s="876" t="s">
        <v>41</v>
      </c>
      <c r="P15" s="877" t="str">
        <f>P13&amp;" Prfrd"</f>
        <v>Series A Prfrd</v>
      </c>
      <c r="Q15" s="876" t="str">
        <f>P13&amp;" Warrants"</f>
        <v>Series A Warrants</v>
      </c>
      <c r="R15" s="876" t="str">
        <f>P13&amp;
"
$$ Invested"</f>
        <v>Series A
$$ Invested</v>
      </c>
      <c r="S15" s="876" t="str">
        <f>P13&amp;" Prfrd  %"</f>
        <v>Series A Prfrd  %</v>
      </c>
      <c r="T15" s="876" t="s">
        <v>38</v>
      </c>
      <c r="U15" s="876" t="s">
        <v>39</v>
      </c>
      <c r="V15" s="876" t="s">
        <v>40</v>
      </c>
      <c r="W15" s="876" t="s">
        <v>41</v>
      </c>
      <c r="X15" s="877" t="str">
        <f>X13&amp;" Prfrd"</f>
        <v>Series B Prfrd</v>
      </c>
      <c r="Y15" s="876" t="str">
        <f>X13&amp;" Warrants"</f>
        <v>Series B Warrants</v>
      </c>
      <c r="Z15" s="876" t="str">
        <f>X13&amp;
"
$$ Invested"</f>
        <v>Series B
$$ Invested</v>
      </c>
      <c r="AA15" s="876" t="str">
        <f>X13&amp;" Prfrd  %"</f>
        <v>Series B Prfrd  %</v>
      </c>
      <c r="AB15" s="876" t="s">
        <v>38</v>
      </c>
      <c r="AC15" s="876" t="s">
        <v>39</v>
      </c>
      <c r="AD15" s="876" t="s">
        <v>40</v>
      </c>
      <c r="AE15" s="876" t="s">
        <v>41</v>
      </c>
      <c r="AF15" s="877" t="str">
        <f>AF13&amp;" Prfrd"</f>
        <v>Series C Prfrd</v>
      </c>
      <c r="AG15" s="876" t="str">
        <f>AF13&amp;" Warrants"</f>
        <v>Series C Warrants</v>
      </c>
      <c r="AH15" s="876" t="str">
        <f>AF13&amp;
"
$$ Invested"</f>
        <v>Series C
$$ Invested</v>
      </c>
      <c r="AI15" s="876" t="str">
        <f>AF13&amp;" Prfrd  %"</f>
        <v>Series C Prfrd  %</v>
      </c>
      <c r="AJ15" s="876" t="s">
        <v>38</v>
      </c>
      <c r="AK15" s="876" t="s">
        <v>39</v>
      </c>
      <c r="AL15" s="876" t="s">
        <v>40</v>
      </c>
      <c r="AM15" s="876" t="s">
        <v>41</v>
      </c>
      <c r="AN15" s="877" t="str">
        <f>AN13&amp;" Prfrd"</f>
        <v>Series D Prfrd</v>
      </c>
      <c r="AO15" s="876" t="str">
        <f>AN13&amp;" Warrants"</f>
        <v>Series D Warrants</v>
      </c>
      <c r="AP15" s="876" t="str">
        <f>AN13&amp;
"
$$ Invested"</f>
        <v>Series D
$$ Invested</v>
      </c>
      <c r="AQ15" s="876" t="str">
        <f>AN13&amp;" Prfrd  %"</f>
        <v>Series D Prfrd  %</v>
      </c>
      <c r="AR15" s="876" t="s">
        <v>38</v>
      </c>
      <c r="AS15" s="876" t="s">
        <v>39</v>
      </c>
      <c r="AT15" s="876" t="s">
        <v>40</v>
      </c>
      <c r="AU15" s="876" t="s">
        <v>41</v>
      </c>
      <c r="AV15" s="877" t="str">
        <f>AV13&amp;" Prfrd"</f>
        <v>Series E Prfrd</v>
      </c>
      <c r="AW15" s="876" t="str">
        <f>AV13&amp;" Warrants"</f>
        <v>Series E Warrants</v>
      </c>
      <c r="AX15" s="876" t="str">
        <f>AV13&amp;
"
$$ Invested"</f>
        <v>Series E
$$ Invested</v>
      </c>
      <c r="AY15" s="876" t="str">
        <f>AV13&amp;" Prfrd  %"</f>
        <v>Series E Prfrd  %</v>
      </c>
      <c r="AZ15" s="876" t="s">
        <v>38</v>
      </c>
      <c r="BA15" s="876" t="s">
        <v>39</v>
      </c>
      <c r="BB15" s="876" t="s">
        <v>40</v>
      </c>
      <c r="BC15" s="876" t="s">
        <v>41</v>
      </c>
      <c r="BD15" s="877" t="str">
        <f>BD13&amp;" Prfrd"</f>
        <v>Series E-1 Prfrd</v>
      </c>
      <c r="BE15" s="876" t="str">
        <f>BD13&amp;" Warrants"</f>
        <v>Series E-1 Warrants</v>
      </c>
      <c r="BF15" s="876" t="str">
        <f>BD13&amp;
"
$$ Invested"</f>
        <v>Series E-1
$$ Invested</v>
      </c>
      <c r="BG15" s="876" t="str">
        <f>BD13&amp;" Prfrd  %"</f>
        <v>Series E-1 Prfrd  %</v>
      </c>
      <c r="BH15" s="876" t="s">
        <v>38</v>
      </c>
      <c r="BI15" s="876" t="s">
        <v>39</v>
      </c>
      <c r="BJ15" s="876" t="s">
        <v>40</v>
      </c>
      <c r="BK15" s="876" t="s">
        <v>41</v>
      </c>
      <c r="BL15" s="877" t="str">
        <f>BL13&amp;" Prfrd"</f>
        <v>Series F Prfrd</v>
      </c>
      <c r="BM15" s="876" t="str">
        <f>BL13&amp;" Warrants"</f>
        <v>Series F Warrants</v>
      </c>
      <c r="BN15" s="876" t="str">
        <f>BL13&amp;
"
$$ Invested"</f>
        <v>Series F
$$ Invested</v>
      </c>
      <c r="BO15" s="876" t="str">
        <f>BL13&amp;" Prfrd  %"</f>
        <v>Series F Prfrd  %</v>
      </c>
      <c r="BP15" s="876" t="s">
        <v>38</v>
      </c>
      <c r="BQ15" s="876" t="s">
        <v>39</v>
      </c>
      <c r="BR15" s="876" t="s">
        <v>40</v>
      </c>
      <c r="BS15" s="876" t="s">
        <v>41</v>
      </c>
      <c r="BT15" s="876" t="str">
        <f>BT13&amp;" Prfrd"</f>
        <v>Series G Prfrd</v>
      </c>
      <c r="BU15" s="876" t="str">
        <f>BT13&amp;" Warrants"</f>
        <v>Series G Warrants</v>
      </c>
      <c r="BV15" s="876" t="str">
        <f>BT13&amp;
"
$$ Invested"</f>
        <v>Series G
$$ Invested</v>
      </c>
      <c r="BW15" s="876" t="str">
        <f>BT13&amp;" Prfrd  %"</f>
        <v>Series G Prfrd  %</v>
      </c>
      <c r="BX15" s="876" t="s">
        <v>38</v>
      </c>
      <c r="BY15" s="876" t="s">
        <v>39</v>
      </c>
      <c r="BZ15" s="876" t="s">
        <v>40</v>
      </c>
      <c r="CA15" s="876" t="s">
        <v>41</v>
      </c>
      <c r="CB15" s="871"/>
      <c r="CC15" s="876" t="s">
        <v>42</v>
      </c>
      <c r="CD15" s="180"/>
      <c r="CE15" s="180"/>
    </row>
    <row r="16" spans="1:83" s="943" customFormat="1" ht="15.75" customHeight="1" x14ac:dyDescent="0.45">
      <c r="A16" s="852"/>
      <c r="B16" s="852"/>
      <c r="C16" s="942">
        <v>1</v>
      </c>
      <c r="D16" s="853" t="s">
        <v>43</v>
      </c>
      <c r="E16" s="854"/>
      <c r="F16" s="854"/>
      <c r="G16" s="854"/>
      <c r="H16" s="855" t="e">
        <f>IF(H13=$E$6,$E$8/G55,)</f>
        <v>#DIV/0!</v>
      </c>
      <c r="I16" s="855" t="e">
        <f>H16</f>
        <v>#DIV/0!</v>
      </c>
      <c r="J16" s="856"/>
      <c r="K16" s="856"/>
      <c r="L16" s="856"/>
      <c r="M16" s="856"/>
      <c r="N16" s="856"/>
      <c r="O16" s="856"/>
      <c r="P16" s="855">
        <f>IF(P13=$E$6,$E$8/M55,)</f>
        <v>0</v>
      </c>
      <c r="Q16" s="855">
        <f>P16</f>
        <v>0</v>
      </c>
      <c r="R16" s="856"/>
      <c r="S16" s="856"/>
      <c r="T16" s="856"/>
      <c r="U16" s="856"/>
      <c r="V16" s="856"/>
      <c r="W16" s="856"/>
      <c r="X16" s="855">
        <f t="shared" ref="X16" si="2">IF(X13=$E$6,$E$8/U55,)</f>
        <v>0</v>
      </c>
      <c r="Y16" s="855">
        <f>X16</f>
        <v>0</v>
      </c>
      <c r="Z16" s="856"/>
      <c r="AA16" s="856"/>
      <c r="AB16" s="856"/>
      <c r="AC16" s="856"/>
      <c r="AD16" s="856"/>
      <c r="AE16" s="856"/>
      <c r="AF16" s="855">
        <f>IF(AF13=$E$6,$E$8/AC55,)</f>
        <v>0</v>
      </c>
      <c r="AG16" s="855">
        <f>AF16</f>
        <v>0</v>
      </c>
      <c r="AH16" s="856"/>
      <c r="AI16" s="856"/>
      <c r="AJ16" s="856"/>
      <c r="AK16" s="856"/>
      <c r="AL16" s="856"/>
      <c r="AM16" s="856"/>
      <c r="AN16" s="855">
        <f>IF(AN13=$E$6,$E$8/AK55,)</f>
        <v>0</v>
      </c>
      <c r="AO16" s="855">
        <f>AN16</f>
        <v>0</v>
      </c>
      <c r="AP16" s="856"/>
      <c r="AQ16" s="856"/>
      <c r="AR16" s="856"/>
      <c r="AS16" s="856"/>
      <c r="AT16" s="856"/>
      <c r="AU16" s="856"/>
      <c r="AV16" s="855">
        <f>IF(AV13=$E$6,$E$8/AS55,)</f>
        <v>0</v>
      </c>
      <c r="AW16" s="855">
        <f>AV16</f>
        <v>0</v>
      </c>
      <c r="AX16" s="856"/>
      <c r="AY16" s="856"/>
      <c r="AZ16" s="856"/>
      <c r="BA16" s="856"/>
      <c r="BB16" s="856"/>
      <c r="BC16" s="856"/>
      <c r="BD16" s="855">
        <f>IF(BD13=$E$6,$E$8/BA55,)</f>
        <v>0</v>
      </c>
      <c r="BE16" s="855">
        <f>BD16</f>
        <v>0</v>
      </c>
      <c r="BF16" s="856"/>
      <c r="BG16" s="856"/>
      <c r="BH16" s="856"/>
      <c r="BI16" s="856"/>
      <c r="BJ16" s="856"/>
      <c r="BK16" s="856"/>
      <c r="BL16" s="855">
        <f>IF(BL13=$E$6,$E$8/BI55,)</f>
        <v>0</v>
      </c>
      <c r="BM16" s="855">
        <f>BL16</f>
        <v>0</v>
      </c>
      <c r="BN16" s="856"/>
      <c r="BO16" s="856"/>
      <c r="BP16" s="856"/>
      <c r="BQ16" s="856"/>
      <c r="BR16" s="856"/>
      <c r="BS16" s="856"/>
      <c r="BT16" s="855">
        <f>IF(BT13=$E$6,$E$8/BQ55,)</f>
        <v>0</v>
      </c>
      <c r="BU16" s="855">
        <f>BT16</f>
        <v>0</v>
      </c>
      <c r="BV16" s="856"/>
      <c r="BW16" s="856"/>
      <c r="BX16" s="856"/>
      <c r="BY16" s="856"/>
      <c r="BZ16" s="856"/>
      <c r="CA16" s="857"/>
      <c r="CB16" s="852"/>
      <c r="CC16" s="858"/>
      <c r="CD16" s="852"/>
      <c r="CE16" s="852"/>
    </row>
    <row r="17" spans="1:89" s="943" customFormat="1" ht="15.75" customHeight="1" x14ac:dyDescent="0.45">
      <c r="A17" s="852"/>
      <c r="B17" s="852"/>
      <c r="C17" s="942">
        <v>2</v>
      </c>
      <c r="D17" s="853" t="s">
        <v>44</v>
      </c>
      <c r="E17" s="854"/>
      <c r="F17" s="854"/>
      <c r="G17" s="854"/>
      <c r="H17" s="859">
        <v>1</v>
      </c>
      <c r="I17" s="856"/>
      <c r="J17" s="856"/>
      <c r="K17" s="856"/>
      <c r="L17" s="856"/>
      <c r="M17" s="856"/>
      <c r="N17" s="856"/>
      <c r="O17" s="856"/>
      <c r="P17" s="859">
        <v>1</v>
      </c>
      <c r="Q17" s="856"/>
      <c r="R17" s="856"/>
      <c r="S17" s="856"/>
      <c r="T17" s="856"/>
      <c r="U17" s="856"/>
      <c r="V17" s="856"/>
      <c r="W17" s="856"/>
      <c r="X17" s="859">
        <v>1</v>
      </c>
      <c r="Y17" s="856"/>
      <c r="Z17" s="856"/>
      <c r="AA17" s="856"/>
      <c r="AB17" s="856"/>
      <c r="AC17" s="856"/>
      <c r="AD17" s="856"/>
      <c r="AE17" s="856"/>
      <c r="AF17" s="859">
        <v>1</v>
      </c>
      <c r="AG17" s="856"/>
      <c r="AH17" s="856"/>
      <c r="AI17" s="856"/>
      <c r="AJ17" s="856"/>
      <c r="AK17" s="856"/>
      <c r="AL17" s="856"/>
      <c r="AM17" s="856"/>
      <c r="AN17" s="859">
        <v>1</v>
      </c>
      <c r="AO17" s="856"/>
      <c r="AP17" s="856"/>
      <c r="AQ17" s="856"/>
      <c r="AR17" s="856"/>
      <c r="AS17" s="856"/>
      <c r="AT17" s="856"/>
      <c r="AU17" s="856"/>
      <c r="AV17" s="859">
        <v>1</v>
      </c>
      <c r="AW17" s="856"/>
      <c r="AX17" s="856"/>
      <c r="AY17" s="856"/>
      <c r="AZ17" s="856"/>
      <c r="BA17" s="856"/>
      <c r="BB17" s="856"/>
      <c r="BC17" s="856"/>
      <c r="BD17" s="859">
        <v>1</v>
      </c>
      <c r="BE17" s="856"/>
      <c r="BF17" s="856"/>
      <c r="BG17" s="856"/>
      <c r="BH17" s="856"/>
      <c r="BI17" s="856"/>
      <c r="BJ17" s="856"/>
      <c r="BK17" s="856"/>
      <c r="BL17" s="859">
        <v>1</v>
      </c>
      <c r="BM17" s="856"/>
      <c r="BN17" s="856"/>
      <c r="BO17" s="856"/>
      <c r="BP17" s="856"/>
      <c r="BQ17" s="856"/>
      <c r="BR17" s="856"/>
      <c r="BS17" s="856"/>
      <c r="BT17" s="859">
        <v>1</v>
      </c>
      <c r="BU17" s="856"/>
      <c r="BV17" s="856"/>
      <c r="BW17" s="856"/>
      <c r="BX17" s="856"/>
      <c r="BY17" s="856"/>
      <c r="BZ17" s="856"/>
      <c r="CA17" s="860"/>
      <c r="CB17" s="852"/>
      <c r="CC17" s="861"/>
      <c r="CD17" s="852"/>
      <c r="CE17" s="852"/>
    </row>
    <row r="18" spans="1:89" s="943" customFormat="1" ht="15.75" customHeight="1" x14ac:dyDescent="0.45">
      <c r="A18" s="852"/>
      <c r="B18" s="852"/>
      <c r="C18" s="942">
        <v>3</v>
      </c>
      <c r="D18" s="853" t="s">
        <v>45</v>
      </c>
      <c r="E18" s="862"/>
      <c r="F18" s="862"/>
      <c r="G18" s="862"/>
      <c r="H18" s="863">
        <v>3</v>
      </c>
      <c r="I18" s="864"/>
      <c r="J18" s="864"/>
      <c r="K18" s="864"/>
      <c r="L18" s="864"/>
      <c r="M18" s="864"/>
      <c r="N18" s="864"/>
      <c r="O18" s="864"/>
      <c r="P18" s="863">
        <v>3</v>
      </c>
      <c r="Q18" s="865"/>
      <c r="R18" s="864"/>
      <c r="S18" s="864"/>
      <c r="T18" s="864"/>
      <c r="U18" s="864"/>
      <c r="V18" s="864"/>
      <c r="W18" s="864"/>
      <c r="X18" s="863">
        <v>3</v>
      </c>
      <c r="Y18" s="864"/>
      <c r="Z18" s="864"/>
      <c r="AA18" s="864"/>
      <c r="AB18" s="864"/>
      <c r="AC18" s="864"/>
      <c r="AD18" s="864"/>
      <c r="AE18" s="864"/>
      <c r="AF18" s="863">
        <v>3</v>
      </c>
      <c r="AG18" s="864"/>
      <c r="AH18" s="864"/>
      <c r="AI18" s="864"/>
      <c r="AJ18" s="864"/>
      <c r="AK18" s="864"/>
      <c r="AL18" s="864"/>
      <c r="AM18" s="864"/>
      <c r="AN18" s="863">
        <v>3</v>
      </c>
      <c r="AO18" s="864"/>
      <c r="AP18" s="864"/>
      <c r="AQ18" s="864"/>
      <c r="AR18" s="864"/>
      <c r="AS18" s="864"/>
      <c r="AT18" s="864"/>
      <c r="AU18" s="864"/>
      <c r="AV18" s="863">
        <v>3</v>
      </c>
      <c r="AW18" s="864"/>
      <c r="AX18" s="864"/>
      <c r="AY18" s="864"/>
      <c r="AZ18" s="864"/>
      <c r="BA18" s="864"/>
      <c r="BB18" s="864"/>
      <c r="BC18" s="864"/>
      <c r="BD18" s="863">
        <v>3</v>
      </c>
      <c r="BE18" s="865"/>
      <c r="BF18" s="864"/>
      <c r="BG18" s="864"/>
      <c r="BH18" s="864"/>
      <c r="BI18" s="864"/>
      <c r="BJ18" s="864"/>
      <c r="BK18" s="864"/>
      <c r="BL18" s="863">
        <v>3</v>
      </c>
      <c r="BM18" s="865"/>
      <c r="BN18" s="864"/>
      <c r="BO18" s="864"/>
      <c r="BP18" s="864"/>
      <c r="BQ18" s="864"/>
      <c r="BR18" s="864"/>
      <c r="BS18" s="864"/>
      <c r="BT18" s="863">
        <v>3</v>
      </c>
      <c r="BU18" s="865"/>
      <c r="BV18" s="864"/>
      <c r="BW18" s="864"/>
      <c r="BX18" s="864"/>
      <c r="BY18" s="864"/>
      <c r="BZ18" s="864"/>
      <c r="CA18" s="866"/>
      <c r="CB18" s="867"/>
      <c r="CC18" s="868"/>
      <c r="CD18" s="852"/>
      <c r="CE18" s="852"/>
    </row>
    <row r="19" spans="1:89" s="181" customFormat="1" ht="11.25" customHeight="1" x14ac:dyDescent="0.55000000000000004">
      <c r="A19" s="180"/>
      <c r="B19" s="180"/>
      <c r="C19" s="179"/>
      <c r="D19" s="871"/>
      <c r="E19" s="871"/>
      <c r="F19" s="871"/>
      <c r="G19" s="879"/>
      <c r="H19" s="871"/>
      <c r="I19" s="871"/>
      <c r="J19" s="875"/>
      <c r="K19" s="871"/>
      <c r="L19" s="871"/>
      <c r="M19" s="875"/>
      <c r="N19" s="871"/>
      <c r="O19" s="879"/>
      <c r="P19" s="871"/>
      <c r="Q19" s="871"/>
      <c r="R19" s="875"/>
      <c r="S19" s="871"/>
      <c r="T19" s="871"/>
      <c r="U19" s="875"/>
      <c r="V19" s="871"/>
      <c r="W19" s="879"/>
      <c r="X19" s="871"/>
      <c r="Y19" s="871"/>
      <c r="Z19" s="875"/>
      <c r="AA19" s="871"/>
      <c r="AB19" s="871"/>
      <c r="AC19" s="875"/>
      <c r="AD19" s="871"/>
      <c r="AE19" s="879"/>
      <c r="AF19" s="871"/>
      <c r="AG19" s="871"/>
      <c r="AH19" s="875"/>
      <c r="AI19" s="871"/>
      <c r="AJ19" s="871"/>
      <c r="AK19" s="875"/>
      <c r="AL19" s="871"/>
      <c r="AM19" s="879"/>
      <c r="AN19" s="871"/>
      <c r="AO19" s="871"/>
      <c r="AP19" s="875"/>
      <c r="AQ19" s="871"/>
      <c r="AR19" s="871"/>
      <c r="AS19" s="875"/>
      <c r="AT19" s="871"/>
      <c r="AU19" s="879"/>
      <c r="AV19" s="871"/>
      <c r="AW19" s="871"/>
      <c r="AX19" s="880"/>
      <c r="AY19" s="871"/>
      <c r="AZ19" s="871"/>
      <c r="BA19" s="875"/>
      <c r="BB19" s="871"/>
      <c r="BC19" s="879"/>
      <c r="BD19" s="871"/>
      <c r="BE19" s="871"/>
      <c r="BF19" s="875"/>
      <c r="BG19" s="871"/>
      <c r="BH19" s="871"/>
      <c r="BI19" s="875"/>
      <c r="BJ19" s="871"/>
      <c r="BK19" s="879"/>
      <c r="BL19" s="871"/>
      <c r="BM19" s="871"/>
      <c r="BN19" s="875"/>
      <c r="BO19" s="871"/>
      <c r="BP19" s="871"/>
      <c r="BQ19" s="875"/>
      <c r="BR19" s="871"/>
      <c r="BS19" s="879"/>
      <c r="BT19" s="871"/>
      <c r="BU19" s="871"/>
      <c r="BV19" s="875"/>
      <c r="BW19" s="871"/>
      <c r="BX19" s="871"/>
      <c r="BY19" s="875"/>
      <c r="BZ19" s="871"/>
      <c r="CA19" s="879"/>
      <c r="CB19" s="871"/>
      <c r="CC19" s="875"/>
      <c r="CD19" s="180"/>
      <c r="CE19" s="180"/>
    </row>
    <row r="20" spans="1:89" ht="21.75" customHeight="1" x14ac:dyDescent="0.55000000000000004">
      <c r="A20" s="180"/>
      <c r="B20" s="180"/>
      <c r="D20" s="881" t="s">
        <v>46</v>
      </c>
      <c r="E20" s="882"/>
      <c r="F20" s="882"/>
      <c r="G20" s="882"/>
      <c r="H20" s="883"/>
      <c r="I20" s="884"/>
      <c r="J20" s="885" t="e">
        <f>H20*H$16+I20*I$16</f>
        <v>#DIV/0!</v>
      </c>
      <c r="K20" s="886">
        <f t="shared" ref="K20:K49" si="3">IF(H20=0,0,H20/H$55)</f>
        <v>0</v>
      </c>
      <c r="L20" s="887">
        <f>$H20</f>
        <v>0</v>
      </c>
      <c r="M20" s="887">
        <f>SUM($E20:$G20)+$H20+$I20</f>
        <v>0</v>
      </c>
      <c r="N20" s="886" t="e">
        <f t="shared" ref="N20:N49" si="4">L20/L$55</f>
        <v>#DIV/0!</v>
      </c>
      <c r="O20" s="886" t="e">
        <f t="shared" ref="O20:O49" si="5">M20/M$55</f>
        <v>#DIV/0!</v>
      </c>
      <c r="P20" s="883"/>
      <c r="Q20" s="884"/>
      <c r="R20" s="885">
        <f t="shared" ref="R20:R49" si="6">P20*P$16+Q20*Q$16</f>
        <v>0</v>
      </c>
      <c r="S20" s="886">
        <f t="shared" ref="S20:S49" si="7">IF(P20=0,0,P20/P$55)</f>
        <v>0</v>
      </c>
      <c r="T20" s="887">
        <f>L20+P20</f>
        <v>0</v>
      </c>
      <c r="U20" s="887">
        <f>M20+P20+Q20</f>
        <v>0</v>
      </c>
      <c r="V20" s="886" t="e">
        <f t="shared" ref="V20:V49" si="8">T20/T$55</f>
        <v>#DIV/0!</v>
      </c>
      <c r="W20" s="886" t="e">
        <f t="shared" ref="W20:W49" si="9">U20/U$55</f>
        <v>#DIV/0!</v>
      </c>
      <c r="X20" s="883"/>
      <c r="Y20" s="884"/>
      <c r="Z20" s="885">
        <f t="shared" ref="Z20:Z49" si="10">X20*X$16+Y20*Y$16</f>
        <v>0</v>
      </c>
      <c r="AA20" s="886">
        <f t="shared" ref="AA20:AA49" si="11">IF(X20=0,0,X20/X$55)</f>
        <v>0</v>
      </c>
      <c r="AB20" s="887">
        <f>T20+X20</f>
        <v>0</v>
      </c>
      <c r="AC20" s="887">
        <f>U20+X20+Y20</f>
        <v>0</v>
      </c>
      <c r="AD20" s="886" t="e">
        <f t="shared" ref="AD20:AD49" si="12">AB20/AB$55</f>
        <v>#DIV/0!</v>
      </c>
      <c r="AE20" s="886" t="e">
        <f t="shared" ref="AE20:AE49" si="13">AC20/AC$55</f>
        <v>#DIV/0!</v>
      </c>
      <c r="AF20" s="883"/>
      <c r="AG20" s="884"/>
      <c r="AH20" s="885">
        <f t="shared" ref="AH20:AH49" si="14">AF20*AF$16+AG20*AG$16</f>
        <v>0</v>
      </c>
      <c r="AI20" s="886">
        <f t="shared" ref="AI20:AI49" si="15">IF(AF20=0,0,AF20/AF$55)</f>
        <v>0</v>
      </c>
      <c r="AJ20" s="887">
        <f>AB20+AF20</f>
        <v>0</v>
      </c>
      <c r="AK20" s="887">
        <f>AC20+AF20+AG20</f>
        <v>0</v>
      </c>
      <c r="AL20" s="886" t="e">
        <f t="shared" ref="AL20:AL49" si="16">AJ20/AJ$55</f>
        <v>#DIV/0!</v>
      </c>
      <c r="AM20" s="886" t="e">
        <f t="shared" ref="AM20:AM49" si="17">AK20/AK$55</f>
        <v>#DIV/0!</v>
      </c>
      <c r="AN20" s="883"/>
      <c r="AO20" s="884"/>
      <c r="AP20" s="885">
        <f t="shared" ref="AP20:AP49" si="18">AN20*AN$16+AO20*AO$16</f>
        <v>0</v>
      </c>
      <c r="AQ20" s="886">
        <f t="shared" ref="AQ20:AQ49" si="19">IF(AN20=0,0,AN20/AN$55)</f>
        <v>0</v>
      </c>
      <c r="AR20" s="887">
        <f>AJ20+AN20</f>
        <v>0</v>
      </c>
      <c r="AS20" s="887">
        <f>AK20+AN20+AO20</f>
        <v>0</v>
      </c>
      <c r="AT20" s="886" t="e">
        <f t="shared" ref="AT20:AT49" si="20">AR20/AR$55</f>
        <v>#DIV/0!</v>
      </c>
      <c r="AU20" s="886" t="e">
        <f t="shared" ref="AU20:AU49" si="21">AS20/AS$55</f>
        <v>#DIV/0!</v>
      </c>
      <c r="AV20" s="883"/>
      <c r="AW20" s="884"/>
      <c r="AX20" s="885">
        <f t="shared" ref="AX20:AX49" si="22">AV20*AV$16+AW20*AW$16</f>
        <v>0</v>
      </c>
      <c r="AY20" s="886">
        <f t="shared" ref="AY20:AY49" si="23">IF(AV20=0,0,AV20/AV$55)</f>
        <v>0</v>
      </c>
      <c r="AZ20" s="887">
        <f>AR20+AV20</f>
        <v>0</v>
      </c>
      <c r="BA20" s="887">
        <f>AS20+AV20+AW20</f>
        <v>0</v>
      </c>
      <c r="BB20" s="886" t="e">
        <f t="shared" ref="BB20:BB49" si="24">AZ20/AZ$55</f>
        <v>#DIV/0!</v>
      </c>
      <c r="BC20" s="886" t="e">
        <f t="shared" ref="BC20:BC49" si="25">BA20/BA$55</f>
        <v>#DIV/0!</v>
      </c>
      <c r="BD20" s="888"/>
      <c r="BE20" s="884"/>
      <c r="BF20" s="885">
        <f t="shared" ref="BF20:BF49" si="26">BD20*BD$16+BE20*BE$16</f>
        <v>0</v>
      </c>
      <c r="BG20" s="886">
        <f t="shared" ref="BG20:BG49" si="27">IF(BD20=0,0,BD20/BD$55)</f>
        <v>0</v>
      </c>
      <c r="BH20" s="887">
        <f>AZ20+BD20</f>
        <v>0</v>
      </c>
      <c r="BI20" s="887">
        <f>BA20+BD20+BE20</f>
        <v>0</v>
      </c>
      <c r="BJ20" s="886" t="e">
        <f t="shared" ref="BJ20:BJ49" si="28">BH20/BH$55</f>
        <v>#DIV/0!</v>
      </c>
      <c r="BK20" s="886" t="e">
        <f t="shared" ref="BK20:BK49" si="29">BI20/BI$55</f>
        <v>#DIV/0!</v>
      </c>
      <c r="BL20" s="883"/>
      <c r="BM20" s="884"/>
      <c r="BN20" s="885">
        <f t="shared" ref="BN20:BN49" si="30">BL20*BL$16+BM20*BM$16</f>
        <v>0</v>
      </c>
      <c r="BO20" s="886">
        <f t="shared" ref="BO20:BO49" si="31">IF(BL20=0,0,BL20/BL$55)</f>
        <v>0</v>
      </c>
      <c r="BP20" s="887">
        <f>BH20+BL20</f>
        <v>0</v>
      </c>
      <c r="BQ20" s="887">
        <f>BI20+BL20+BM20</f>
        <v>0</v>
      </c>
      <c r="BR20" s="886" t="e">
        <f t="shared" ref="BR20:BR49" si="32">BP20/BP$55</f>
        <v>#DIV/0!</v>
      </c>
      <c r="BS20" s="886" t="e">
        <f t="shared" ref="BS20:BS49" si="33">BQ20/BQ$55</f>
        <v>#DIV/0!</v>
      </c>
      <c r="BT20" s="883"/>
      <c r="BU20" s="884"/>
      <c r="BV20" s="885">
        <f t="shared" ref="BV20:BV49" si="34">BT20*BT$16+BU20*BU$16</f>
        <v>0</v>
      </c>
      <c r="BW20" s="886">
        <f t="shared" ref="BW20:BW49" si="35">IF(BT20=0,0,BT20/BT$55)</f>
        <v>0</v>
      </c>
      <c r="BX20" s="887">
        <f>BP20+BT20</f>
        <v>0</v>
      </c>
      <c r="BY20" s="887">
        <f>BQ20+BT20+BU20</f>
        <v>0</v>
      </c>
      <c r="BZ20" s="886" t="e">
        <f t="shared" ref="BZ20:BZ49" si="36">BX20/BX$55</f>
        <v>#DIV/0!</v>
      </c>
      <c r="CA20" s="886" t="e">
        <f t="shared" ref="CA20:CA49" si="37">BY20/BY$55</f>
        <v>#DIV/0!</v>
      </c>
      <c r="CB20" s="871"/>
      <c r="CC20" s="889" t="e">
        <f>SUM(J20,R20,Z20,AH20,AP20,AX20,BF20,BN20,BV20)</f>
        <v>#DIV/0!</v>
      </c>
      <c r="CD20" s="180"/>
      <c r="CG20" s="240"/>
    </row>
    <row r="21" spans="1:89" ht="21.75" customHeight="1" x14ac:dyDescent="0.55000000000000004">
      <c r="A21" s="180"/>
      <c r="B21" s="180"/>
      <c r="D21" s="890" t="s">
        <v>47</v>
      </c>
      <c r="E21" s="891"/>
      <c r="F21" s="891"/>
      <c r="G21" s="891"/>
      <c r="H21" s="892"/>
      <c r="I21" s="891"/>
      <c r="J21" s="893" t="e">
        <f t="shared" ref="J21:J49" si="38">H21*H$16+I21*I$16</f>
        <v>#DIV/0!</v>
      </c>
      <c r="K21" s="894">
        <f t="shared" si="3"/>
        <v>0</v>
      </c>
      <c r="L21" s="895">
        <f t="shared" ref="L21:L49" si="39">$H21</f>
        <v>0</v>
      </c>
      <c r="M21" s="895">
        <f>IF(SUM($E21:$G21)+$H21+$I21=0,,SUM($E21:$G21)+$H21+$I21)</f>
        <v>0</v>
      </c>
      <c r="N21" s="894" t="e">
        <f t="shared" si="4"/>
        <v>#DIV/0!</v>
      </c>
      <c r="O21" s="894" t="e">
        <f t="shared" si="5"/>
        <v>#DIV/0!</v>
      </c>
      <c r="P21" s="892"/>
      <c r="Q21" s="891"/>
      <c r="R21" s="893">
        <f t="shared" si="6"/>
        <v>0</v>
      </c>
      <c r="S21" s="894">
        <f t="shared" si="7"/>
        <v>0</v>
      </c>
      <c r="T21" s="895">
        <f t="shared" ref="T21:T49" si="40">L21+P21</f>
        <v>0</v>
      </c>
      <c r="U21" s="895">
        <f t="shared" ref="U21:U49" si="41">M21+P21+Q21</f>
        <v>0</v>
      </c>
      <c r="V21" s="894" t="e">
        <f t="shared" si="8"/>
        <v>#DIV/0!</v>
      </c>
      <c r="W21" s="894" t="e">
        <f t="shared" si="9"/>
        <v>#DIV/0!</v>
      </c>
      <c r="X21" s="892"/>
      <c r="Y21" s="891"/>
      <c r="Z21" s="893">
        <f t="shared" si="10"/>
        <v>0</v>
      </c>
      <c r="AA21" s="894">
        <f t="shared" si="11"/>
        <v>0</v>
      </c>
      <c r="AB21" s="895">
        <f t="shared" ref="AB21:AB49" si="42">T21+X21</f>
        <v>0</v>
      </c>
      <c r="AC21" s="895">
        <f t="shared" ref="AC21:AC49" si="43">U21+X21+Y21</f>
        <v>0</v>
      </c>
      <c r="AD21" s="894" t="e">
        <f t="shared" si="12"/>
        <v>#DIV/0!</v>
      </c>
      <c r="AE21" s="894" t="e">
        <f t="shared" si="13"/>
        <v>#DIV/0!</v>
      </c>
      <c r="AF21" s="892"/>
      <c r="AG21" s="891"/>
      <c r="AH21" s="893">
        <f t="shared" si="14"/>
        <v>0</v>
      </c>
      <c r="AI21" s="894">
        <f t="shared" si="15"/>
        <v>0</v>
      </c>
      <c r="AJ21" s="895">
        <f t="shared" ref="AJ21:AJ49" si="44">AB21+AF21</f>
        <v>0</v>
      </c>
      <c r="AK21" s="895">
        <f t="shared" ref="AK21:AK49" si="45">AC21+AF21+AG21</f>
        <v>0</v>
      </c>
      <c r="AL21" s="894" t="e">
        <f t="shared" si="16"/>
        <v>#DIV/0!</v>
      </c>
      <c r="AM21" s="894" t="e">
        <f t="shared" si="17"/>
        <v>#DIV/0!</v>
      </c>
      <c r="AN21" s="892"/>
      <c r="AO21" s="891"/>
      <c r="AP21" s="893">
        <f t="shared" si="18"/>
        <v>0</v>
      </c>
      <c r="AQ21" s="894">
        <f t="shared" si="19"/>
        <v>0</v>
      </c>
      <c r="AR21" s="895">
        <f t="shared" ref="AR21:AR49" si="46">AJ21+AN21</f>
        <v>0</v>
      </c>
      <c r="AS21" s="895">
        <f t="shared" ref="AS21:AS49" si="47">AK21+AN21+AO21</f>
        <v>0</v>
      </c>
      <c r="AT21" s="894" t="e">
        <f t="shared" si="20"/>
        <v>#DIV/0!</v>
      </c>
      <c r="AU21" s="894" t="e">
        <f t="shared" si="21"/>
        <v>#DIV/0!</v>
      </c>
      <c r="AV21" s="892"/>
      <c r="AW21" s="891"/>
      <c r="AX21" s="893">
        <f t="shared" si="22"/>
        <v>0</v>
      </c>
      <c r="AY21" s="894">
        <f t="shared" si="23"/>
        <v>0</v>
      </c>
      <c r="AZ21" s="895">
        <f t="shared" ref="AZ21:AZ49" si="48">AR21+AV21</f>
        <v>0</v>
      </c>
      <c r="BA21" s="895">
        <f t="shared" ref="BA21:BA49" si="49">AS21+AV21+AW21</f>
        <v>0</v>
      </c>
      <c r="BB21" s="894" t="e">
        <f t="shared" si="24"/>
        <v>#DIV/0!</v>
      </c>
      <c r="BC21" s="894" t="e">
        <f t="shared" si="25"/>
        <v>#DIV/0!</v>
      </c>
      <c r="BD21" s="896"/>
      <c r="BE21" s="891"/>
      <c r="BF21" s="893">
        <f t="shared" si="26"/>
        <v>0</v>
      </c>
      <c r="BG21" s="894">
        <f t="shared" si="27"/>
        <v>0</v>
      </c>
      <c r="BH21" s="895">
        <f t="shared" ref="BH21:BH49" si="50">AZ21+BD21</f>
        <v>0</v>
      </c>
      <c r="BI21" s="895">
        <f t="shared" ref="BI21:BI49" si="51">BA21+BD21+BE21</f>
        <v>0</v>
      </c>
      <c r="BJ21" s="894" t="e">
        <f t="shared" si="28"/>
        <v>#DIV/0!</v>
      </c>
      <c r="BK21" s="894" t="e">
        <f t="shared" si="29"/>
        <v>#DIV/0!</v>
      </c>
      <c r="BL21" s="892"/>
      <c r="BM21" s="891"/>
      <c r="BN21" s="893">
        <f t="shared" si="30"/>
        <v>0</v>
      </c>
      <c r="BO21" s="894">
        <f t="shared" si="31"/>
        <v>0</v>
      </c>
      <c r="BP21" s="895">
        <f t="shared" ref="BP21:BP49" si="52">BH21+BL21</f>
        <v>0</v>
      </c>
      <c r="BQ21" s="895">
        <f t="shared" ref="BQ21:BQ49" si="53">BI21+BL21+BM21</f>
        <v>0</v>
      </c>
      <c r="BR21" s="894" t="e">
        <f t="shared" si="32"/>
        <v>#DIV/0!</v>
      </c>
      <c r="BS21" s="894" t="e">
        <f t="shared" si="33"/>
        <v>#DIV/0!</v>
      </c>
      <c r="BT21" s="892"/>
      <c r="BU21" s="891"/>
      <c r="BV21" s="893">
        <f t="shared" si="34"/>
        <v>0</v>
      </c>
      <c r="BW21" s="894">
        <f t="shared" si="35"/>
        <v>0</v>
      </c>
      <c r="BX21" s="895">
        <f t="shared" ref="BX21:BX49" si="54">BP21+BT21</f>
        <v>0</v>
      </c>
      <c r="BY21" s="895">
        <f t="shared" ref="BY21:BY49" si="55">BQ21+BT21+BU21</f>
        <v>0</v>
      </c>
      <c r="BZ21" s="894" t="e">
        <f t="shared" si="36"/>
        <v>#DIV/0!</v>
      </c>
      <c r="CA21" s="894" t="e">
        <f t="shared" si="37"/>
        <v>#DIV/0!</v>
      </c>
      <c r="CB21" s="871"/>
      <c r="CC21" s="889" t="e">
        <f t="shared" ref="CC21:CC55" si="56">SUM(J21,R21,Z21,AH21,AP21,AX21,BF21,BN21,BV21)</f>
        <v>#DIV/0!</v>
      </c>
      <c r="CD21" s="180"/>
      <c r="CE21" s="180"/>
    </row>
    <row r="22" spans="1:89" ht="21.75" customHeight="1" x14ac:dyDescent="0.55000000000000004">
      <c r="A22" s="180"/>
      <c r="B22" s="180"/>
      <c r="D22" s="890" t="s">
        <v>48</v>
      </c>
      <c r="E22" s="891"/>
      <c r="F22" s="891"/>
      <c r="G22" s="891"/>
      <c r="H22" s="892"/>
      <c r="I22" s="891"/>
      <c r="J22" s="897" t="e">
        <f t="shared" si="38"/>
        <v>#DIV/0!</v>
      </c>
      <c r="K22" s="898">
        <f t="shared" si="3"/>
        <v>0</v>
      </c>
      <c r="L22" s="899">
        <f t="shared" si="39"/>
        <v>0</v>
      </c>
      <c r="M22" s="899">
        <f>IF(SUM($E22:$G22)+$H22+$I22=0,,SUM($E22:$G22)+$H22+$I22)</f>
        <v>0</v>
      </c>
      <c r="N22" s="898" t="e">
        <f t="shared" si="4"/>
        <v>#DIV/0!</v>
      </c>
      <c r="O22" s="898" t="e">
        <f t="shared" si="5"/>
        <v>#DIV/0!</v>
      </c>
      <c r="P22" s="892"/>
      <c r="Q22" s="891"/>
      <c r="R22" s="897">
        <f t="shared" si="6"/>
        <v>0</v>
      </c>
      <c r="S22" s="898">
        <f t="shared" si="7"/>
        <v>0</v>
      </c>
      <c r="T22" s="899">
        <f t="shared" si="40"/>
        <v>0</v>
      </c>
      <c r="U22" s="899">
        <f t="shared" si="41"/>
        <v>0</v>
      </c>
      <c r="V22" s="898" t="e">
        <f t="shared" si="8"/>
        <v>#DIV/0!</v>
      </c>
      <c r="W22" s="898" t="e">
        <f t="shared" si="9"/>
        <v>#DIV/0!</v>
      </c>
      <c r="X22" s="892"/>
      <c r="Y22" s="891"/>
      <c r="Z22" s="897">
        <f t="shared" si="10"/>
        <v>0</v>
      </c>
      <c r="AA22" s="898">
        <f t="shared" si="11"/>
        <v>0</v>
      </c>
      <c r="AB22" s="899">
        <f t="shared" si="42"/>
        <v>0</v>
      </c>
      <c r="AC22" s="899">
        <f t="shared" si="43"/>
        <v>0</v>
      </c>
      <c r="AD22" s="898" t="e">
        <f t="shared" si="12"/>
        <v>#DIV/0!</v>
      </c>
      <c r="AE22" s="898" t="e">
        <f t="shared" si="13"/>
        <v>#DIV/0!</v>
      </c>
      <c r="AF22" s="892"/>
      <c r="AG22" s="891"/>
      <c r="AH22" s="897">
        <f t="shared" si="14"/>
        <v>0</v>
      </c>
      <c r="AI22" s="898">
        <f t="shared" si="15"/>
        <v>0</v>
      </c>
      <c r="AJ22" s="899">
        <f t="shared" si="44"/>
        <v>0</v>
      </c>
      <c r="AK22" s="899">
        <f t="shared" si="45"/>
        <v>0</v>
      </c>
      <c r="AL22" s="898" t="e">
        <f t="shared" si="16"/>
        <v>#DIV/0!</v>
      </c>
      <c r="AM22" s="898" t="e">
        <f t="shared" si="17"/>
        <v>#DIV/0!</v>
      </c>
      <c r="AN22" s="892"/>
      <c r="AO22" s="891"/>
      <c r="AP22" s="897">
        <f t="shared" si="18"/>
        <v>0</v>
      </c>
      <c r="AQ22" s="898">
        <f t="shared" si="19"/>
        <v>0</v>
      </c>
      <c r="AR22" s="899">
        <f t="shared" si="46"/>
        <v>0</v>
      </c>
      <c r="AS22" s="899">
        <f t="shared" si="47"/>
        <v>0</v>
      </c>
      <c r="AT22" s="898" t="e">
        <f t="shared" si="20"/>
        <v>#DIV/0!</v>
      </c>
      <c r="AU22" s="898" t="e">
        <f t="shared" si="21"/>
        <v>#DIV/0!</v>
      </c>
      <c r="AV22" s="892"/>
      <c r="AW22" s="891"/>
      <c r="AX22" s="897">
        <f t="shared" si="22"/>
        <v>0</v>
      </c>
      <c r="AY22" s="898">
        <f t="shared" si="23"/>
        <v>0</v>
      </c>
      <c r="AZ22" s="899">
        <f t="shared" si="48"/>
        <v>0</v>
      </c>
      <c r="BA22" s="899">
        <f t="shared" si="49"/>
        <v>0</v>
      </c>
      <c r="BB22" s="898" t="e">
        <f t="shared" si="24"/>
        <v>#DIV/0!</v>
      </c>
      <c r="BC22" s="898" t="e">
        <f t="shared" si="25"/>
        <v>#DIV/0!</v>
      </c>
      <c r="BD22" s="896"/>
      <c r="BE22" s="891"/>
      <c r="BF22" s="897">
        <f t="shared" si="26"/>
        <v>0</v>
      </c>
      <c r="BG22" s="898">
        <f t="shared" si="27"/>
        <v>0</v>
      </c>
      <c r="BH22" s="899">
        <f t="shared" si="50"/>
        <v>0</v>
      </c>
      <c r="BI22" s="899">
        <f t="shared" si="51"/>
        <v>0</v>
      </c>
      <c r="BJ22" s="898" t="e">
        <f t="shared" si="28"/>
        <v>#DIV/0!</v>
      </c>
      <c r="BK22" s="898" t="e">
        <f t="shared" si="29"/>
        <v>#DIV/0!</v>
      </c>
      <c r="BL22" s="892"/>
      <c r="BM22" s="891"/>
      <c r="BN22" s="897">
        <f t="shared" si="30"/>
        <v>0</v>
      </c>
      <c r="BO22" s="898">
        <f t="shared" si="31"/>
        <v>0</v>
      </c>
      <c r="BP22" s="899">
        <f t="shared" si="52"/>
        <v>0</v>
      </c>
      <c r="BQ22" s="899">
        <f t="shared" si="53"/>
        <v>0</v>
      </c>
      <c r="BR22" s="898" t="e">
        <f t="shared" si="32"/>
        <v>#DIV/0!</v>
      </c>
      <c r="BS22" s="898" t="e">
        <f t="shared" si="33"/>
        <v>#DIV/0!</v>
      </c>
      <c r="BT22" s="892"/>
      <c r="BU22" s="891"/>
      <c r="BV22" s="897">
        <f t="shared" si="34"/>
        <v>0</v>
      </c>
      <c r="BW22" s="898">
        <f t="shared" si="35"/>
        <v>0</v>
      </c>
      <c r="BX22" s="899">
        <f t="shared" si="54"/>
        <v>0</v>
      </c>
      <c r="BY22" s="899">
        <f t="shared" si="55"/>
        <v>0</v>
      </c>
      <c r="BZ22" s="898" t="e">
        <f t="shared" si="36"/>
        <v>#DIV/0!</v>
      </c>
      <c r="CA22" s="898" t="e">
        <f t="shared" si="37"/>
        <v>#DIV/0!</v>
      </c>
      <c r="CB22" s="871"/>
      <c r="CC22" s="889" t="e">
        <f t="shared" si="56"/>
        <v>#DIV/0!</v>
      </c>
      <c r="CD22" s="242"/>
      <c r="CE22" s="242"/>
    </row>
    <row r="23" spans="1:89" ht="21.75" customHeight="1" x14ac:dyDescent="0.55000000000000004">
      <c r="A23" s="180"/>
      <c r="B23" s="180"/>
      <c r="D23" s="890" t="s">
        <v>49</v>
      </c>
      <c r="E23" s="891"/>
      <c r="F23" s="891"/>
      <c r="G23" s="891"/>
      <c r="H23" s="892"/>
      <c r="I23" s="891"/>
      <c r="J23" s="893" t="e">
        <f t="shared" si="38"/>
        <v>#DIV/0!</v>
      </c>
      <c r="K23" s="894">
        <f t="shared" si="3"/>
        <v>0</v>
      </c>
      <c r="L23" s="895">
        <f t="shared" si="39"/>
        <v>0</v>
      </c>
      <c r="M23" s="895">
        <f>IF(SUM($E23:$G23)+$H23+$I23=0,,SUM($E23:$G23)+$H23+$I23)</f>
        <v>0</v>
      </c>
      <c r="N23" s="894" t="e">
        <f t="shared" si="4"/>
        <v>#DIV/0!</v>
      </c>
      <c r="O23" s="894" t="e">
        <f t="shared" si="5"/>
        <v>#DIV/0!</v>
      </c>
      <c r="P23" s="892"/>
      <c r="Q23" s="891"/>
      <c r="R23" s="893">
        <f t="shared" si="6"/>
        <v>0</v>
      </c>
      <c r="S23" s="894">
        <f t="shared" si="7"/>
        <v>0</v>
      </c>
      <c r="T23" s="895">
        <f t="shared" si="40"/>
        <v>0</v>
      </c>
      <c r="U23" s="895">
        <f t="shared" si="41"/>
        <v>0</v>
      </c>
      <c r="V23" s="894" t="e">
        <f t="shared" si="8"/>
        <v>#DIV/0!</v>
      </c>
      <c r="W23" s="894" t="e">
        <f t="shared" si="9"/>
        <v>#DIV/0!</v>
      </c>
      <c r="X23" s="892"/>
      <c r="Y23" s="891"/>
      <c r="Z23" s="893">
        <f t="shared" si="10"/>
        <v>0</v>
      </c>
      <c r="AA23" s="894">
        <f t="shared" si="11"/>
        <v>0</v>
      </c>
      <c r="AB23" s="895">
        <f t="shared" si="42"/>
        <v>0</v>
      </c>
      <c r="AC23" s="895">
        <f t="shared" si="43"/>
        <v>0</v>
      </c>
      <c r="AD23" s="894" t="e">
        <f t="shared" si="12"/>
        <v>#DIV/0!</v>
      </c>
      <c r="AE23" s="894" t="e">
        <f t="shared" si="13"/>
        <v>#DIV/0!</v>
      </c>
      <c r="AF23" s="892"/>
      <c r="AG23" s="891"/>
      <c r="AH23" s="893">
        <f t="shared" si="14"/>
        <v>0</v>
      </c>
      <c r="AI23" s="894">
        <f t="shared" si="15"/>
        <v>0</v>
      </c>
      <c r="AJ23" s="895">
        <f t="shared" si="44"/>
        <v>0</v>
      </c>
      <c r="AK23" s="895">
        <f t="shared" si="45"/>
        <v>0</v>
      </c>
      <c r="AL23" s="894" t="e">
        <f t="shared" si="16"/>
        <v>#DIV/0!</v>
      </c>
      <c r="AM23" s="894" t="e">
        <f t="shared" si="17"/>
        <v>#DIV/0!</v>
      </c>
      <c r="AN23" s="892"/>
      <c r="AO23" s="891"/>
      <c r="AP23" s="893">
        <f t="shared" si="18"/>
        <v>0</v>
      </c>
      <c r="AQ23" s="894">
        <f t="shared" si="19"/>
        <v>0</v>
      </c>
      <c r="AR23" s="895">
        <f t="shared" si="46"/>
        <v>0</v>
      </c>
      <c r="AS23" s="895">
        <f t="shared" si="47"/>
        <v>0</v>
      </c>
      <c r="AT23" s="894" t="e">
        <f t="shared" si="20"/>
        <v>#DIV/0!</v>
      </c>
      <c r="AU23" s="894" t="e">
        <f t="shared" si="21"/>
        <v>#DIV/0!</v>
      </c>
      <c r="AV23" s="892"/>
      <c r="AW23" s="891"/>
      <c r="AX23" s="893">
        <f t="shared" si="22"/>
        <v>0</v>
      </c>
      <c r="AY23" s="894">
        <f t="shared" si="23"/>
        <v>0</v>
      </c>
      <c r="AZ23" s="895">
        <f t="shared" si="48"/>
        <v>0</v>
      </c>
      <c r="BA23" s="895">
        <f t="shared" si="49"/>
        <v>0</v>
      </c>
      <c r="BB23" s="894" t="e">
        <f t="shared" si="24"/>
        <v>#DIV/0!</v>
      </c>
      <c r="BC23" s="894" t="e">
        <f t="shared" si="25"/>
        <v>#DIV/0!</v>
      </c>
      <c r="BD23" s="896"/>
      <c r="BE23" s="891"/>
      <c r="BF23" s="893">
        <f t="shared" si="26"/>
        <v>0</v>
      </c>
      <c r="BG23" s="894">
        <f t="shared" si="27"/>
        <v>0</v>
      </c>
      <c r="BH23" s="895">
        <f t="shared" si="50"/>
        <v>0</v>
      </c>
      <c r="BI23" s="895">
        <f t="shared" si="51"/>
        <v>0</v>
      </c>
      <c r="BJ23" s="894" t="e">
        <f t="shared" si="28"/>
        <v>#DIV/0!</v>
      </c>
      <c r="BK23" s="894" t="e">
        <f t="shared" si="29"/>
        <v>#DIV/0!</v>
      </c>
      <c r="BL23" s="892"/>
      <c r="BM23" s="891"/>
      <c r="BN23" s="893">
        <f t="shared" si="30"/>
        <v>0</v>
      </c>
      <c r="BO23" s="894">
        <f t="shared" si="31"/>
        <v>0</v>
      </c>
      <c r="BP23" s="895">
        <f t="shared" si="52"/>
        <v>0</v>
      </c>
      <c r="BQ23" s="895">
        <f t="shared" si="53"/>
        <v>0</v>
      </c>
      <c r="BR23" s="894" t="e">
        <f t="shared" si="32"/>
        <v>#DIV/0!</v>
      </c>
      <c r="BS23" s="894" t="e">
        <f t="shared" si="33"/>
        <v>#DIV/0!</v>
      </c>
      <c r="BT23" s="892"/>
      <c r="BU23" s="891"/>
      <c r="BV23" s="893">
        <f t="shared" si="34"/>
        <v>0</v>
      </c>
      <c r="BW23" s="894">
        <f t="shared" si="35"/>
        <v>0</v>
      </c>
      <c r="BX23" s="895">
        <f t="shared" si="54"/>
        <v>0</v>
      </c>
      <c r="BY23" s="895">
        <f t="shared" si="55"/>
        <v>0</v>
      </c>
      <c r="BZ23" s="894" t="e">
        <f t="shared" si="36"/>
        <v>#DIV/0!</v>
      </c>
      <c r="CA23" s="894" t="e">
        <f t="shared" si="37"/>
        <v>#DIV/0!</v>
      </c>
      <c r="CB23" s="871"/>
      <c r="CC23" s="889" t="e">
        <f t="shared" si="56"/>
        <v>#DIV/0!</v>
      </c>
      <c r="CD23" s="180"/>
      <c r="CE23" s="180"/>
      <c r="CK23" s="820"/>
    </row>
    <row r="24" spans="1:89" ht="21.75" customHeight="1" x14ac:dyDescent="0.55000000000000004">
      <c r="A24" s="180"/>
      <c r="B24" s="180"/>
      <c r="D24" s="890" t="s">
        <v>50</v>
      </c>
      <c r="E24" s="891"/>
      <c r="F24" s="891"/>
      <c r="G24" s="891"/>
      <c r="H24" s="892"/>
      <c r="I24" s="891"/>
      <c r="J24" s="897" t="e">
        <f t="shared" si="38"/>
        <v>#DIV/0!</v>
      </c>
      <c r="K24" s="898">
        <f t="shared" si="3"/>
        <v>0</v>
      </c>
      <c r="L24" s="899">
        <f t="shared" si="39"/>
        <v>0</v>
      </c>
      <c r="M24" s="899">
        <f>IF(SUM($E24:$G24)+$H24+$I24=0,,SUM($E24:$G24)+$H24+$I24)</f>
        <v>0</v>
      </c>
      <c r="N24" s="898" t="e">
        <f t="shared" si="4"/>
        <v>#DIV/0!</v>
      </c>
      <c r="O24" s="898" t="e">
        <f t="shared" si="5"/>
        <v>#DIV/0!</v>
      </c>
      <c r="P24" s="892"/>
      <c r="Q24" s="891"/>
      <c r="R24" s="897">
        <f t="shared" si="6"/>
        <v>0</v>
      </c>
      <c r="S24" s="898">
        <f t="shared" si="7"/>
        <v>0</v>
      </c>
      <c r="T24" s="899">
        <f t="shared" si="40"/>
        <v>0</v>
      </c>
      <c r="U24" s="899">
        <f t="shared" si="41"/>
        <v>0</v>
      </c>
      <c r="V24" s="898" t="e">
        <f t="shared" si="8"/>
        <v>#DIV/0!</v>
      </c>
      <c r="W24" s="898" t="e">
        <f t="shared" si="9"/>
        <v>#DIV/0!</v>
      </c>
      <c r="X24" s="892"/>
      <c r="Y24" s="891"/>
      <c r="Z24" s="897">
        <f t="shared" si="10"/>
        <v>0</v>
      </c>
      <c r="AA24" s="898">
        <f t="shared" si="11"/>
        <v>0</v>
      </c>
      <c r="AB24" s="899">
        <f t="shared" si="42"/>
        <v>0</v>
      </c>
      <c r="AC24" s="899">
        <f t="shared" si="43"/>
        <v>0</v>
      </c>
      <c r="AD24" s="898" t="e">
        <f t="shared" si="12"/>
        <v>#DIV/0!</v>
      </c>
      <c r="AE24" s="898" t="e">
        <f t="shared" si="13"/>
        <v>#DIV/0!</v>
      </c>
      <c r="AF24" s="892"/>
      <c r="AG24" s="891"/>
      <c r="AH24" s="897">
        <f t="shared" si="14"/>
        <v>0</v>
      </c>
      <c r="AI24" s="898">
        <f t="shared" si="15"/>
        <v>0</v>
      </c>
      <c r="AJ24" s="899">
        <f t="shared" si="44"/>
        <v>0</v>
      </c>
      <c r="AK24" s="899">
        <f t="shared" si="45"/>
        <v>0</v>
      </c>
      <c r="AL24" s="898" t="e">
        <f t="shared" si="16"/>
        <v>#DIV/0!</v>
      </c>
      <c r="AM24" s="898" t="e">
        <f t="shared" si="17"/>
        <v>#DIV/0!</v>
      </c>
      <c r="AN24" s="892"/>
      <c r="AO24" s="891"/>
      <c r="AP24" s="897">
        <f t="shared" si="18"/>
        <v>0</v>
      </c>
      <c r="AQ24" s="898">
        <f t="shared" si="19"/>
        <v>0</v>
      </c>
      <c r="AR24" s="899">
        <f t="shared" si="46"/>
        <v>0</v>
      </c>
      <c r="AS24" s="899">
        <f t="shared" si="47"/>
        <v>0</v>
      </c>
      <c r="AT24" s="898" t="e">
        <f t="shared" si="20"/>
        <v>#DIV/0!</v>
      </c>
      <c r="AU24" s="898" t="e">
        <f t="shared" si="21"/>
        <v>#DIV/0!</v>
      </c>
      <c r="AV24" s="892"/>
      <c r="AW24" s="891"/>
      <c r="AX24" s="897">
        <f t="shared" si="22"/>
        <v>0</v>
      </c>
      <c r="AY24" s="898">
        <f t="shared" si="23"/>
        <v>0</v>
      </c>
      <c r="AZ24" s="899">
        <f t="shared" si="48"/>
        <v>0</v>
      </c>
      <c r="BA24" s="899">
        <f t="shared" si="49"/>
        <v>0</v>
      </c>
      <c r="BB24" s="898" t="e">
        <f t="shared" si="24"/>
        <v>#DIV/0!</v>
      </c>
      <c r="BC24" s="898" t="e">
        <f t="shared" si="25"/>
        <v>#DIV/0!</v>
      </c>
      <c r="BD24" s="896"/>
      <c r="BE24" s="891"/>
      <c r="BF24" s="897">
        <f t="shared" si="26"/>
        <v>0</v>
      </c>
      <c r="BG24" s="898">
        <f t="shared" si="27"/>
        <v>0</v>
      </c>
      <c r="BH24" s="899">
        <f t="shared" si="50"/>
        <v>0</v>
      </c>
      <c r="BI24" s="899">
        <f t="shared" si="51"/>
        <v>0</v>
      </c>
      <c r="BJ24" s="898" t="e">
        <f t="shared" si="28"/>
        <v>#DIV/0!</v>
      </c>
      <c r="BK24" s="898" t="e">
        <f t="shared" si="29"/>
        <v>#DIV/0!</v>
      </c>
      <c r="BL24" s="892"/>
      <c r="BM24" s="891"/>
      <c r="BN24" s="897">
        <f t="shared" si="30"/>
        <v>0</v>
      </c>
      <c r="BO24" s="898">
        <f t="shared" si="31"/>
        <v>0</v>
      </c>
      <c r="BP24" s="899">
        <f t="shared" si="52"/>
        <v>0</v>
      </c>
      <c r="BQ24" s="899">
        <f t="shared" si="53"/>
        <v>0</v>
      </c>
      <c r="BR24" s="898" t="e">
        <f t="shared" si="32"/>
        <v>#DIV/0!</v>
      </c>
      <c r="BS24" s="898" t="e">
        <f t="shared" si="33"/>
        <v>#DIV/0!</v>
      </c>
      <c r="BT24" s="892"/>
      <c r="BU24" s="891"/>
      <c r="BV24" s="897">
        <f t="shared" si="34"/>
        <v>0</v>
      </c>
      <c r="BW24" s="898">
        <f t="shared" si="35"/>
        <v>0</v>
      </c>
      <c r="BX24" s="899">
        <f t="shared" si="54"/>
        <v>0</v>
      </c>
      <c r="BY24" s="899">
        <f t="shared" si="55"/>
        <v>0</v>
      </c>
      <c r="BZ24" s="898" t="e">
        <f t="shared" si="36"/>
        <v>#DIV/0!</v>
      </c>
      <c r="CA24" s="898" t="e">
        <f t="shared" si="37"/>
        <v>#DIV/0!</v>
      </c>
      <c r="CB24" s="871"/>
      <c r="CC24" s="889" t="e">
        <f t="shared" si="56"/>
        <v>#DIV/0!</v>
      </c>
      <c r="CD24" s="180"/>
      <c r="CE24" s="180"/>
    </row>
    <row r="25" spans="1:89" ht="21.75" customHeight="1" x14ac:dyDescent="0.55000000000000004">
      <c r="A25" s="180"/>
      <c r="B25" s="180"/>
      <c r="D25" s="890" t="s">
        <v>51</v>
      </c>
      <c r="E25" s="891"/>
      <c r="F25" s="891"/>
      <c r="G25" s="891"/>
      <c r="H25" s="892"/>
      <c r="I25" s="891"/>
      <c r="J25" s="893" t="e">
        <f t="shared" si="38"/>
        <v>#DIV/0!</v>
      </c>
      <c r="K25" s="894">
        <f t="shared" si="3"/>
        <v>0</v>
      </c>
      <c r="L25" s="895">
        <f t="shared" si="39"/>
        <v>0</v>
      </c>
      <c r="M25" s="895">
        <f>IF(SUM($E25:$G25)+$H25+$I25=0,,SUM($E25:$G25)+$H25+$I25)</f>
        <v>0</v>
      </c>
      <c r="N25" s="894" t="e">
        <f t="shared" si="4"/>
        <v>#DIV/0!</v>
      </c>
      <c r="O25" s="894" t="e">
        <f t="shared" si="5"/>
        <v>#DIV/0!</v>
      </c>
      <c r="P25" s="892"/>
      <c r="Q25" s="891"/>
      <c r="R25" s="893">
        <f t="shared" si="6"/>
        <v>0</v>
      </c>
      <c r="S25" s="894">
        <f t="shared" si="7"/>
        <v>0</v>
      </c>
      <c r="T25" s="895">
        <f t="shared" si="40"/>
        <v>0</v>
      </c>
      <c r="U25" s="895">
        <f t="shared" si="41"/>
        <v>0</v>
      </c>
      <c r="V25" s="894" t="e">
        <f t="shared" si="8"/>
        <v>#DIV/0!</v>
      </c>
      <c r="W25" s="894" t="e">
        <f t="shared" si="9"/>
        <v>#DIV/0!</v>
      </c>
      <c r="X25" s="892"/>
      <c r="Y25" s="891"/>
      <c r="Z25" s="893">
        <f t="shared" si="10"/>
        <v>0</v>
      </c>
      <c r="AA25" s="894">
        <f t="shared" si="11"/>
        <v>0</v>
      </c>
      <c r="AB25" s="895">
        <f t="shared" si="42"/>
        <v>0</v>
      </c>
      <c r="AC25" s="895">
        <f t="shared" si="43"/>
        <v>0</v>
      </c>
      <c r="AD25" s="894" t="e">
        <f t="shared" si="12"/>
        <v>#DIV/0!</v>
      </c>
      <c r="AE25" s="894" t="e">
        <f t="shared" si="13"/>
        <v>#DIV/0!</v>
      </c>
      <c r="AF25" s="892"/>
      <c r="AG25" s="891"/>
      <c r="AH25" s="893">
        <f t="shared" si="14"/>
        <v>0</v>
      </c>
      <c r="AI25" s="894">
        <f t="shared" si="15"/>
        <v>0</v>
      </c>
      <c r="AJ25" s="895">
        <f t="shared" si="44"/>
        <v>0</v>
      </c>
      <c r="AK25" s="895">
        <f t="shared" si="45"/>
        <v>0</v>
      </c>
      <c r="AL25" s="894" t="e">
        <f t="shared" si="16"/>
        <v>#DIV/0!</v>
      </c>
      <c r="AM25" s="894" t="e">
        <f t="shared" si="17"/>
        <v>#DIV/0!</v>
      </c>
      <c r="AN25" s="892"/>
      <c r="AO25" s="891"/>
      <c r="AP25" s="893">
        <f t="shared" si="18"/>
        <v>0</v>
      </c>
      <c r="AQ25" s="894">
        <f t="shared" si="19"/>
        <v>0</v>
      </c>
      <c r="AR25" s="895">
        <f t="shared" si="46"/>
        <v>0</v>
      </c>
      <c r="AS25" s="895">
        <f t="shared" si="47"/>
        <v>0</v>
      </c>
      <c r="AT25" s="894" t="e">
        <f t="shared" si="20"/>
        <v>#DIV/0!</v>
      </c>
      <c r="AU25" s="894" t="e">
        <f t="shared" si="21"/>
        <v>#DIV/0!</v>
      </c>
      <c r="AV25" s="892"/>
      <c r="AW25" s="891"/>
      <c r="AX25" s="893">
        <f t="shared" si="22"/>
        <v>0</v>
      </c>
      <c r="AY25" s="894">
        <f t="shared" si="23"/>
        <v>0</v>
      </c>
      <c r="AZ25" s="895">
        <f t="shared" si="48"/>
        <v>0</v>
      </c>
      <c r="BA25" s="895">
        <f t="shared" si="49"/>
        <v>0</v>
      </c>
      <c r="BB25" s="894" t="e">
        <f t="shared" si="24"/>
        <v>#DIV/0!</v>
      </c>
      <c r="BC25" s="894" t="e">
        <f t="shared" si="25"/>
        <v>#DIV/0!</v>
      </c>
      <c r="BD25" s="896"/>
      <c r="BE25" s="891"/>
      <c r="BF25" s="893">
        <f t="shared" si="26"/>
        <v>0</v>
      </c>
      <c r="BG25" s="894">
        <f t="shared" si="27"/>
        <v>0</v>
      </c>
      <c r="BH25" s="895">
        <f t="shared" si="50"/>
        <v>0</v>
      </c>
      <c r="BI25" s="895">
        <f t="shared" si="51"/>
        <v>0</v>
      </c>
      <c r="BJ25" s="894" t="e">
        <f t="shared" si="28"/>
        <v>#DIV/0!</v>
      </c>
      <c r="BK25" s="894" t="e">
        <f t="shared" si="29"/>
        <v>#DIV/0!</v>
      </c>
      <c r="BL25" s="892"/>
      <c r="BM25" s="891"/>
      <c r="BN25" s="893">
        <f t="shared" si="30"/>
        <v>0</v>
      </c>
      <c r="BO25" s="894">
        <f t="shared" si="31"/>
        <v>0</v>
      </c>
      <c r="BP25" s="895">
        <f t="shared" si="52"/>
        <v>0</v>
      </c>
      <c r="BQ25" s="895">
        <f t="shared" si="53"/>
        <v>0</v>
      </c>
      <c r="BR25" s="894" t="e">
        <f t="shared" si="32"/>
        <v>#DIV/0!</v>
      </c>
      <c r="BS25" s="894" t="e">
        <f t="shared" si="33"/>
        <v>#DIV/0!</v>
      </c>
      <c r="BT25" s="892"/>
      <c r="BU25" s="891"/>
      <c r="BV25" s="893">
        <f t="shared" si="34"/>
        <v>0</v>
      </c>
      <c r="BW25" s="894">
        <f t="shared" si="35"/>
        <v>0</v>
      </c>
      <c r="BX25" s="895">
        <f t="shared" si="54"/>
        <v>0</v>
      </c>
      <c r="BY25" s="895">
        <f t="shared" si="55"/>
        <v>0</v>
      </c>
      <c r="BZ25" s="894" t="e">
        <f t="shared" si="36"/>
        <v>#DIV/0!</v>
      </c>
      <c r="CA25" s="894" t="e">
        <f t="shared" si="37"/>
        <v>#DIV/0!</v>
      </c>
      <c r="CB25" s="871"/>
      <c r="CC25" s="889" t="e">
        <f t="shared" si="56"/>
        <v>#DIV/0!</v>
      </c>
      <c r="CD25" s="180"/>
      <c r="CE25" s="180"/>
    </row>
    <row r="26" spans="1:89" ht="21.75" customHeight="1" x14ac:dyDescent="0.55000000000000004">
      <c r="A26" s="180"/>
      <c r="B26" s="180"/>
      <c r="D26" s="890" t="s">
        <v>52</v>
      </c>
      <c r="E26" s="891"/>
      <c r="F26" s="891"/>
      <c r="G26" s="891"/>
      <c r="H26" s="892"/>
      <c r="I26" s="891"/>
      <c r="J26" s="893" t="e">
        <f t="shared" ref="J26:J40" si="57">H26*H$16+I26*I$16</f>
        <v>#DIV/0!</v>
      </c>
      <c r="K26" s="894">
        <f t="shared" ref="K26:K40" si="58">IF(H26=0,0,H26/H$55)</f>
        <v>0</v>
      </c>
      <c r="L26" s="895">
        <f t="shared" si="39"/>
        <v>0</v>
      </c>
      <c r="M26" s="895">
        <f t="shared" ref="M26:M40" si="59">IF(SUM($E26:$G26)+$H26+$I26=0,,SUM($E26:$G26)+$H26+$I26)</f>
        <v>0</v>
      </c>
      <c r="N26" s="894" t="e">
        <f t="shared" ref="N26:N40" si="60">L26/L$55</f>
        <v>#DIV/0!</v>
      </c>
      <c r="O26" s="894" t="e">
        <f t="shared" ref="O26:O40" si="61">M26/M$55</f>
        <v>#DIV/0!</v>
      </c>
      <c r="P26" s="892"/>
      <c r="Q26" s="891"/>
      <c r="R26" s="893">
        <f t="shared" ref="R26:R40" si="62">P26*P$16+Q26*Q$16</f>
        <v>0</v>
      </c>
      <c r="S26" s="894">
        <f t="shared" ref="S26:S40" si="63">IF(P26=0,0,P26/P$55)</f>
        <v>0</v>
      </c>
      <c r="T26" s="895">
        <f t="shared" ref="T26:T40" si="64">L26+P26</f>
        <v>0</v>
      </c>
      <c r="U26" s="895">
        <f t="shared" ref="U26:U40" si="65">M26+P26+Q26</f>
        <v>0</v>
      </c>
      <c r="V26" s="894" t="e">
        <f t="shared" ref="V26:V40" si="66">T26/T$55</f>
        <v>#DIV/0!</v>
      </c>
      <c r="W26" s="894" t="e">
        <f t="shared" ref="W26:W40" si="67">U26/U$55</f>
        <v>#DIV/0!</v>
      </c>
      <c r="X26" s="892"/>
      <c r="Y26" s="891"/>
      <c r="Z26" s="893">
        <f t="shared" ref="Z26:Z40" si="68">X26*X$16+Y26*Y$16</f>
        <v>0</v>
      </c>
      <c r="AA26" s="894">
        <f t="shared" ref="AA26:AA40" si="69">IF(X26=0,0,X26/X$55)</f>
        <v>0</v>
      </c>
      <c r="AB26" s="895">
        <f t="shared" ref="AB26:AB40" si="70">T26+X26</f>
        <v>0</v>
      </c>
      <c r="AC26" s="895">
        <f t="shared" ref="AC26:AC40" si="71">U26+X26+Y26</f>
        <v>0</v>
      </c>
      <c r="AD26" s="894" t="e">
        <f t="shared" ref="AD26:AD40" si="72">AB26/AB$55</f>
        <v>#DIV/0!</v>
      </c>
      <c r="AE26" s="894" t="e">
        <f t="shared" ref="AE26:AE40" si="73">AC26/AC$55</f>
        <v>#DIV/0!</v>
      </c>
      <c r="AF26" s="892"/>
      <c r="AG26" s="891"/>
      <c r="AH26" s="893">
        <f t="shared" ref="AH26:AH40" si="74">AF26*AF$16+AG26*AG$16</f>
        <v>0</v>
      </c>
      <c r="AI26" s="894">
        <f t="shared" ref="AI26:AI40" si="75">IF(AF26=0,0,AF26/AF$55)</f>
        <v>0</v>
      </c>
      <c r="AJ26" s="895">
        <f t="shared" ref="AJ26:AJ40" si="76">AB26+AF26</f>
        <v>0</v>
      </c>
      <c r="AK26" s="895">
        <f t="shared" ref="AK26:AK40" si="77">AC26+AF26+AG26</f>
        <v>0</v>
      </c>
      <c r="AL26" s="894" t="e">
        <f t="shared" ref="AL26:AL40" si="78">AJ26/AJ$55</f>
        <v>#DIV/0!</v>
      </c>
      <c r="AM26" s="894" t="e">
        <f t="shared" ref="AM26:AM40" si="79">AK26/AK$55</f>
        <v>#DIV/0!</v>
      </c>
      <c r="AN26" s="892"/>
      <c r="AO26" s="891"/>
      <c r="AP26" s="893">
        <f t="shared" ref="AP26:AP40" si="80">AN26*AN$16+AO26*AO$16</f>
        <v>0</v>
      </c>
      <c r="AQ26" s="894">
        <f t="shared" ref="AQ26:AQ40" si="81">IF(AN26=0,0,AN26/AN$55)</f>
        <v>0</v>
      </c>
      <c r="AR26" s="895">
        <f t="shared" ref="AR26:AR40" si="82">AJ26+AN26</f>
        <v>0</v>
      </c>
      <c r="AS26" s="895">
        <f t="shared" ref="AS26:AS40" si="83">AK26+AN26+AO26</f>
        <v>0</v>
      </c>
      <c r="AT26" s="894" t="e">
        <f t="shared" ref="AT26:AT40" si="84">AR26/AR$55</f>
        <v>#DIV/0!</v>
      </c>
      <c r="AU26" s="894" t="e">
        <f t="shared" ref="AU26:AU40" si="85">AS26/AS$55</f>
        <v>#DIV/0!</v>
      </c>
      <c r="AV26" s="892"/>
      <c r="AW26" s="891"/>
      <c r="AX26" s="1255">
        <f t="shared" ref="AX26:AX40" si="86">AV26*AV$16+AW26*AW$16</f>
        <v>0</v>
      </c>
      <c r="AY26" s="1256">
        <f t="shared" ref="AY26:AY40" si="87">IF(AV26=0,0,AV26/AV$55)</f>
        <v>0</v>
      </c>
      <c r="AZ26" s="1257">
        <f t="shared" ref="AZ26:AZ40" si="88">AR26+AV26</f>
        <v>0</v>
      </c>
      <c r="BA26" s="1257">
        <f t="shared" ref="BA26:BA40" si="89">AS26+AV26+AW26</f>
        <v>0</v>
      </c>
      <c r="BB26" s="1256" t="e">
        <f t="shared" ref="BB26:BB40" si="90">AZ26/AZ$55</f>
        <v>#DIV/0!</v>
      </c>
      <c r="BC26" s="1256" t="e">
        <f t="shared" ref="BC26:BC40" si="91">BA26/BA$55</f>
        <v>#DIV/0!</v>
      </c>
      <c r="BD26" s="896"/>
      <c r="BE26" s="891"/>
      <c r="BF26" s="893">
        <f t="shared" ref="BF26:BF40" si="92">BD26*BD$16+BE26*BE$16</f>
        <v>0</v>
      </c>
      <c r="BG26" s="894">
        <f t="shared" ref="BG26:BG40" si="93">IF(BD26=0,0,BD26/BD$55)</f>
        <v>0</v>
      </c>
      <c r="BH26" s="895">
        <f t="shared" ref="BH26:BH40" si="94">AZ26+BD26</f>
        <v>0</v>
      </c>
      <c r="BI26" s="895">
        <f t="shared" ref="BI26:BI40" si="95">BA26+BD26+BE26</f>
        <v>0</v>
      </c>
      <c r="BJ26" s="894" t="e">
        <f t="shared" ref="BJ26:BJ40" si="96">BH26/BH$55</f>
        <v>#DIV/0!</v>
      </c>
      <c r="BK26" s="894" t="e">
        <f t="shared" ref="BK26:BK40" si="97">BI26/BI$55</f>
        <v>#DIV/0!</v>
      </c>
      <c r="BL26" s="892"/>
      <c r="BM26" s="891"/>
      <c r="BN26" s="893">
        <f t="shared" ref="BN26:BN40" si="98">BL26*BL$16+BM26*BM$16</f>
        <v>0</v>
      </c>
      <c r="BO26" s="894">
        <f t="shared" ref="BO26:BO40" si="99">IF(BL26=0,0,BL26/BL$55)</f>
        <v>0</v>
      </c>
      <c r="BP26" s="895">
        <f t="shared" ref="BP26:BP40" si="100">BH26+BL26</f>
        <v>0</v>
      </c>
      <c r="BQ26" s="895">
        <f t="shared" ref="BQ26:BQ40" si="101">BI26+BL26+BM26</f>
        <v>0</v>
      </c>
      <c r="BR26" s="894" t="e">
        <f t="shared" ref="BR26:BR40" si="102">BP26/BP$55</f>
        <v>#DIV/0!</v>
      </c>
      <c r="BS26" s="894" t="e">
        <f t="shared" ref="BS26:BS40" si="103">BQ26/BQ$55</f>
        <v>#DIV/0!</v>
      </c>
      <c r="BT26" s="892"/>
      <c r="BU26" s="891"/>
      <c r="BV26" s="893">
        <f t="shared" ref="BV26:BV40" si="104">BT26*BT$16+BU26*BU$16</f>
        <v>0</v>
      </c>
      <c r="BW26" s="894">
        <f t="shared" ref="BW26:BW40" si="105">IF(BT26=0,0,BT26/BT$55)</f>
        <v>0</v>
      </c>
      <c r="BX26" s="895">
        <f t="shared" ref="BX26:BX40" si="106">BP26+BT26</f>
        <v>0</v>
      </c>
      <c r="BY26" s="895">
        <f t="shared" ref="BY26:BY40" si="107">BQ26+BT26+BU26</f>
        <v>0</v>
      </c>
      <c r="BZ26" s="894" t="e">
        <f t="shared" ref="BZ26:BZ40" si="108">BX26/BX$55</f>
        <v>#DIV/0!</v>
      </c>
      <c r="CA26" s="894" t="e">
        <f t="shared" ref="CA26:CA40" si="109">BY26/BY$55</f>
        <v>#DIV/0!</v>
      </c>
      <c r="CB26" s="871"/>
      <c r="CC26" s="889" t="e">
        <f t="shared" ref="CC26:CC40" si="110">SUM(J26,R26,Z26,AH26,AP26,AX26,BF26,BN26,BV26)</f>
        <v>#DIV/0!</v>
      </c>
      <c r="CD26" s="180"/>
      <c r="CE26" s="180"/>
    </row>
    <row r="27" spans="1:89" ht="21.75" customHeight="1" x14ac:dyDescent="0.55000000000000004">
      <c r="A27" s="180"/>
      <c r="B27" s="180"/>
      <c r="D27" s="890" t="s">
        <v>53</v>
      </c>
      <c r="E27" s="891"/>
      <c r="F27" s="891"/>
      <c r="G27" s="891"/>
      <c r="H27" s="892"/>
      <c r="I27" s="891"/>
      <c r="J27" s="893" t="e">
        <f t="shared" si="57"/>
        <v>#DIV/0!</v>
      </c>
      <c r="K27" s="894">
        <f t="shared" si="58"/>
        <v>0</v>
      </c>
      <c r="L27" s="895">
        <f t="shared" si="39"/>
        <v>0</v>
      </c>
      <c r="M27" s="895">
        <f t="shared" si="59"/>
        <v>0</v>
      </c>
      <c r="N27" s="894" t="e">
        <f t="shared" si="60"/>
        <v>#DIV/0!</v>
      </c>
      <c r="O27" s="894" t="e">
        <f t="shared" si="61"/>
        <v>#DIV/0!</v>
      </c>
      <c r="P27" s="892"/>
      <c r="Q27" s="891"/>
      <c r="R27" s="893">
        <f t="shared" si="62"/>
        <v>0</v>
      </c>
      <c r="S27" s="894">
        <f t="shared" si="63"/>
        <v>0</v>
      </c>
      <c r="T27" s="895">
        <f t="shared" si="64"/>
        <v>0</v>
      </c>
      <c r="U27" s="895">
        <f t="shared" si="65"/>
        <v>0</v>
      </c>
      <c r="V27" s="894" t="e">
        <f t="shared" si="66"/>
        <v>#DIV/0!</v>
      </c>
      <c r="W27" s="894" t="e">
        <f t="shared" si="67"/>
        <v>#DIV/0!</v>
      </c>
      <c r="X27" s="892"/>
      <c r="Y27" s="891"/>
      <c r="Z27" s="893">
        <f t="shared" si="68"/>
        <v>0</v>
      </c>
      <c r="AA27" s="894">
        <f t="shared" si="69"/>
        <v>0</v>
      </c>
      <c r="AB27" s="895">
        <f t="shared" si="70"/>
        <v>0</v>
      </c>
      <c r="AC27" s="895">
        <f t="shared" si="71"/>
        <v>0</v>
      </c>
      <c r="AD27" s="894" t="e">
        <f t="shared" si="72"/>
        <v>#DIV/0!</v>
      </c>
      <c r="AE27" s="894" t="e">
        <f t="shared" si="73"/>
        <v>#DIV/0!</v>
      </c>
      <c r="AF27" s="892"/>
      <c r="AG27" s="891"/>
      <c r="AH27" s="893">
        <f t="shared" si="74"/>
        <v>0</v>
      </c>
      <c r="AI27" s="894">
        <f t="shared" si="75"/>
        <v>0</v>
      </c>
      <c r="AJ27" s="895">
        <f t="shared" si="76"/>
        <v>0</v>
      </c>
      <c r="AK27" s="895">
        <f t="shared" si="77"/>
        <v>0</v>
      </c>
      <c r="AL27" s="894" t="e">
        <f t="shared" si="78"/>
        <v>#DIV/0!</v>
      </c>
      <c r="AM27" s="894" t="e">
        <f t="shared" si="79"/>
        <v>#DIV/0!</v>
      </c>
      <c r="AN27" s="892"/>
      <c r="AO27" s="891"/>
      <c r="AP27" s="893">
        <f t="shared" si="80"/>
        <v>0</v>
      </c>
      <c r="AQ27" s="894">
        <f t="shared" si="81"/>
        <v>0</v>
      </c>
      <c r="AR27" s="895">
        <f t="shared" si="82"/>
        <v>0</v>
      </c>
      <c r="AS27" s="895">
        <f t="shared" si="83"/>
        <v>0</v>
      </c>
      <c r="AT27" s="894" t="e">
        <f t="shared" si="84"/>
        <v>#DIV/0!</v>
      </c>
      <c r="AU27" s="894" t="e">
        <f t="shared" si="85"/>
        <v>#DIV/0!</v>
      </c>
      <c r="AV27" s="892"/>
      <c r="AW27" s="891"/>
      <c r="AX27" s="893">
        <f t="shared" si="86"/>
        <v>0</v>
      </c>
      <c r="AY27" s="894">
        <f t="shared" si="87"/>
        <v>0</v>
      </c>
      <c r="AZ27" s="895">
        <f t="shared" si="88"/>
        <v>0</v>
      </c>
      <c r="BA27" s="895">
        <f t="shared" si="89"/>
        <v>0</v>
      </c>
      <c r="BB27" s="894" t="e">
        <f t="shared" si="90"/>
        <v>#DIV/0!</v>
      </c>
      <c r="BC27" s="894" t="e">
        <f t="shared" si="91"/>
        <v>#DIV/0!</v>
      </c>
      <c r="BD27" s="896"/>
      <c r="BE27" s="891"/>
      <c r="BF27" s="893">
        <f t="shared" si="92"/>
        <v>0</v>
      </c>
      <c r="BG27" s="894">
        <f t="shared" si="93"/>
        <v>0</v>
      </c>
      <c r="BH27" s="895">
        <f t="shared" si="94"/>
        <v>0</v>
      </c>
      <c r="BI27" s="895">
        <f t="shared" si="95"/>
        <v>0</v>
      </c>
      <c r="BJ27" s="894" t="e">
        <f t="shared" si="96"/>
        <v>#DIV/0!</v>
      </c>
      <c r="BK27" s="894" t="e">
        <f t="shared" si="97"/>
        <v>#DIV/0!</v>
      </c>
      <c r="BL27" s="892"/>
      <c r="BM27" s="891"/>
      <c r="BN27" s="893">
        <f t="shared" si="98"/>
        <v>0</v>
      </c>
      <c r="BO27" s="894">
        <f t="shared" si="99"/>
        <v>0</v>
      </c>
      <c r="BP27" s="895">
        <f t="shared" si="100"/>
        <v>0</v>
      </c>
      <c r="BQ27" s="895">
        <f t="shared" si="101"/>
        <v>0</v>
      </c>
      <c r="BR27" s="894" t="e">
        <f t="shared" si="102"/>
        <v>#DIV/0!</v>
      </c>
      <c r="BS27" s="894" t="e">
        <f t="shared" si="103"/>
        <v>#DIV/0!</v>
      </c>
      <c r="BT27" s="892"/>
      <c r="BU27" s="891"/>
      <c r="BV27" s="893">
        <f t="shared" si="104"/>
        <v>0</v>
      </c>
      <c r="BW27" s="894">
        <f t="shared" si="105"/>
        <v>0</v>
      </c>
      <c r="BX27" s="895">
        <f t="shared" si="106"/>
        <v>0</v>
      </c>
      <c r="BY27" s="895">
        <f t="shared" si="107"/>
        <v>0</v>
      </c>
      <c r="BZ27" s="894" t="e">
        <f t="shared" si="108"/>
        <v>#DIV/0!</v>
      </c>
      <c r="CA27" s="894" t="e">
        <f t="shared" si="109"/>
        <v>#DIV/0!</v>
      </c>
      <c r="CB27" s="871"/>
      <c r="CC27" s="889" t="e">
        <f t="shared" si="110"/>
        <v>#DIV/0!</v>
      </c>
      <c r="CD27" s="180"/>
      <c r="CE27" s="180"/>
    </row>
    <row r="28" spans="1:89" ht="21.75" customHeight="1" x14ac:dyDescent="0.55000000000000004">
      <c r="A28" s="180"/>
      <c r="B28" s="180"/>
      <c r="D28" s="890" t="s">
        <v>54</v>
      </c>
      <c r="E28" s="891"/>
      <c r="F28" s="891"/>
      <c r="G28" s="891"/>
      <c r="H28" s="892"/>
      <c r="I28" s="891"/>
      <c r="J28" s="893" t="e">
        <f t="shared" si="57"/>
        <v>#DIV/0!</v>
      </c>
      <c r="K28" s="894">
        <f t="shared" si="58"/>
        <v>0</v>
      </c>
      <c r="L28" s="895">
        <f t="shared" si="39"/>
        <v>0</v>
      </c>
      <c r="M28" s="895">
        <f t="shared" si="59"/>
        <v>0</v>
      </c>
      <c r="N28" s="894" t="e">
        <f t="shared" si="60"/>
        <v>#DIV/0!</v>
      </c>
      <c r="O28" s="894" t="e">
        <f t="shared" si="61"/>
        <v>#DIV/0!</v>
      </c>
      <c r="P28" s="892"/>
      <c r="Q28" s="891"/>
      <c r="R28" s="893">
        <f t="shared" si="62"/>
        <v>0</v>
      </c>
      <c r="S28" s="894">
        <f t="shared" si="63"/>
        <v>0</v>
      </c>
      <c r="T28" s="895">
        <f t="shared" si="64"/>
        <v>0</v>
      </c>
      <c r="U28" s="895">
        <f t="shared" si="65"/>
        <v>0</v>
      </c>
      <c r="V28" s="894" t="e">
        <f t="shared" si="66"/>
        <v>#DIV/0!</v>
      </c>
      <c r="W28" s="894" t="e">
        <f t="shared" si="67"/>
        <v>#DIV/0!</v>
      </c>
      <c r="X28" s="892"/>
      <c r="Y28" s="891"/>
      <c r="Z28" s="893">
        <f t="shared" si="68"/>
        <v>0</v>
      </c>
      <c r="AA28" s="894">
        <f t="shared" si="69"/>
        <v>0</v>
      </c>
      <c r="AB28" s="895">
        <f t="shared" si="70"/>
        <v>0</v>
      </c>
      <c r="AC28" s="895">
        <f t="shared" si="71"/>
        <v>0</v>
      </c>
      <c r="AD28" s="894" t="e">
        <f t="shared" si="72"/>
        <v>#DIV/0!</v>
      </c>
      <c r="AE28" s="894" t="e">
        <f t="shared" si="73"/>
        <v>#DIV/0!</v>
      </c>
      <c r="AF28" s="892"/>
      <c r="AG28" s="891"/>
      <c r="AH28" s="893">
        <f t="shared" si="74"/>
        <v>0</v>
      </c>
      <c r="AI28" s="894">
        <f t="shared" si="75"/>
        <v>0</v>
      </c>
      <c r="AJ28" s="895">
        <f t="shared" si="76"/>
        <v>0</v>
      </c>
      <c r="AK28" s="895">
        <f t="shared" si="77"/>
        <v>0</v>
      </c>
      <c r="AL28" s="894" t="e">
        <f t="shared" si="78"/>
        <v>#DIV/0!</v>
      </c>
      <c r="AM28" s="894" t="e">
        <f t="shared" si="79"/>
        <v>#DIV/0!</v>
      </c>
      <c r="AN28" s="892"/>
      <c r="AO28" s="891"/>
      <c r="AP28" s="893">
        <f t="shared" si="80"/>
        <v>0</v>
      </c>
      <c r="AQ28" s="894">
        <f t="shared" si="81"/>
        <v>0</v>
      </c>
      <c r="AR28" s="895">
        <f t="shared" si="82"/>
        <v>0</v>
      </c>
      <c r="AS28" s="895">
        <f t="shared" si="83"/>
        <v>0</v>
      </c>
      <c r="AT28" s="894" t="e">
        <f t="shared" si="84"/>
        <v>#DIV/0!</v>
      </c>
      <c r="AU28" s="894" t="e">
        <f t="shared" si="85"/>
        <v>#DIV/0!</v>
      </c>
      <c r="AV28" s="892"/>
      <c r="AW28" s="891"/>
      <c r="AX28" s="1255">
        <f t="shared" si="86"/>
        <v>0</v>
      </c>
      <c r="AY28" s="1256">
        <f t="shared" si="87"/>
        <v>0</v>
      </c>
      <c r="AZ28" s="1257">
        <f t="shared" si="88"/>
        <v>0</v>
      </c>
      <c r="BA28" s="1257">
        <f t="shared" si="89"/>
        <v>0</v>
      </c>
      <c r="BB28" s="1256" t="e">
        <f t="shared" si="90"/>
        <v>#DIV/0!</v>
      </c>
      <c r="BC28" s="1256" t="e">
        <f t="shared" si="91"/>
        <v>#DIV/0!</v>
      </c>
      <c r="BD28" s="896"/>
      <c r="BE28" s="891"/>
      <c r="BF28" s="893">
        <f t="shared" si="92"/>
        <v>0</v>
      </c>
      <c r="BG28" s="894">
        <f t="shared" si="93"/>
        <v>0</v>
      </c>
      <c r="BH28" s="895">
        <f t="shared" si="94"/>
        <v>0</v>
      </c>
      <c r="BI28" s="895">
        <f t="shared" si="95"/>
        <v>0</v>
      </c>
      <c r="BJ28" s="894" t="e">
        <f t="shared" si="96"/>
        <v>#DIV/0!</v>
      </c>
      <c r="BK28" s="894" t="e">
        <f t="shared" si="97"/>
        <v>#DIV/0!</v>
      </c>
      <c r="BL28" s="892"/>
      <c r="BM28" s="891"/>
      <c r="BN28" s="893">
        <f t="shared" si="98"/>
        <v>0</v>
      </c>
      <c r="BO28" s="894">
        <f t="shared" si="99"/>
        <v>0</v>
      </c>
      <c r="BP28" s="895">
        <f t="shared" si="100"/>
        <v>0</v>
      </c>
      <c r="BQ28" s="895">
        <f t="shared" si="101"/>
        <v>0</v>
      </c>
      <c r="BR28" s="894" t="e">
        <f t="shared" si="102"/>
        <v>#DIV/0!</v>
      </c>
      <c r="BS28" s="894" t="e">
        <f t="shared" si="103"/>
        <v>#DIV/0!</v>
      </c>
      <c r="BT28" s="892"/>
      <c r="BU28" s="891"/>
      <c r="BV28" s="893">
        <f t="shared" si="104"/>
        <v>0</v>
      </c>
      <c r="BW28" s="894">
        <f t="shared" si="105"/>
        <v>0</v>
      </c>
      <c r="BX28" s="895">
        <f t="shared" si="106"/>
        <v>0</v>
      </c>
      <c r="BY28" s="895">
        <f t="shared" si="107"/>
        <v>0</v>
      </c>
      <c r="BZ28" s="894" t="e">
        <f t="shared" si="108"/>
        <v>#DIV/0!</v>
      </c>
      <c r="CA28" s="894" t="e">
        <f t="shared" si="109"/>
        <v>#DIV/0!</v>
      </c>
      <c r="CB28" s="871"/>
      <c r="CC28" s="889" t="e">
        <f t="shared" si="110"/>
        <v>#DIV/0!</v>
      </c>
      <c r="CD28" s="180"/>
      <c r="CE28" s="180"/>
    </row>
    <row r="29" spans="1:89" ht="21.75" customHeight="1" x14ac:dyDescent="0.55000000000000004">
      <c r="A29" s="180"/>
      <c r="B29" s="180"/>
      <c r="D29" s="890" t="s">
        <v>55</v>
      </c>
      <c r="E29" s="891"/>
      <c r="F29" s="891"/>
      <c r="G29" s="891"/>
      <c r="H29" s="892"/>
      <c r="I29" s="891"/>
      <c r="J29" s="893" t="e">
        <f t="shared" si="57"/>
        <v>#DIV/0!</v>
      </c>
      <c r="K29" s="894">
        <f t="shared" si="58"/>
        <v>0</v>
      </c>
      <c r="L29" s="895">
        <f t="shared" si="39"/>
        <v>0</v>
      </c>
      <c r="M29" s="895">
        <f t="shared" si="59"/>
        <v>0</v>
      </c>
      <c r="N29" s="894" t="e">
        <f t="shared" si="60"/>
        <v>#DIV/0!</v>
      </c>
      <c r="O29" s="894" t="e">
        <f t="shared" si="61"/>
        <v>#DIV/0!</v>
      </c>
      <c r="P29" s="892"/>
      <c r="Q29" s="891"/>
      <c r="R29" s="893">
        <f t="shared" si="62"/>
        <v>0</v>
      </c>
      <c r="S29" s="894">
        <f t="shared" si="63"/>
        <v>0</v>
      </c>
      <c r="T29" s="895">
        <f t="shared" si="64"/>
        <v>0</v>
      </c>
      <c r="U29" s="895">
        <f t="shared" si="65"/>
        <v>0</v>
      </c>
      <c r="V29" s="894" t="e">
        <f t="shared" si="66"/>
        <v>#DIV/0!</v>
      </c>
      <c r="W29" s="894" t="e">
        <f t="shared" si="67"/>
        <v>#DIV/0!</v>
      </c>
      <c r="X29" s="892"/>
      <c r="Y29" s="891"/>
      <c r="Z29" s="893">
        <f t="shared" si="68"/>
        <v>0</v>
      </c>
      <c r="AA29" s="894">
        <f t="shared" si="69"/>
        <v>0</v>
      </c>
      <c r="AB29" s="895">
        <f t="shared" si="70"/>
        <v>0</v>
      </c>
      <c r="AC29" s="895">
        <f t="shared" si="71"/>
        <v>0</v>
      </c>
      <c r="AD29" s="894" t="e">
        <f t="shared" si="72"/>
        <v>#DIV/0!</v>
      </c>
      <c r="AE29" s="894" t="e">
        <f t="shared" si="73"/>
        <v>#DIV/0!</v>
      </c>
      <c r="AF29" s="892"/>
      <c r="AG29" s="891"/>
      <c r="AH29" s="893">
        <f t="shared" si="74"/>
        <v>0</v>
      </c>
      <c r="AI29" s="894">
        <f t="shared" si="75"/>
        <v>0</v>
      </c>
      <c r="AJ29" s="895">
        <f t="shared" si="76"/>
        <v>0</v>
      </c>
      <c r="AK29" s="895">
        <f t="shared" si="77"/>
        <v>0</v>
      </c>
      <c r="AL29" s="894" t="e">
        <f t="shared" si="78"/>
        <v>#DIV/0!</v>
      </c>
      <c r="AM29" s="894" t="e">
        <f t="shared" si="79"/>
        <v>#DIV/0!</v>
      </c>
      <c r="AN29" s="892"/>
      <c r="AO29" s="891"/>
      <c r="AP29" s="893">
        <f t="shared" si="80"/>
        <v>0</v>
      </c>
      <c r="AQ29" s="894">
        <f t="shared" si="81"/>
        <v>0</v>
      </c>
      <c r="AR29" s="895">
        <f t="shared" si="82"/>
        <v>0</v>
      </c>
      <c r="AS29" s="895">
        <f t="shared" si="83"/>
        <v>0</v>
      </c>
      <c r="AT29" s="894" t="e">
        <f t="shared" si="84"/>
        <v>#DIV/0!</v>
      </c>
      <c r="AU29" s="894" t="e">
        <f t="shared" si="85"/>
        <v>#DIV/0!</v>
      </c>
      <c r="AV29" s="892"/>
      <c r="AW29" s="891"/>
      <c r="AX29" s="893">
        <f t="shared" si="86"/>
        <v>0</v>
      </c>
      <c r="AY29" s="894">
        <f t="shared" si="87"/>
        <v>0</v>
      </c>
      <c r="AZ29" s="895">
        <f t="shared" si="88"/>
        <v>0</v>
      </c>
      <c r="BA29" s="895">
        <f t="shared" si="89"/>
        <v>0</v>
      </c>
      <c r="BB29" s="894" t="e">
        <f t="shared" si="90"/>
        <v>#DIV/0!</v>
      </c>
      <c r="BC29" s="894" t="e">
        <f t="shared" si="91"/>
        <v>#DIV/0!</v>
      </c>
      <c r="BD29" s="896"/>
      <c r="BE29" s="891"/>
      <c r="BF29" s="893">
        <f t="shared" si="92"/>
        <v>0</v>
      </c>
      <c r="BG29" s="894">
        <f t="shared" si="93"/>
        <v>0</v>
      </c>
      <c r="BH29" s="895">
        <f t="shared" si="94"/>
        <v>0</v>
      </c>
      <c r="BI29" s="895">
        <f t="shared" si="95"/>
        <v>0</v>
      </c>
      <c r="BJ29" s="894" t="e">
        <f t="shared" si="96"/>
        <v>#DIV/0!</v>
      </c>
      <c r="BK29" s="894" t="e">
        <f t="shared" si="97"/>
        <v>#DIV/0!</v>
      </c>
      <c r="BL29" s="892"/>
      <c r="BM29" s="891"/>
      <c r="BN29" s="893">
        <f t="shared" si="98"/>
        <v>0</v>
      </c>
      <c r="BO29" s="894">
        <f t="shared" si="99"/>
        <v>0</v>
      </c>
      <c r="BP29" s="895">
        <f t="shared" si="100"/>
        <v>0</v>
      </c>
      <c r="BQ29" s="895">
        <f t="shared" si="101"/>
        <v>0</v>
      </c>
      <c r="BR29" s="894" t="e">
        <f t="shared" si="102"/>
        <v>#DIV/0!</v>
      </c>
      <c r="BS29" s="894" t="e">
        <f t="shared" si="103"/>
        <v>#DIV/0!</v>
      </c>
      <c r="BT29" s="892"/>
      <c r="BU29" s="891"/>
      <c r="BV29" s="893">
        <f t="shared" si="104"/>
        <v>0</v>
      </c>
      <c r="BW29" s="894">
        <f t="shared" si="105"/>
        <v>0</v>
      </c>
      <c r="BX29" s="895">
        <f t="shared" si="106"/>
        <v>0</v>
      </c>
      <c r="BY29" s="895">
        <f t="shared" si="107"/>
        <v>0</v>
      </c>
      <c r="BZ29" s="894" t="e">
        <f t="shared" si="108"/>
        <v>#DIV/0!</v>
      </c>
      <c r="CA29" s="894" t="e">
        <f t="shared" si="109"/>
        <v>#DIV/0!</v>
      </c>
      <c r="CB29" s="871"/>
      <c r="CC29" s="889" t="e">
        <f t="shared" si="110"/>
        <v>#DIV/0!</v>
      </c>
      <c r="CD29" s="180"/>
      <c r="CE29" s="180"/>
    </row>
    <row r="30" spans="1:89" ht="21.75" customHeight="1" x14ac:dyDescent="0.55000000000000004">
      <c r="A30" s="180"/>
      <c r="B30" s="180"/>
      <c r="D30" s="890" t="s">
        <v>56</v>
      </c>
      <c r="E30" s="891"/>
      <c r="F30" s="891"/>
      <c r="G30" s="891"/>
      <c r="H30" s="892"/>
      <c r="I30" s="891"/>
      <c r="J30" s="893" t="e">
        <f t="shared" si="57"/>
        <v>#DIV/0!</v>
      </c>
      <c r="K30" s="894">
        <f t="shared" si="58"/>
        <v>0</v>
      </c>
      <c r="L30" s="895">
        <f t="shared" si="39"/>
        <v>0</v>
      </c>
      <c r="M30" s="895">
        <f t="shared" si="59"/>
        <v>0</v>
      </c>
      <c r="N30" s="894" t="e">
        <f t="shared" si="60"/>
        <v>#DIV/0!</v>
      </c>
      <c r="O30" s="894" t="e">
        <f t="shared" si="61"/>
        <v>#DIV/0!</v>
      </c>
      <c r="P30" s="892"/>
      <c r="Q30" s="891"/>
      <c r="R30" s="893">
        <f t="shared" si="62"/>
        <v>0</v>
      </c>
      <c r="S30" s="894">
        <f t="shared" si="63"/>
        <v>0</v>
      </c>
      <c r="T30" s="895">
        <f t="shared" si="64"/>
        <v>0</v>
      </c>
      <c r="U30" s="895">
        <f t="shared" si="65"/>
        <v>0</v>
      </c>
      <c r="V30" s="894" t="e">
        <f t="shared" si="66"/>
        <v>#DIV/0!</v>
      </c>
      <c r="W30" s="894" t="e">
        <f t="shared" si="67"/>
        <v>#DIV/0!</v>
      </c>
      <c r="X30" s="892"/>
      <c r="Y30" s="891"/>
      <c r="Z30" s="893">
        <f t="shared" si="68"/>
        <v>0</v>
      </c>
      <c r="AA30" s="894">
        <f t="shared" si="69"/>
        <v>0</v>
      </c>
      <c r="AB30" s="895">
        <f t="shared" si="70"/>
        <v>0</v>
      </c>
      <c r="AC30" s="895">
        <f t="shared" si="71"/>
        <v>0</v>
      </c>
      <c r="AD30" s="894" t="e">
        <f t="shared" si="72"/>
        <v>#DIV/0!</v>
      </c>
      <c r="AE30" s="894" t="e">
        <f t="shared" si="73"/>
        <v>#DIV/0!</v>
      </c>
      <c r="AF30" s="892"/>
      <c r="AG30" s="891"/>
      <c r="AH30" s="893">
        <f t="shared" si="74"/>
        <v>0</v>
      </c>
      <c r="AI30" s="894">
        <f t="shared" si="75"/>
        <v>0</v>
      </c>
      <c r="AJ30" s="895">
        <f t="shared" si="76"/>
        <v>0</v>
      </c>
      <c r="AK30" s="895">
        <f t="shared" si="77"/>
        <v>0</v>
      </c>
      <c r="AL30" s="894" t="e">
        <f t="shared" si="78"/>
        <v>#DIV/0!</v>
      </c>
      <c r="AM30" s="894" t="e">
        <f t="shared" si="79"/>
        <v>#DIV/0!</v>
      </c>
      <c r="AN30" s="892"/>
      <c r="AO30" s="891"/>
      <c r="AP30" s="893">
        <f t="shared" si="80"/>
        <v>0</v>
      </c>
      <c r="AQ30" s="894">
        <f t="shared" si="81"/>
        <v>0</v>
      </c>
      <c r="AR30" s="895">
        <f t="shared" si="82"/>
        <v>0</v>
      </c>
      <c r="AS30" s="895">
        <f t="shared" si="83"/>
        <v>0</v>
      </c>
      <c r="AT30" s="894" t="e">
        <f t="shared" si="84"/>
        <v>#DIV/0!</v>
      </c>
      <c r="AU30" s="894" t="e">
        <f t="shared" si="85"/>
        <v>#DIV/0!</v>
      </c>
      <c r="AV30" s="892"/>
      <c r="AW30" s="891"/>
      <c r="AX30" s="1255">
        <f t="shared" si="86"/>
        <v>0</v>
      </c>
      <c r="AY30" s="1256">
        <f t="shared" si="87"/>
        <v>0</v>
      </c>
      <c r="AZ30" s="1257">
        <f t="shared" si="88"/>
        <v>0</v>
      </c>
      <c r="BA30" s="1257">
        <f t="shared" si="89"/>
        <v>0</v>
      </c>
      <c r="BB30" s="1256" t="e">
        <f t="shared" si="90"/>
        <v>#DIV/0!</v>
      </c>
      <c r="BC30" s="1256" t="e">
        <f t="shared" si="91"/>
        <v>#DIV/0!</v>
      </c>
      <c r="BD30" s="896"/>
      <c r="BE30" s="891"/>
      <c r="BF30" s="893">
        <f t="shared" si="92"/>
        <v>0</v>
      </c>
      <c r="BG30" s="894">
        <f t="shared" si="93"/>
        <v>0</v>
      </c>
      <c r="BH30" s="895">
        <f t="shared" si="94"/>
        <v>0</v>
      </c>
      <c r="BI30" s="895">
        <f t="shared" si="95"/>
        <v>0</v>
      </c>
      <c r="BJ30" s="894" t="e">
        <f t="shared" si="96"/>
        <v>#DIV/0!</v>
      </c>
      <c r="BK30" s="894" t="e">
        <f t="shared" si="97"/>
        <v>#DIV/0!</v>
      </c>
      <c r="BL30" s="892"/>
      <c r="BM30" s="891"/>
      <c r="BN30" s="893">
        <f t="shared" si="98"/>
        <v>0</v>
      </c>
      <c r="BO30" s="894">
        <f t="shared" si="99"/>
        <v>0</v>
      </c>
      <c r="BP30" s="895">
        <f t="shared" si="100"/>
        <v>0</v>
      </c>
      <c r="BQ30" s="895">
        <f t="shared" si="101"/>
        <v>0</v>
      </c>
      <c r="BR30" s="894" t="e">
        <f t="shared" si="102"/>
        <v>#DIV/0!</v>
      </c>
      <c r="BS30" s="894" t="e">
        <f t="shared" si="103"/>
        <v>#DIV/0!</v>
      </c>
      <c r="BT30" s="892"/>
      <c r="BU30" s="891"/>
      <c r="BV30" s="893">
        <f t="shared" si="104"/>
        <v>0</v>
      </c>
      <c r="BW30" s="894">
        <f t="shared" si="105"/>
        <v>0</v>
      </c>
      <c r="BX30" s="895">
        <f t="shared" si="106"/>
        <v>0</v>
      </c>
      <c r="BY30" s="895">
        <f t="shared" si="107"/>
        <v>0</v>
      </c>
      <c r="BZ30" s="894" t="e">
        <f t="shared" si="108"/>
        <v>#DIV/0!</v>
      </c>
      <c r="CA30" s="894" t="e">
        <f t="shared" si="109"/>
        <v>#DIV/0!</v>
      </c>
      <c r="CB30" s="871"/>
      <c r="CC30" s="889" t="e">
        <f t="shared" si="110"/>
        <v>#DIV/0!</v>
      </c>
      <c r="CD30" s="180"/>
      <c r="CE30" s="180"/>
    </row>
    <row r="31" spans="1:89" ht="21.75" customHeight="1" x14ac:dyDescent="0.55000000000000004">
      <c r="A31" s="180"/>
      <c r="B31" s="180"/>
      <c r="D31" s="890" t="s">
        <v>57</v>
      </c>
      <c r="E31" s="891"/>
      <c r="F31" s="891"/>
      <c r="G31" s="891"/>
      <c r="H31" s="892"/>
      <c r="I31" s="891"/>
      <c r="J31" s="893" t="e">
        <f t="shared" si="57"/>
        <v>#DIV/0!</v>
      </c>
      <c r="K31" s="894">
        <f t="shared" si="58"/>
        <v>0</v>
      </c>
      <c r="L31" s="895">
        <f t="shared" si="39"/>
        <v>0</v>
      </c>
      <c r="M31" s="895">
        <f t="shared" si="59"/>
        <v>0</v>
      </c>
      <c r="N31" s="894" t="e">
        <f t="shared" si="60"/>
        <v>#DIV/0!</v>
      </c>
      <c r="O31" s="894" t="e">
        <f t="shared" si="61"/>
        <v>#DIV/0!</v>
      </c>
      <c r="P31" s="892"/>
      <c r="Q31" s="891"/>
      <c r="R31" s="893">
        <f t="shared" si="62"/>
        <v>0</v>
      </c>
      <c r="S31" s="894">
        <f t="shared" si="63"/>
        <v>0</v>
      </c>
      <c r="T31" s="895">
        <f t="shared" si="64"/>
        <v>0</v>
      </c>
      <c r="U31" s="895">
        <f t="shared" si="65"/>
        <v>0</v>
      </c>
      <c r="V31" s="894" t="e">
        <f t="shared" si="66"/>
        <v>#DIV/0!</v>
      </c>
      <c r="W31" s="894" t="e">
        <f t="shared" si="67"/>
        <v>#DIV/0!</v>
      </c>
      <c r="X31" s="892"/>
      <c r="Y31" s="891"/>
      <c r="Z31" s="893">
        <f t="shared" si="68"/>
        <v>0</v>
      </c>
      <c r="AA31" s="894">
        <f t="shared" si="69"/>
        <v>0</v>
      </c>
      <c r="AB31" s="895">
        <f t="shared" si="70"/>
        <v>0</v>
      </c>
      <c r="AC31" s="895">
        <f t="shared" si="71"/>
        <v>0</v>
      </c>
      <c r="AD31" s="894" t="e">
        <f t="shared" si="72"/>
        <v>#DIV/0!</v>
      </c>
      <c r="AE31" s="894" t="e">
        <f t="shared" si="73"/>
        <v>#DIV/0!</v>
      </c>
      <c r="AF31" s="892"/>
      <c r="AG31" s="891"/>
      <c r="AH31" s="893">
        <f t="shared" si="74"/>
        <v>0</v>
      </c>
      <c r="AI31" s="894">
        <f t="shared" si="75"/>
        <v>0</v>
      </c>
      <c r="AJ31" s="895">
        <f t="shared" si="76"/>
        <v>0</v>
      </c>
      <c r="AK31" s="895">
        <f t="shared" si="77"/>
        <v>0</v>
      </c>
      <c r="AL31" s="894" t="e">
        <f t="shared" si="78"/>
        <v>#DIV/0!</v>
      </c>
      <c r="AM31" s="894" t="e">
        <f t="shared" si="79"/>
        <v>#DIV/0!</v>
      </c>
      <c r="AN31" s="892"/>
      <c r="AO31" s="891"/>
      <c r="AP31" s="893">
        <f t="shared" si="80"/>
        <v>0</v>
      </c>
      <c r="AQ31" s="894">
        <f t="shared" si="81"/>
        <v>0</v>
      </c>
      <c r="AR31" s="895">
        <f t="shared" si="82"/>
        <v>0</v>
      </c>
      <c r="AS31" s="895">
        <f t="shared" si="83"/>
        <v>0</v>
      </c>
      <c r="AT31" s="894" t="e">
        <f t="shared" si="84"/>
        <v>#DIV/0!</v>
      </c>
      <c r="AU31" s="894" t="e">
        <f t="shared" si="85"/>
        <v>#DIV/0!</v>
      </c>
      <c r="AV31" s="892"/>
      <c r="AW31" s="891"/>
      <c r="AX31" s="893">
        <f t="shared" si="86"/>
        <v>0</v>
      </c>
      <c r="AY31" s="894">
        <f t="shared" si="87"/>
        <v>0</v>
      </c>
      <c r="AZ31" s="895">
        <f t="shared" si="88"/>
        <v>0</v>
      </c>
      <c r="BA31" s="895">
        <f t="shared" si="89"/>
        <v>0</v>
      </c>
      <c r="BB31" s="894" t="e">
        <f t="shared" si="90"/>
        <v>#DIV/0!</v>
      </c>
      <c r="BC31" s="894" t="e">
        <f t="shared" si="91"/>
        <v>#DIV/0!</v>
      </c>
      <c r="BD31" s="896"/>
      <c r="BE31" s="891"/>
      <c r="BF31" s="893">
        <f t="shared" si="92"/>
        <v>0</v>
      </c>
      <c r="BG31" s="894">
        <f t="shared" si="93"/>
        <v>0</v>
      </c>
      <c r="BH31" s="895">
        <f t="shared" si="94"/>
        <v>0</v>
      </c>
      <c r="BI31" s="895">
        <f t="shared" si="95"/>
        <v>0</v>
      </c>
      <c r="BJ31" s="894" t="e">
        <f t="shared" si="96"/>
        <v>#DIV/0!</v>
      </c>
      <c r="BK31" s="894" t="e">
        <f t="shared" si="97"/>
        <v>#DIV/0!</v>
      </c>
      <c r="BL31" s="892"/>
      <c r="BM31" s="891"/>
      <c r="BN31" s="893">
        <f t="shared" si="98"/>
        <v>0</v>
      </c>
      <c r="BO31" s="894">
        <f t="shared" si="99"/>
        <v>0</v>
      </c>
      <c r="BP31" s="895">
        <f t="shared" si="100"/>
        <v>0</v>
      </c>
      <c r="BQ31" s="895">
        <f t="shared" si="101"/>
        <v>0</v>
      </c>
      <c r="BR31" s="894" t="e">
        <f t="shared" si="102"/>
        <v>#DIV/0!</v>
      </c>
      <c r="BS31" s="894" t="e">
        <f t="shared" si="103"/>
        <v>#DIV/0!</v>
      </c>
      <c r="BT31" s="892"/>
      <c r="BU31" s="891"/>
      <c r="BV31" s="893">
        <f t="shared" si="104"/>
        <v>0</v>
      </c>
      <c r="BW31" s="894">
        <f t="shared" si="105"/>
        <v>0</v>
      </c>
      <c r="BX31" s="895">
        <f t="shared" si="106"/>
        <v>0</v>
      </c>
      <c r="BY31" s="895">
        <f t="shared" si="107"/>
        <v>0</v>
      </c>
      <c r="BZ31" s="894" t="e">
        <f t="shared" si="108"/>
        <v>#DIV/0!</v>
      </c>
      <c r="CA31" s="894" t="e">
        <f t="shared" si="109"/>
        <v>#DIV/0!</v>
      </c>
      <c r="CB31" s="871"/>
      <c r="CC31" s="889" t="e">
        <f t="shared" si="110"/>
        <v>#DIV/0!</v>
      </c>
      <c r="CD31" s="180"/>
      <c r="CE31" s="180"/>
    </row>
    <row r="32" spans="1:89" ht="21.75" customHeight="1" x14ac:dyDescent="0.55000000000000004">
      <c r="A32" s="180"/>
      <c r="B32" s="180"/>
      <c r="D32" s="890" t="s">
        <v>58</v>
      </c>
      <c r="E32" s="891"/>
      <c r="F32" s="891"/>
      <c r="G32" s="891"/>
      <c r="H32" s="892"/>
      <c r="I32" s="891"/>
      <c r="J32" s="893" t="e">
        <f t="shared" si="57"/>
        <v>#DIV/0!</v>
      </c>
      <c r="K32" s="894">
        <f t="shared" si="58"/>
        <v>0</v>
      </c>
      <c r="L32" s="895">
        <f t="shared" si="39"/>
        <v>0</v>
      </c>
      <c r="M32" s="895">
        <f t="shared" si="59"/>
        <v>0</v>
      </c>
      <c r="N32" s="894" t="e">
        <f t="shared" si="60"/>
        <v>#DIV/0!</v>
      </c>
      <c r="O32" s="894" t="e">
        <f t="shared" si="61"/>
        <v>#DIV/0!</v>
      </c>
      <c r="P32" s="892"/>
      <c r="Q32" s="891"/>
      <c r="R32" s="893">
        <f t="shared" si="62"/>
        <v>0</v>
      </c>
      <c r="S32" s="894">
        <f t="shared" si="63"/>
        <v>0</v>
      </c>
      <c r="T32" s="895">
        <f t="shared" si="64"/>
        <v>0</v>
      </c>
      <c r="U32" s="895">
        <f t="shared" si="65"/>
        <v>0</v>
      </c>
      <c r="V32" s="894" t="e">
        <f t="shared" si="66"/>
        <v>#DIV/0!</v>
      </c>
      <c r="W32" s="894" t="e">
        <f t="shared" si="67"/>
        <v>#DIV/0!</v>
      </c>
      <c r="X32" s="892"/>
      <c r="Y32" s="891"/>
      <c r="Z32" s="893">
        <f t="shared" si="68"/>
        <v>0</v>
      </c>
      <c r="AA32" s="894">
        <f t="shared" si="69"/>
        <v>0</v>
      </c>
      <c r="AB32" s="895">
        <f t="shared" si="70"/>
        <v>0</v>
      </c>
      <c r="AC32" s="895">
        <f t="shared" si="71"/>
        <v>0</v>
      </c>
      <c r="AD32" s="894" t="e">
        <f t="shared" si="72"/>
        <v>#DIV/0!</v>
      </c>
      <c r="AE32" s="894" t="e">
        <f t="shared" si="73"/>
        <v>#DIV/0!</v>
      </c>
      <c r="AF32" s="892"/>
      <c r="AG32" s="891"/>
      <c r="AH32" s="893">
        <f t="shared" si="74"/>
        <v>0</v>
      </c>
      <c r="AI32" s="894">
        <f t="shared" si="75"/>
        <v>0</v>
      </c>
      <c r="AJ32" s="895">
        <f t="shared" si="76"/>
        <v>0</v>
      </c>
      <c r="AK32" s="895">
        <f t="shared" si="77"/>
        <v>0</v>
      </c>
      <c r="AL32" s="894" t="e">
        <f t="shared" si="78"/>
        <v>#DIV/0!</v>
      </c>
      <c r="AM32" s="894" t="e">
        <f t="shared" si="79"/>
        <v>#DIV/0!</v>
      </c>
      <c r="AN32" s="892"/>
      <c r="AO32" s="891"/>
      <c r="AP32" s="893">
        <f t="shared" si="80"/>
        <v>0</v>
      </c>
      <c r="AQ32" s="894">
        <f t="shared" si="81"/>
        <v>0</v>
      </c>
      <c r="AR32" s="895">
        <f t="shared" si="82"/>
        <v>0</v>
      </c>
      <c r="AS32" s="895">
        <f t="shared" si="83"/>
        <v>0</v>
      </c>
      <c r="AT32" s="894" t="e">
        <f t="shared" si="84"/>
        <v>#DIV/0!</v>
      </c>
      <c r="AU32" s="894" t="e">
        <f t="shared" si="85"/>
        <v>#DIV/0!</v>
      </c>
      <c r="AV32" s="892"/>
      <c r="AW32" s="891"/>
      <c r="AX32" s="1255">
        <f t="shared" si="86"/>
        <v>0</v>
      </c>
      <c r="AY32" s="1256">
        <f t="shared" si="87"/>
        <v>0</v>
      </c>
      <c r="AZ32" s="1257">
        <f t="shared" si="88"/>
        <v>0</v>
      </c>
      <c r="BA32" s="1257">
        <f t="shared" si="89"/>
        <v>0</v>
      </c>
      <c r="BB32" s="1256" t="e">
        <f t="shared" si="90"/>
        <v>#DIV/0!</v>
      </c>
      <c r="BC32" s="1256" t="e">
        <f t="shared" si="91"/>
        <v>#DIV/0!</v>
      </c>
      <c r="BD32" s="896"/>
      <c r="BE32" s="891"/>
      <c r="BF32" s="893">
        <f t="shared" si="92"/>
        <v>0</v>
      </c>
      <c r="BG32" s="894">
        <f t="shared" si="93"/>
        <v>0</v>
      </c>
      <c r="BH32" s="895">
        <f t="shared" si="94"/>
        <v>0</v>
      </c>
      <c r="BI32" s="895">
        <f t="shared" si="95"/>
        <v>0</v>
      </c>
      <c r="BJ32" s="894" t="e">
        <f t="shared" si="96"/>
        <v>#DIV/0!</v>
      </c>
      <c r="BK32" s="894" t="e">
        <f t="shared" si="97"/>
        <v>#DIV/0!</v>
      </c>
      <c r="BL32" s="892"/>
      <c r="BM32" s="891"/>
      <c r="BN32" s="893">
        <f t="shared" si="98"/>
        <v>0</v>
      </c>
      <c r="BO32" s="894">
        <f t="shared" si="99"/>
        <v>0</v>
      </c>
      <c r="BP32" s="895">
        <f t="shared" si="100"/>
        <v>0</v>
      </c>
      <c r="BQ32" s="895">
        <f t="shared" si="101"/>
        <v>0</v>
      </c>
      <c r="BR32" s="894" t="e">
        <f t="shared" si="102"/>
        <v>#DIV/0!</v>
      </c>
      <c r="BS32" s="894" t="e">
        <f t="shared" si="103"/>
        <v>#DIV/0!</v>
      </c>
      <c r="BT32" s="892"/>
      <c r="BU32" s="891"/>
      <c r="BV32" s="893">
        <f t="shared" si="104"/>
        <v>0</v>
      </c>
      <c r="BW32" s="894">
        <f t="shared" si="105"/>
        <v>0</v>
      </c>
      <c r="BX32" s="895">
        <f t="shared" si="106"/>
        <v>0</v>
      </c>
      <c r="BY32" s="895">
        <f t="shared" si="107"/>
        <v>0</v>
      </c>
      <c r="BZ32" s="894" t="e">
        <f t="shared" si="108"/>
        <v>#DIV/0!</v>
      </c>
      <c r="CA32" s="894" t="e">
        <f t="shared" si="109"/>
        <v>#DIV/0!</v>
      </c>
      <c r="CB32" s="871"/>
      <c r="CC32" s="889" t="e">
        <f t="shared" si="110"/>
        <v>#DIV/0!</v>
      </c>
      <c r="CD32" s="180"/>
      <c r="CE32" s="180"/>
    </row>
    <row r="33" spans="1:83" ht="21.75" customHeight="1" x14ac:dyDescent="0.55000000000000004">
      <c r="A33" s="180"/>
      <c r="B33" s="180"/>
      <c r="D33" s="890" t="s">
        <v>59</v>
      </c>
      <c r="E33" s="891"/>
      <c r="F33" s="891"/>
      <c r="G33" s="891"/>
      <c r="H33" s="892"/>
      <c r="I33" s="891"/>
      <c r="J33" s="893" t="e">
        <f t="shared" si="57"/>
        <v>#DIV/0!</v>
      </c>
      <c r="K33" s="894">
        <f t="shared" si="58"/>
        <v>0</v>
      </c>
      <c r="L33" s="895">
        <f t="shared" si="39"/>
        <v>0</v>
      </c>
      <c r="M33" s="895">
        <f t="shared" si="59"/>
        <v>0</v>
      </c>
      <c r="N33" s="894" t="e">
        <f t="shared" si="60"/>
        <v>#DIV/0!</v>
      </c>
      <c r="O33" s="894" t="e">
        <f t="shared" si="61"/>
        <v>#DIV/0!</v>
      </c>
      <c r="P33" s="892"/>
      <c r="Q33" s="891"/>
      <c r="R33" s="893">
        <f t="shared" si="62"/>
        <v>0</v>
      </c>
      <c r="S33" s="894">
        <f t="shared" si="63"/>
        <v>0</v>
      </c>
      <c r="T33" s="895">
        <f t="shared" si="64"/>
        <v>0</v>
      </c>
      <c r="U33" s="895">
        <f t="shared" si="65"/>
        <v>0</v>
      </c>
      <c r="V33" s="894" t="e">
        <f t="shared" si="66"/>
        <v>#DIV/0!</v>
      </c>
      <c r="W33" s="894" t="e">
        <f t="shared" si="67"/>
        <v>#DIV/0!</v>
      </c>
      <c r="X33" s="892"/>
      <c r="Y33" s="891"/>
      <c r="Z33" s="893">
        <f t="shared" si="68"/>
        <v>0</v>
      </c>
      <c r="AA33" s="894">
        <f t="shared" si="69"/>
        <v>0</v>
      </c>
      <c r="AB33" s="895">
        <f t="shared" si="70"/>
        <v>0</v>
      </c>
      <c r="AC33" s="895">
        <f t="shared" si="71"/>
        <v>0</v>
      </c>
      <c r="AD33" s="894" t="e">
        <f t="shared" si="72"/>
        <v>#DIV/0!</v>
      </c>
      <c r="AE33" s="894" t="e">
        <f t="shared" si="73"/>
        <v>#DIV/0!</v>
      </c>
      <c r="AF33" s="892"/>
      <c r="AG33" s="891"/>
      <c r="AH33" s="893">
        <f t="shared" si="74"/>
        <v>0</v>
      </c>
      <c r="AI33" s="894">
        <f t="shared" si="75"/>
        <v>0</v>
      </c>
      <c r="AJ33" s="895">
        <f t="shared" si="76"/>
        <v>0</v>
      </c>
      <c r="AK33" s="895">
        <f t="shared" si="77"/>
        <v>0</v>
      </c>
      <c r="AL33" s="894" t="e">
        <f t="shared" si="78"/>
        <v>#DIV/0!</v>
      </c>
      <c r="AM33" s="894" t="e">
        <f t="shared" si="79"/>
        <v>#DIV/0!</v>
      </c>
      <c r="AN33" s="892"/>
      <c r="AO33" s="891"/>
      <c r="AP33" s="893">
        <f t="shared" si="80"/>
        <v>0</v>
      </c>
      <c r="AQ33" s="894">
        <f t="shared" si="81"/>
        <v>0</v>
      </c>
      <c r="AR33" s="895">
        <f t="shared" si="82"/>
        <v>0</v>
      </c>
      <c r="AS33" s="895">
        <f t="shared" si="83"/>
        <v>0</v>
      </c>
      <c r="AT33" s="894" t="e">
        <f t="shared" si="84"/>
        <v>#DIV/0!</v>
      </c>
      <c r="AU33" s="894" t="e">
        <f t="shared" si="85"/>
        <v>#DIV/0!</v>
      </c>
      <c r="AV33" s="892"/>
      <c r="AW33" s="891"/>
      <c r="AX33" s="893">
        <f t="shared" si="86"/>
        <v>0</v>
      </c>
      <c r="AY33" s="894">
        <f t="shared" si="87"/>
        <v>0</v>
      </c>
      <c r="AZ33" s="895">
        <f t="shared" si="88"/>
        <v>0</v>
      </c>
      <c r="BA33" s="895">
        <f t="shared" si="89"/>
        <v>0</v>
      </c>
      <c r="BB33" s="894" t="e">
        <f t="shared" si="90"/>
        <v>#DIV/0!</v>
      </c>
      <c r="BC33" s="894" t="e">
        <f t="shared" si="91"/>
        <v>#DIV/0!</v>
      </c>
      <c r="BD33" s="896"/>
      <c r="BE33" s="891"/>
      <c r="BF33" s="893">
        <f t="shared" si="92"/>
        <v>0</v>
      </c>
      <c r="BG33" s="894">
        <f t="shared" si="93"/>
        <v>0</v>
      </c>
      <c r="BH33" s="895">
        <f t="shared" si="94"/>
        <v>0</v>
      </c>
      <c r="BI33" s="895">
        <f t="shared" si="95"/>
        <v>0</v>
      </c>
      <c r="BJ33" s="894" t="e">
        <f t="shared" si="96"/>
        <v>#DIV/0!</v>
      </c>
      <c r="BK33" s="894" t="e">
        <f t="shared" si="97"/>
        <v>#DIV/0!</v>
      </c>
      <c r="BL33" s="892"/>
      <c r="BM33" s="891"/>
      <c r="BN33" s="893">
        <f t="shared" si="98"/>
        <v>0</v>
      </c>
      <c r="BO33" s="894">
        <f t="shared" si="99"/>
        <v>0</v>
      </c>
      <c r="BP33" s="895">
        <f t="shared" si="100"/>
        <v>0</v>
      </c>
      <c r="BQ33" s="895">
        <f t="shared" si="101"/>
        <v>0</v>
      </c>
      <c r="BR33" s="894" t="e">
        <f t="shared" si="102"/>
        <v>#DIV/0!</v>
      </c>
      <c r="BS33" s="894" t="e">
        <f t="shared" si="103"/>
        <v>#DIV/0!</v>
      </c>
      <c r="BT33" s="892"/>
      <c r="BU33" s="891"/>
      <c r="BV33" s="893">
        <f t="shared" si="104"/>
        <v>0</v>
      </c>
      <c r="BW33" s="894">
        <f t="shared" si="105"/>
        <v>0</v>
      </c>
      <c r="BX33" s="895">
        <f t="shared" si="106"/>
        <v>0</v>
      </c>
      <c r="BY33" s="895">
        <f t="shared" si="107"/>
        <v>0</v>
      </c>
      <c r="BZ33" s="894" t="e">
        <f t="shared" si="108"/>
        <v>#DIV/0!</v>
      </c>
      <c r="CA33" s="894" t="e">
        <f t="shared" si="109"/>
        <v>#DIV/0!</v>
      </c>
      <c r="CB33" s="871"/>
      <c r="CC33" s="889" t="e">
        <f t="shared" si="110"/>
        <v>#DIV/0!</v>
      </c>
      <c r="CD33" s="180"/>
      <c r="CE33" s="180"/>
    </row>
    <row r="34" spans="1:83" ht="21.75" customHeight="1" x14ac:dyDescent="0.55000000000000004">
      <c r="A34" s="180"/>
      <c r="B34" s="180"/>
      <c r="D34" s="890" t="s">
        <v>60</v>
      </c>
      <c r="E34" s="891"/>
      <c r="F34" s="891"/>
      <c r="G34" s="891"/>
      <c r="H34" s="892"/>
      <c r="I34" s="891"/>
      <c r="J34" s="893" t="e">
        <f t="shared" si="57"/>
        <v>#DIV/0!</v>
      </c>
      <c r="K34" s="894">
        <f t="shared" si="58"/>
        <v>0</v>
      </c>
      <c r="L34" s="895">
        <f t="shared" si="39"/>
        <v>0</v>
      </c>
      <c r="M34" s="895">
        <f t="shared" si="59"/>
        <v>0</v>
      </c>
      <c r="N34" s="894" t="e">
        <f t="shared" si="60"/>
        <v>#DIV/0!</v>
      </c>
      <c r="O34" s="894" t="e">
        <f t="shared" si="61"/>
        <v>#DIV/0!</v>
      </c>
      <c r="P34" s="892"/>
      <c r="Q34" s="891"/>
      <c r="R34" s="893">
        <f t="shared" si="62"/>
        <v>0</v>
      </c>
      <c r="S34" s="894">
        <f t="shared" si="63"/>
        <v>0</v>
      </c>
      <c r="T34" s="895">
        <f t="shared" si="64"/>
        <v>0</v>
      </c>
      <c r="U34" s="895">
        <f t="shared" si="65"/>
        <v>0</v>
      </c>
      <c r="V34" s="894" t="e">
        <f t="shared" si="66"/>
        <v>#DIV/0!</v>
      </c>
      <c r="W34" s="894" t="e">
        <f t="shared" si="67"/>
        <v>#DIV/0!</v>
      </c>
      <c r="X34" s="892"/>
      <c r="Y34" s="891"/>
      <c r="Z34" s="893">
        <f t="shared" si="68"/>
        <v>0</v>
      </c>
      <c r="AA34" s="894">
        <f t="shared" si="69"/>
        <v>0</v>
      </c>
      <c r="AB34" s="895">
        <f t="shared" si="70"/>
        <v>0</v>
      </c>
      <c r="AC34" s="895">
        <f t="shared" si="71"/>
        <v>0</v>
      </c>
      <c r="AD34" s="894" t="e">
        <f t="shared" si="72"/>
        <v>#DIV/0!</v>
      </c>
      <c r="AE34" s="894" t="e">
        <f t="shared" si="73"/>
        <v>#DIV/0!</v>
      </c>
      <c r="AF34" s="892"/>
      <c r="AG34" s="891"/>
      <c r="AH34" s="893">
        <f t="shared" si="74"/>
        <v>0</v>
      </c>
      <c r="AI34" s="894">
        <f t="shared" si="75"/>
        <v>0</v>
      </c>
      <c r="AJ34" s="895">
        <f t="shared" si="76"/>
        <v>0</v>
      </c>
      <c r="AK34" s="895">
        <f t="shared" si="77"/>
        <v>0</v>
      </c>
      <c r="AL34" s="894" t="e">
        <f t="shared" si="78"/>
        <v>#DIV/0!</v>
      </c>
      <c r="AM34" s="894" t="e">
        <f t="shared" si="79"/>
        <v>#DIV/0!</v>
      </c>
      <c r="AN34" s="892"/>
      <c r="AO34" s="891"/>
      <c r="AP34" s="893">
        <f t="shared" si="80"/>
        <v>0</v>
      </c>
      <c r="AQ34" s="894">
        <f t="shared" si="81"/>
        <v>0</v>
      </c>
      <c r="AR34" s="895">
        <f t="shared" si="82"/>
        <v>0</v>
      </c>
      <c r="AS34" s="895">
        <f t="shared" si="83"/>
        <v>0</v>
      </c>
      <c r="AT34" s="894" t="e">
        <f t="shared" si="84"/>
        <v>#DIV/0!</v>
      </c>
      <c r="AU34" s="894" t="e">
        <f t="shared" si="85"/>
        <v>#DIV/0!</v>
      </c>
      <c r="AV34" s="892"/>
      <c r="AW34" s="891"/>
      <c r="AX34" s="1255">
        <f t="shared" si="86"/>
        <v>0</v>
      </c>
      <c r="AY34" s="1256">
        <f t="shared" si="87"/>
        <v>0</v>
      </c>
      <c r="AZ34" s="1257">
        <f t="shared" si="88"/>
        <v>0</v>
      </c>
      <c r="BA34" s="1257">
        <f t="shared" si="89"/>
        <v>0</v>
      </c>
      <c r="BB34" s="1256" t="e">
        <f t="shared" si="90"/>
        <v>#DIV/0!</v>
      </c>
      <c r="BC34" s="1256" t="e">
        <f t="shared" si="91"/>
        <v>#DIV/0!</v>
      </c>
      <c r="BD34" s="896"/>
      <c r="BE34" s="891"/>
      <c r="BF34" s="893">
        <f t="shared" si="92"/>
        <v>0</v>
      </c>
      <c r="BG34" s="894">
        <f t="shared" si="93"/>
        <v>0</v>
      </c>
      <c r="BH34" s="895">
        <f t="shared" si="94"/>
        <v>0</v>
      </c>
      <c r="BI34" s="895">
        <f t="shared" si="95"/>
        <v>0</v>
      </c>
      <c r="BJ34" s="894" t="e">
        <f t="shared" si="96"/>
        <v>#DIV/0!</v>
      </c>
      <c r="BK34" s="894" t="e">
        <f t="shared" si="97"/>
        <v>#DIV/0!</v>
      </c>
      <c r="BL34" s="892"/>
      <c r="BM34" s="891"/>
      <c r="BN34" s="893">
        <f t="shared" si="98"/>
        <v>0</v>
      </c>
      <c r="BO34" s="894">
        <f t="shared" si="99"/>
        <v>0</v>
      </c>
      <c r="BP34" s="895">
        <f t="shared" si="100"/>
        <v>0</v>
      </c>
      <c r="BQ34" s="895">
        <f t="shared" si="101"/>
        <v>0</v>
      </c>
      <c r="BR34" s="894" t="e">
        <f t="shared" si="102"/>
        <v>#DIV/0!</v>
      </c>
      <c r="BS34" s="894" t="e">
        <f t="shared" si="103"/>
        <v>#DIV/0!</v>
      </c>
      <c r="BT34" s="892"/>
      <c r="BU34" s="891"/>
      <c r="BV34" s="893">
        <f t="shared" si="104"/>
        <v>0</v>
      </c>
      <c r="BW34" s="894">
        <f t="shared" si="105"/>
        <v>0</v>
      </c>
      <c r="BX34" s="895">
        <f t="shared" si="106"/>
        <v>0</v>
      </c>
      <c r="BY34" s="895">
        <f t="shared" si="107"/>
        <v>0</v>
      </c>
      <c r="BZ34" s="894" t="e">
        <f t="shared" si="108"/>
        <v>#DIV/0!</v>
      </c>
      <c r="CA34" s="894" t="e">
        <f t="shared" si="109"/>
        <v>#DIV/0!</v>
      </c>
      <c r="CB34" s="871"/>
      <c r="CC34" s="889" t="e">
        <f t="shared" si="110"/>
        <v>#DIV/0!</v>
      </c>
      <c r="CD34" s="180"/>
      <c r="CE34" s="180"/>
    </row>
    <row r="35" spans="1:83" ht="21.75" customHeight="1" x14ac:dyDescent="0.55000000000000004">
      <c r="A35" s="180"/>
      <c r="B35" s="180"/>
      <c r="D35" s="890" t="s">
        <v>61</v>
      </c>
      <c r="E35" s="891"/>
      <c r="F35" s="891"/>
      <c r="G35" s="891"/>
      <c r="H35" s="892"/>
      <c r="I35" s="891"/>
      <c r="J35" s="893" t="e">
        <f t="shared" si="57"/>
        <v>#DIV/0!</v>
      </c>
      <c r="K35" s="894">
        <f t="shared" si="58"/>
        <v>0</v>
      </c>
      <c r="L35" s="895">
        <f t="shared" si="39"/>
        <v>0</v>
      </c>
      <c r="M35" s="895">
        <f t="shared" si="59"/>
        <v>0</v>
      </c>
      <c r="N35" s="894" t="e">
        <f t="shared" si="60"/>
        <v>#DIV/0!</v>
      </c>
      <c r="O35" s="894" t="e">
        <f t="shared" si="61"/>
        <v>#DIV/0!</v>
      </c>
      <c r="P35" s="892"/>
      <c r="Q35" s="891"/>
      <c r="R35" s="893">
        <f t="shared" si="62"/>
        <v>0</v>
      </c>
      <c r="S35" s="894">
        <f t="shared" si="63"/>
        <v>0</v>
      </c>
      <c r="T35" s="895">
        <f t="shared" si="64"/>
        <v>0</v>
      </c>
      <c r="U35" s="895">
        <f t="shared" si="65"/>
        <v>0</v>
      </c>
      <c r="V35" s="894" t="e">
        <f t="shared" si="66"/>
        <v>#DIV/0!</v>
      </c>
      <c r="W35" s="894" t="e">
        <f t="shared" si="67"/>
        <v>#DIV/0!</v>
      </c>
      <c r="X35" s="892"/>
      <c r="Y35" s="891"/>
      <c r="Z35" s="893">
        <f t="shared" si="68"/>
        <v>0</v>
      </c>
      <c r="AA35" s="894">
        <f t="shared" si="69"/>
        <v>0</v>
      </c>
      <c r="AB35" s="895">
        <f t="shared" si="70"/>
        <v>0</v>
      </c>
      <c r="AC35" s="895">
        <f t="shared" si="71"/>
        <v>0</v>
      </c>
      <c r="AD35" s="894" t="e">
        <f t="shared" si="72"/>
        <v>#DIV/0!</v>
      </c>
      <c r="AE35" s="894" t="e">
        <f t="shared" si="73"/>
        <v>#DIV/0!</v>
      </c>
      <c r="AF35" s="892"/>
      <c r="AG35" s="891"/>
      <c r="AH35" s="893">
        <f t="shared" si="74"/>
        <v>0</v>
      </c>
      <c r="AI35" s="894">
        <f t="shared" si="75"/>
        <v>0</v>
      </c>
      <c r="AJ35" s="895">
        <f t="shared" si="76"/>
        <v>0</v>
      </c>
      <c r="AK35" s="895">
        <f t="shared" si="77"/>
        <v>0</v>
      </c>
      <c r="AL35" s="894" t="e">
        <f t="shared" si="78"/>
        <v>#DIV/0!</v>
      </c>
      <c r="AM35" s="894" t="e">
        <f t="shared" si="79"/>
        <v>#DIV/0!</v>
      </c>
      <c r="AN35" s="892"/>
      <c r="AO35" s="891"/>
      <c r="AP35" s="893">
        <f t="shared" si="80"/>
        <v>0</v>
      </c>
      <c r="AQ35" s="894">
        <f t="shared" si="81"/>
        <v>0</v>
      </c>
      <c r="AR35" s="895">
        <f t="shared" si="82"/>
        <v>0</v>
      </c>
      <c r="AS35" s="895">
        <f t="shared" si="83"/>
        <v>0</v>
      </c>
      <c r="AT35" s="894" t="e">
        <f t="shared" si="84"/>
        <v>#DIV/0!</v>
      </c>
      <c r="AU35" s="894" t="e">
        <f t="shared" si="85"/>
        <v>#DIV/0!</v>
      </c>
      <c r="AV35" s="892"/>
      <c r="AW35" s="891"/>
      <c r="AX35" s="893">
        <f t="shared" si="86"/>
        <v>0</v>
      </c>
      <c r="AY35" s="894">
        <f t="shared" si="87"/>
        <v>0</v>
      </c>
      <c r="AZ35" s="895">
        <f t="shared" si="88"/>
        <v>0</v>
      </c>
      <c r="BA35" s="895">
        <f t="shared" si="89"/>
        <v>0</v>
      </c>
      <c r="BB35" s="894" t="e">
        <f t="shared" si="90"/>
        <v>#DIV/0!</v>
      </c>
      <c r="BC35" s="894" t="e">
        <f t="shared" si="91"/>
        <v>#DIV/0!</v>
      </c>
      <c r="BD35" s="896"/>
      <c r="BE35" s="891"/>
      <c r="BF35" s="893">
        <f t="shared" si="92"/>
        <v>0</v>
      </c>
      <c r="BG35" s="894">
        <f t="shared" si="93"/>
        <v>0</v>
      </c>
      <c r="BH35" s="895">
        <f t="shared" si="94"/>
        <v>0</v>
      </c>
      <c r="BI35" s="895">
        <f t="shared" si="95"/>
        <v>0</v>
      </c>
      <c r="BJ35" s="894" t="e">
        <f t="shared" si="96"/>
        <v>#DIV/0!</v>
      </c>
      <c r="BK35" s="894" t="e">
        <f t="shared" si="97"/>
        <v>#DIV/0!</v>
      </c>
      <c r="BL35" s="892"/>
      <c r="BM35" s="891"/>
      <c r="BN35" s="893">
        <f t="shared" si="98"/>
        <v>0</v>
      </c>
      <c r="BO35" s="894">
        <f t="shared" si="99"/>
        <v>0</v>
      </c>
      <c r="BP35" s="895">
        <f t="shared" si="100"/>
        <v>0</v>
      </c>
      <c r="BQ35" s="895">
        <f t="shared" si="101"/>
        <v>0</v>
      </c>
      <c r="BR35" s="894" t="e">
        <f t="shared" si="102"/>
        <v>#DIV/0!</v>
      </c>
      <c r="BS35" s="894" t="e">
        <f t="shared" si="103"/>
        <v>#DIV/0!</v>
      </c>
      <c r="BT35" s="892"/>
      <c r="BU35" s="891"/>
      <c r="BV35" s="893">
        <f t="shared" si="104"/>
        <v>0</v>
      </c>
      <c r="BW35" s="894">
        <f t="shared" si="105"/>
        <v>0</v>
      </c>
      <c r="BX35" s="895">
        <f t="shared" si="106"/>
        <v>0</v>
      </c>
      <c r="BY35" s="895">
        <f t="shared" si="107"/>
        <v>0</v>
      </c>
      <c r="BZ35" s="894" t="e">
        <f t="shared" si="108"/>
        <v>#DIV/0!</v>
      </c>
      <c r="CA35" s="894" t="e">
        <f t="shared" si="109"/>
        <v>#DIV/0!</v>
      </c>
      <c r="CB35" s="871"/>
      <c r="CC35" s="889" t="e">
        <f t="shared" si="110"/>
        <v>#DIV/0!</v>
      </c>
      <c r="CD35" s="180"/>
      <c r="CE35" s="180"/>
    </row>
    <row r="36" spans="1:83" ht="21.75" customHeight="1" x14ac:dyDescent="0.55000000000000004">
      <c r="A36" s="180"/>
      <c r="B36" s="180"/>
      <c r="D36" s="890" t="s">
        <v>62</v>
      </c>
      <c r="E36" s="891"/>
      <c r="F36" s="891"/>
      <c r="G36" s="891"/>
      <c r="H36" s="892"/>
      <c r="I36" s="891"/>
      <c r="J36" s="893" t="e">
        <f t="shared" si="57"/>
        <v>#DIV/0!</v>
      </c>
      <c r="K36" s="894">
        <f t="shared" si="58"/>
        <v>0</v>
      </c>
      <c r="L36" s="895">
        <f t="shared" si="39"/>
        <v>0</v>
      </c>
      <c r="M36" s="895">
        <f t="shared" si="59"/>
        <v>0</v>
      </c>
      <c r="N36" s="894" t="e">
        <f t="shared" si="60"/>
        <v>#DIV/0!</v>
      </c>
      <c r="O36" s="894" t="e">
        <f t="shared" si="61"/>
        <v>#DIV/0!</v>
      </c>
      <c r="P36" s="892"/>
      <c r="Q36" s="891"/>
      <c r="R36" s="893">
        <f t="shared" si="62"/>
        <v>0</v>
      </c>
      <c r="S36" s="894">
        <f t="shared" si="63"/>
        <v>0</v>
      </c>
      <c r="T36" s="895">
        <f t="shared" si="64"/>
        <v>0</v>
      </c>
      <c r="U36" s="895">
        <f t="shared" si="65"/>
        <v>0</v>
      </c>
      <c r="V36" s="894" t="e">
        <f t="shared" si="66"/>
        <v>#DIV/0!</v>
      </c>
      <c r="W36" s="894" t="e">
        <f t="shared" si="67"/>
        <v>#DIV/0!</v>
      </c>
      <c r="X36" s="892"/>
      <c r="Y36" s="891"/>
      <c r="Z36" s="893">
        <f t="shared" si="68"/>
        <v>0</v>
      </c>
      <c r="AA36" s="894">
        <f t="shared" si="69"/>
        <v>0</v>
      </c>
      <c r="AB36" s="895">
        <f t="shared" si="70"/>
        <v>0</v>
      </c>
      <c r="AC36" s="895">
        <f t="shared" si="71"/>
        <v>0</v>
      </c>
      <c r="AD36" s="894" t="e">
        <f t="shared" si="72"/>
        <v>#DIV/0!</v>
      </c>
      <c r="AE36" s="894" t="e">
        <f t="shared" si="73"/>
        <v>#DIV/0!</v>
      </c>
      <c r="AF36" s="892"/>
      <c r="AG36" s="891"/>
      <c r="AH36" s="893">
        <f t="shared" si="74"/>
        <v>0</v>
      </c>
      <c r="AI36" s="894">
        <f t="shared" si="75"/>
        <v>0</v>
      </c>
      <c r="AJ36" s="895">
        <f t="shared" si="76"/>
        <v>0</v>
      </c>
      <c r="AK36" s="895">
        <f t="shared" si="77"/>
        <v>0</v>
      </c>
      <c r="AL36" s="894" t="e">
        <f t="shared" si="78"/>
        <v>#DIV/0!</v>
      </c>
      <c r="AM36" s="894" t="e">
        <f t="shared" si="79"/>
        <v>#DIV/0!</v>
      </c>
      <c r="AN36" s="892"/>
      <c r="AO36" s="891"/>
      <c r="AP36" s="893">
        <f t="shared" si="80"/>
        <v>0</v>
      </c>
      <c r="AQ36" s="894">
        <f t="shared" si="81"/>
        <v>0</v>
      </c>
      <c r="AR36" s="895">
        <f t="shared" si="82"/>
        <v>0</v>
      </c>
      <c r="AS36" s="895">
        <f t="shared" si="83"/>
        <v>0</v>
      </c>
      <c r="AT36" s="894" t="e">
        <f t="shared" si="84"/>
        <v>#DIV/0!</v>
      </c>
      <c r="AU36" s="894" t="e">
        <f t="shared" si="85"/>
        <v>#DIV/0!</v>
      </c>
      <c r="AV36" s="892"/>
      <c r="AW36" s="891"/>
      <c r="AX36" s="1255">
        <f t="shared" si="86"/>
        <v>0</v>
      </c>
      <c r="AY36" s="1256">
        <f t="shared" si="87"/>
        <v>0</v>
      </c>
      <c r="AZ36" s="1257">
        <f t="shared" si="88"/>
        <v>0</v>
      </c>
      <c r="BA36" s="1257">
        <f t="shared" si="89"/>
        <v>0</v>
      </c>
      <c r="BB36" s="1256" t="e">
        <f t="shared" si="90"/>
        <v>#DIV/0!</v>
      </c>
      <c r="BC36" s="1256" t="e">
        <f t="shared" si="91"/>
        <v>#DIV/0!</v>
      </c>
      <c r="BD36" s="896"/>
      <c r="BE36" s="891"/>
      <c r="BF36" s="893">
        <f t="shared" si="92"/>
        <v>0</v>
      </c>
      <c r="BG36" s="894">
        <f t="shared" si="93"/>
        <v>0</v>
      </c>
      <c r="BH36" s="895">
        <f t="shared" si="94"/>
        <v>0</v>
      </c>
      <c r="BI36" s="895">
        <f t="shared" si="95"/>
        <v>0</v>
      </c>
      <c r="BJ36" s="894" t="e">
        <f t="shared" si="96"/>
        <v>#DIV/0!</v>
      </c>
      <c r="BK36" s="894" t="e">
        <f t="shared" si="97"/>
        <v>#DIV/0!</v>
      </c>
      <c r="BL36" s="892"/>
      <c r="BM36" s="891"/>
      <c r="BN36" s="893">
        <f t="shared" si="98"/>
        <v>0</v>
      </c>
      <c r="BO36" s="894">
        <f t="shared" si="99"/>
        <v>0</v>
      </c>
      <c r="BP36" s="895">
        <f t="shared" si="100"/>
        <v>0</v>
      </c>
      <c r="BQ36" s="895">
        <f t="shared" si="101"/>
        <v>0</v>
      </c>
      <c r="BR36" s="894" t="e">
        <f t="shared" si="102"/>
        <v>#DIV/0!</v>
      </c>
      <c r="BS36" s="894" t="e">
        <f t="shared" si="103"/>
        <v>#DIV/0!</v>
      </c>
      <c r="BT36" s="892"/>
      <c r="BU36" s="891"/>
      <c r="BV36" s="893">
        <f t="shared" si="104"/>
        <v>0</v>
      </c>
      <c r="BW36" s="894">
        <f t="shared" si="105"/>
        <v>0</v>
      </c>
      <c r="BX36" s="895">
        <f t="shared" si="106"/>
        <v>0</v>
      </c>
      <c r="BY36" s="895">
        <f t="shared" si="107"/>
        <v>0</v>
      </c>
      <c r="BZ36" s="894" t="e">
        <f t="shared" si="108"/>
        <v>#DIV/0!</v>
      </c>
      <c r="CA36" s="894" t="e">
        <f t="shared" si="109"/>
        <v>#DIV/0!</v>
      </c>
      <c r="CB36" s="871"/>
      <c r="CC36" s="889" t="e">
        <f t="shared" si="110"/>
        <v>#DIV/0!</v>
      </c>
      <c r="CD36" s="180"/>
      <c r="CE36" s="180"/>
    </row>
    <row r="37" spans="1:83" ht="21.75" customHeight="1" x14ac:dyDescent="0.55000000000000004">
      <c r="A37" s="180"/>
      <c r="B37" s="180"/>
      <c r="D37" s="890" t="s">
        <v>63</v>
      </c>
      <c r="E37" s="891"/>
      <c r="F37" s="891"/>
      <c r="G37" s="891"/>
      <c r="H37" s="892"/>
      <c r="I37" s="891"/>
      <c r="J37" s="893" t="e">
        <f t="shared" si="57"/>
        <v>#DIV/0!</v>
      </c>
      <c r="K37" s="894">
        <f t="shared" si="58"/>
        <v>0</v>
      </c>
      <c r="L37" s="895">
        <f t="shared" si="39"/>
        <v>0</v>
      </c>
      <c r="M37" s="895">
        <f t="shared" si="59"/>
        <v>0</v>
      </c>
      <c r="N37" s="894" t="e">
        <f t="shared" si="60"/>
        <v>#DIV/0!</v>
      </c>
      <c r="O37" s="894" t="e">
        <f t="shared" si="61"/>
        <v>#DIV/0!</v>
      </c>
      <c r="P37" s="892"/>
      <c r="Q37" s="891"/>
      <c r="R37" s="893">
        <f t="shared" si="62"/>
        <v>0</v>
      </c>
      <c r="S37" s="894">
        <f t="shared" si="63"/>
        <v>0</v>
      </c>
      <c r="T37" s="895">
        <f t="shared" si="64"/>
        <v>0</v>
      </c>
      <c r="U37" s="895">
        <f t="shared" si="65"/>
        <v>0</v>
      </c>
      <c r="V37" s="894" t="e">
        <f t="shared" si="66"/>
        <v>#DIV/0!</v>
      </c>
      <c r="W37" s="894" t="e">
        <f t="shared" si="67"/>
        <v>#DIV/0!</v>
      </c>
      <c r="X37" s="892"/>
      <c r="Y37" s="891"/>
      <c r="Z37" s="893">
        <f t="shared" si="68"/>
        <v>0</v>
      </c>
      <c r="AA37" s="894">
        <f t="shared" si="69"/>
        <v>0</v>
      </c>
      <c r="AB37" s="895">
        <f t="shared" si="70"/>
        <v>0</v>
      </c>
      <c r="AC37" s="895">
        <f t="shared" si="71"/>
        <v>0</v>
      </c>
      <c r="AD37" s="894" t="e">
        <f t="shared" si="72"/>
        <v>#DIV/0!</v>
      </c>
      <c r="AE37" s="894" t="e">
        <f t="shared" si="73"/>
        <v>#DIV/0!</v>
      </c>
      <c r="AF37" s="892"/>
      <c r="AG37" s="891"/>
      <c r="AH37" s="893">
        <f t="shared" si="74"/>
        <v>0</v>
      </c>
      <c r="AI37" s="894">
        <f t="shared" si="75"/>
        <v>0</v>
      </c>
      <c r="AJ37" s="895">
        <f t="shared" si="76"/>
        <v>0</v>
      </c>
      <c r="AK37" s="895">
        <f t="shared" si="77"/>
        <v>0</v>
      </c>
      <c r="AL37" s="894" t="e">
        <f t="shared" si="78"/>
        <v>#DIV/0!</v>
      </c>
      <c r="AM37" s="894" t="e">
        <f t="shared" si="79"/>
        <v>#DIV/0!</v>
      </c>
      <c r="AN37" s="892"/>
      <c r="AO37" s="891"/>
      <c r="AP37" s="893">
        <f t="shared" si="80"/>
        <v>0</v>
      </c>
      <c r="AQ37" s="894">
        <f t="shared" si="81"/>
        <v>0</v>
      </c>
      <c r="AR37" s="895">
        <f t="shared" si="82"/>
        <v>0</v>
      </c>
      <c r="AS37" s="895">
        <f t="shared" si="83"/>
        <v>0</v>
      </c>
      <c r="AT37" s="894" t="e">
        <f t="shared" si="84"/>
        <v>#DIV/0!</v>
      </c>
      <c r="AU37" s="894" t="e">
        <f t="shared" si="85"/>
        <v>#DIV/0!</v>
      </c>
      <c r="AV37" s="892"/>
      <c r="AW37" s="891"/>
      <c r="AX37" s="893">
        <f t="shared" si="86"/>
        <v>0</v>
      </c>
      <c r="AY37" s="894">
        <f t="shared" si="87"/>
        <v>0</v>
      </c>
      <c r="AZ37" s="895">
        <f t="shared" si="88"/>
        <v>0</v>
      </c>
      <c r="BA37" s="895">
        <f t="shared" si="89"/>
        <v>0</v>
      </c>
      <c r="BB37" s="894" t="e">
        <f t="shared" si="90"/>
        <v>#DIV/0!</v>
      </c>
      <c r="BC37" s="894" t="e">
        <f t="shared" si="91"/>
        <v>#DIV/0!</v>
      </c>
      <c r="BD37" s="896"/>
      <c r="BE37" s="891"/>
      <c r="BF37" s="893">
        <f t="shared" si="92"/>
        <v>0</v>
      </c>
      <c r="BG37" s="894">
        <f t="shared" si="93"/>
        <v>0</v>
      </c>
      <c r="BH37" s="895">
        <f t="shared" si="94"/>
        <v>0</v>
      </c>
      <c r="BI37" s="895">
        <f t="shared" si="95"/>
        <v>0</v>
      </c>
      <c r="BJ37" s="894" t="e">
        <f t="shared" si="96"/>
        <v>#DIV/0!</v>
      </c>
      <c r="BK37" s="894" t="e">
        <f t="shared" si="97"/>
        <v>#DIV/0!</v>
      </c>
      <c r="BL37" s="892"/>
      <c r="BM37" s="891"/>
      <c r="BN37" s="893">
        <f t="shared" si="98"/>
        <v>0</v>
      </c>
      <c r="BO37" s="894">
        <f t="shared" si="99"/>
        <v>0</v>
      </c>
      <c r="BP37" s="895">
        <f t="shared" si="100"/>
        <v>0</v>
      </c>
      <c r="BQ37" s="895">
        <f t="shared" si="101"/>
        <v>0</v>
      </c>
      <c r="BR37" s="894" t="e">
        <f t="shared" si="102"/>
        <v>#DIV/0!</v>
      </c>
      <c r="BS37" s="894" t="e">
        <f t="shared" si="103"/>
        <v>#DIV/0!</v>
      </c>
      <c r="BT37" s="892"/>
      <c r="BU37" s="891"/>
      <c r="BV37" s="893">
        <f t="shared" si="104"/>
        <v>0</v>
      </c>
      <c r="BW37" s="894">
        <f t="shared" si="105"/>
        <v>0</v>
      </c>
      <c r="BX37" s="895">
        <f t="shared" si="106"/>
        <v>0</v>
      </c>
      <c r="BY37" s="895">
        <f t="shared" si="107"/>
        <v>0</v>
      </c>
      <c r="BZ37" s="894" t="e">
        <f t="shared" si="108"/>
        <v>#DIV/0!</v>
      </c>
      <c r="CA37" s="894" t="e">
        <f t="shared" si="109"/>
        <v>#DIV/0!</v>
      </c>
      <c r="CB37" s="871"/>
      <c r="CC37" s="889" t="e">
        <f t="shared" si="110"/>
        <v>#DIV/0!</v>
      </c>
      <c r="CD37" s="180"/>
      <c r="CE37" s="180"/>
    </row>
    <row r="38" spans="1:83" ht="21.75" customHeight="1" x14ac:dyDescent="0.55000000000000004">
      <c r="A38" s="180"/>
      <c r="B38" s="180"/>
      <c r="D38" s="890" t="s">
        <v>64</v>
      </c>
      <c r="E38" s="891"/>
      <c r="F38" s="891"/>
      <c r="G38" s="891"/>
      <c r="H38" s="892"/>
      <c r="I38" s="891"/>
      <c r="J38" s="893" t="e">
        <f t="shared" si="57"/>
        <v>#DIV/0!</v>
      </c>
      <c r="K38" s="894">
        <f t="shared" si="58"/>
        <v>0</v>
      </c>
      <c r="L38" s="895">
        <f t="shared" si="39"/>
        <v>0</v>
      </c>
      <c r="M38" s="895">
        <f t="shared" si="59"/>
        <v>0</v>
      </c>
      <c r="N38" s="894" t="e">
        <f t="shared" si="60"/>
        <v>#DIV/0!</v>
      </c>
      <c r="O38" s="894" t="e">
        <f t="shared" si="61"/>
        <v>#DIV/0!</v>
      </c>
      <c r="P38" s="892"/>
      <c r="Q38" s="891"/>
      <c r="R38" s="893">
        <f t="shared" si="62"/>
        <v>0</v>
      </c>
      <c r="S38" s="894">
        <f t="shared" si="63"/>
        <v>0</v>
      </c>
      <c r="T38" s="895">
        <f t="shared" si="64"/>
        <v>0</v>
      </c>
      <c r="U38" s="895">
        <f t="shared" si="65"/>
        <v>0</v>
      </c>
      <c r="V38" s="894" t="e">
        <f t="shared" si="66"/>
        <v>#DIV/0!</v>
      </c>
      <c r="W38" s="894" t="e">
        <f t="shared" si="67"/>
        <v>#DIV/0!</v>
      </c>
      <c r="X38" s="892"/>
      <c r="Y38" s="891"/>
      <c r="Z38" s="893">
        <f t="shared" si="68"/>
        <v>0</v>
      </c>
      <c r="AA38" s="894">
        <f t="shared" si="69"/>
        <v>0</v>
      </c>
      <c r="AB38" s="895">
        <f t="shared" si="70"/>
        <v>0</v>
      </c>
      <c r="AC38" s="895">
        <f t="shared" si="71"/>
        <v>0</v>
      </c>
      <c r="AD38" s="894" t="e">
        <f t="shared" si="72"/>
        <v>#DIV/0!</v>
      </c>
      <c r="AE38" s="894" t="e">
        <f t="shared" si="73"/>
        <v>#DIV/0!</v>
      </c>
      <c r="AF38" s="892"/>
      <c r="AG38" s="891"/>
      <c r="AH38" s="893">
        <f t="shared" si="74"/>
        <v>0</v>
      </c>
      <c r="AI38" s="894">
        <f t="shared" si="75"/>
        <v>0</v>
      </c>
      <c r="AJ38" s="895">
        <f t="shared" si="76"/>
        <v>0</v>
      </c>
      <c r="AK38" s="895">
        <f t="shared" si="77"/>
        <v>0</v>
      </c>
      <c r="AL38" s="894" t="e">
        <f t="shared" si="78"/>
        <v>#DIV/0!</v>
      </c>
      <c r="AM38" s="894" t="e">
        <f t="shared" si="79"/>
        <v>#DIV/0!</v>
      </c>
      <c r="AN38" s="892"/>
      <c r="AO38" s="891"/>
      <c r="AP38" s="893">
        <f t="shared" si="80"/>
        <v>0</v>
      </c>
      <c r="AQ38" s="894">
        <f t="shared" si="81"/>
        <v>0</v>
      </c>
      <c r="AR38" s="895">
        <f t="shared" si="82"/>
        <v>0</v>
      </c>
      <c r="AS38" s="895">
        <f t="shared" si="83"/>
        <v>0</v>
      </c>
      <c r="AT38" s="894" t="e">
        <f t="shared" si="84"/>
        <v>#DIV/0!</v>
      </c>
      <c r="AU38" s="894" t="e">
        <f t="shared" si="85"/>
        <v>#DIV/0!</v>
      </c>
      <c r="AV38" s="892"/>
      <c r="AW38" s="891"/>
      <c r="AX38" s="1255">
        <f t="shared" si="86"/>
        <v>0</v>
      </c>
      <c r="AY38" s="1256">
        <f t="shared" si="87"/>
        <v>0</v>
      </c>
      <c r="AZ38" s="1257">
        <f t="shared" si="88"/>
        <v>0</v>
      </c>
      <c r="BA38" s="1257">
        <f t="shared" si="89"/>
        <v>0</v>
      </c>
      <c r="BB38" s="1256" t="e">
        <f t="shared" si="90"/>
        <v>#DIV/0!</v>
      </c>
      <c r="BC38" s="1256" t="e">
        <f t="shared" si="91"/>
        <v>#DIV/0!</v>
      </c>
      <c r="BD38" s="896"/>
      <c r="BE38" s="891"/>
      <c r="BF38" s="893">
        <f t="shared" si="92"/>
        <v>0</v>
      </c>
      <c r="BG38" s="894">
        <f t="shared" si="93"/>
        <v>0</v>
      </c>
      <c r="BH38" s="895">
        <f t="shared" si="94"/>
        <v>0</v>
      </c>
      <c r="BI38" s="895">
        <f t="shared" si="95"/>
        <v>0</v>
      </c>
      <c r="BJ38" s="894" t="e">
        <f t="shared" si="96"/>
        <v>#DIV/0!</v>
      </c>
      <c r="BK38" s="894" t="e">
        <f t="shared" si="97"/>
        <v>#DIV/0!</v>
      </c>
      <c r="BL38" s="892"/>
      <c r="BM38" s="891"/>
      <c r="BN38" s="893">
        <f t="shared" si="98"/>
        <v>0</v>
      </c>
      <c r="BO38" s="894">
        <f t="shared" si="99"/>
        <v>0</v>
      </c>
      <c r="BP38" s="895">
        <f t="shared" si="100"/>
        <v>0</v>
      </c>
      <c r="BQ38" s="895">
        <f t="shared" si="101"/>
        <v>0</v>
      </c>
      <c r="BR38" s="894" t="e">
        <f t="shared" si="102"/>
        <v>#DIV/0!</v>
      </c>
      <c r="BS38" s="894" t="e">
        <f t="shared" si="103"/>
        <v>#DIV/0!</v>
      </c>
      <c r="BT38" s="892"/>
      <c r="BU38" s="891"/>
      <c r="BV38" s="893">
        <f t="shared" si="104"/>
        <v>0</v>
      </c>
      <c r="BW38" s="894">
        <f t="shared" si="105"/>
        <v>0</v>
      </c>
      <c r="BX38" s="895">
        <f t="shared" si="106"/>
        <v>0</v>
      </c>
      <c r="BY38" s="895">
        <f t="shared" si="107"/>
        <v>0</v>
      </c>
      <c r="BZ38" s="894" t="e">
        <f t="shared" si="108"/>
        <v>#DIV/0!</v>
      </c>
      <c r="CA38" s="894" t="e">
        <f t="shared" si="109"/>
        <v>#DIV/0!</v>
      </c>
      <c r="CB38" s="871"/>
      <c r="CC38" s="889" t="e">
        <f t="shared" si="110"/>
        <v>#DIV/0!</v>
      </c>
      <c r="CD38" s="180"/>
      <c r="CE38" s="180"/>
    </row>
    <row r="39" spans="1:83" ht="21.75" customHeight="1" x14ac:dyDescent="0.55000000000000004">
      <c r="A39" s="180"/>
      <c r="B39" s="180"/>
      <c r="D39" s="890" t="s">
        <v>65</v>
      </c>
      <c r="E39" s="891"/>
      <c r="F39" s="891"/>
      <c r="G39" s="891"/>
      <c r="H39" s="892"/>
      <c r="I39" s="891"/>
      <c r="J39" s="893" t="e">
        <f t="shared" si="57"/>
        <v>#DIV/0!</v>
      </c>
      <c r="K39" s="894">
        <f t="shared" si="58"/>
        <v>0</v>
      </c>
      <c r="L39" s="895">
        <f t="shared" si="39"/>
        <v>0</v>
      </c>
      <c r="M39" s="895">
        <f t="shared" si="59"/>
        <v>0</v>
      </c>
      <c r="N39" s="894" t="e">
        <f t="shared" si="60"/>
        <v>#DIV/0!</v>
      </c>
      <c r="O39" s="894" t="e">
        <f t="shared" si="61"/>
        <v>#DIV/0!</v>
      </c>
      <c r="P39" s="892"/>
      <c r="Q39" s="891"/>
      <c r="R39" s="893">
        <f t="shared" si="62"/>
        <v>0</v>
      </c>
      <c r="S39" s="894">
        <f t="shared" si="63"/>
        <v>0</v>
      </c>
      <c r="T39" s="895">
        <f t="shared" si="64"/>
        <v>0</v>
      </c>
      <c r="U39" s="895">
        <f t="shared" si="65"/>
        <v>0</v>
      </c>
      <c r="V39" s="894" t="e">
        <f t="shared" si="66"/>
        <v>#DIV/0!</v>
      </c>
      <c r="W39" s="894" t="e">
        <f t="shared" si="67"/>
        <v>#DIV/0!</v>
      </c>
      <c r="X39" s="892"/>
      <c r="Y39" s="891"/>
      <c r="Z39" s="893">
        <f t="shared" si="68"/>
        <v>0</v>
      </c>
      <c r="AA39" s="894">
        <f t="shared" si="69"/>
        <v>0</v>
      </c>
      <c r="AB39" s="895">
        <f t="shared" si="70"/>
        <v>0</v>
      </c>
      <c r="AC39" s="895">
        <f t="shared" si="71"/>
        <v>0</v>
      </c>
      <c r="AD39" s="894" t="e">
        <f t="shared" si="72"/>
        <v>#DIV/0!</v>
      </c>
      <c r="AE39" s="894" t="e">
        <f t="shared" si="73"/>
        <v>#DIV/0!</v>
      </c>
      <c r="AF39" s="892"/>
      <c r="AG39" s="891"/>
      <c r="AH39" s="893">
        <f t="shared" si="74"/>
        <v>0</v>
      </c>
      <c r="AI39" s="894">
        <f t="shared" si="75"/>
        <v>0</v>
      </c>
      <c r="AJ39" s="895">
        <f t="shared" si="76"/>
        <v>0</v>
      </c>
      <c r="AK39" s="895">
        <f t="shared" si="77"/>
        <v>0</v>
      </c>
      <c r="AL39" s="894" t="e">
        <f t="shared" si="78"/>
        <v>#DIV/0!</v>
      </c>
      <c r="AM39" s="894" t="e">
        <f t="shared" si="79"/>
        <v>#DIV/0!</v>
      </c>
      <c r="AN39" s="892"/>
      <c r="AO39" s="891"/>
      <c r="AP39" s="893">
        <f t="shared" si="80"/>
        <v>0</v>
      </c>
      <c r="AQ39" s="894">
        <f t="shared" si="81"/>
        <v>0</v>
      </c>
      <c r="AR39" s="895">
        <f t="shared" si="82"/>
        <v>0</v>
      </c>
      <c r="AS39" s="895">
        <f t="shared" si="83"/>
        <v>0</v>
      </c>
      <c r="AT39" s="894" t="e">
        <f t="shared" si="84"/>
        <v>#DIV/0!</v>
      </c>
      <c r="AU39" s="894" t="e">
        <f t="shared" si="85"/>
        <v>#DIV/0!</v>
      </c>
      <c r="AV39" s="892"/>
      <c r="AW39" s="891"/>
      <c r="AX39" s="893">
        <f t="shared" si="86"/>
        <v>0</v>
      </c>
      <c r="AY39" s="894">
        <f t="shared" si="87"/>
        <v>0</v>
      </c>
      <c r="AZ39" s="895">
        <f t="shared" si="88"/>
        <v>0</v>
      </c>
      <c r="BA39" s="895">
        <f t="shared" si="89"/>
        <v>0</v>
      </c>
      <c r="BB39" s="894" t="e">
        <f t="shared" si="90"/>
        <v>#DIV/0!</v>
      </c>
      <c r="BC39" s="894" t="e">
        <f t="shared" si="91"/>
        <v>#DIV/0!</v>
      </c>
      <c r="BD39" s="896"/>
      <c r="BE39" s="891"/>
      <c r="BF39" s="893">
        <f t="shared" si="92"/>
        <v>0</v>
      </c>
      <c r="BG39" s="894">
        <f t="shared" si="93"/>
        <v>0</v>
      </c>
      <c r="BH39" s="895">
        <f t="shared" si="94"/>
        <v>0</v>
      </c>
      <c r="BI39" s="895">
        <f t="shared" si="95"/>
        <v>0</v>
      </c>
      <c r="BJ39" s="894" t="e">
        <f t="shared" si="96"/>
        <v>#DIV/0!</v>
      </c>
      <c r="BK39" s="894" t="e">
        <f t="shared" si="97"/>
        <v>#DIV/0!</v>
      </c>
      <c r="BL39" s="892"/>
      <c r="BM39" s="891"/>
      <c r="BN39" s="893">
        <f t="shared" si="98"/>
        <v>0</v>
      </c>
      <c r="BO39" s="894">
        <f t="shared" si="99"/>
        <v>0</v>
      </c>
      <c r="BP39" s="895">
        <f t="shared" si="100"/>
        <v>0</v>
      </c>
      <c r="BQ39" s="895">
        <f t="shared" si="101"/>
        <v>0</v>
      </c>
      <c r="BR39" s="894" t="e">
        <f t="shared" si="102"/>
        <v>#DIV/0!</v>
      </c>
      <c r="BS39" s="894" t="e">
        <f t="shared" si="103"/>
        <v>#DIV/0!</v>
      </c>
      <c r="BT39" s="892"/>
      <c r="BU39" s="891"/>
      <c r="BV39" s="893">
        <f t="shared" si="104"/>
        <v>0</v>
      </c>
      <c r="BW39" s="894">
        <f t="shared" si="105"/>
        <v>0</v>
      </c>
      <c r="BX39" s="895">
        <f t="shared" si="106"/>
        <v>0</v>
      </c>
      <c r="BY39" s="895">
        <f t="shared" si="107"/>
        <v>0</v>
      </c>
      <c r="BZ39" s="894" t="e">
        <f t="shared" si="108"/>
        <v>#DIV/0!</v>
      </c>
      <c r="CA39" s="894" t="e">
        <f t="shared" si="109"/>
        <v>#DIV/0!</v>
      </c>
      <c r="CB39" s="871"/>
      <c r="CC39" s="889" t="e">
        <f t="shared" si="110"/>
        <v>#DIV/0!</v>
      </c>
      <c r="CD39" s="180"/>
      <c r="CE39" s="180"/>
    </row>
    <row r="40" spans="1:83" ht="21.75" customHeight="1" x14ac:dyDescent="0.55000000000000004">
      <c r="A40" s="180"/>
      <c r="B40" s="180"/>
      <c r="D40" s="890" t="s">
        <v>66</v>
      </c>
      <c r="E40" s="891"/>
      <c r="F40" s="891"/>
      <c r="G40" s="891"/>
      <c r="H40" s="892"/>
      <c r="I40" s="891"/>
      <c r="J40" s="893" t="e">
        <f t="shared" si="57"/>
        <v>#DIV/0!</v>
      </c>
      <c r="K40" s="894">
        <f t="shared" si="58"/>
        <v>0</v>
      </c>
      <c r="L40" s="895">
        <f t="shared" si="39"/>
        <v>0</v>
      </c>
      <c r="M40" s="895">
        <f t="shared" si="59"/>
        <v>0</v>
      </c>
      <c r="N40" s="894" t="e">
        <f t="shared" si="60"/>
        <v>#DIV/0!</v>
      </c>
      <c r="O40" s="894" t="e">
        <f t="shared" si="61"/>
        <v>#DIV/0!</v>
      </c>
      <c r="P40" s="892"/>
      <c r="Q40" s="891"/>
      <c r="R40" s="893">
        <f t="shared" si="62"/>
        <v>0</v>
      </c>
      <c r="S40" s="894">
        <f t="shared" si="63"/>
        <v>0</v>
      </c>
      <c r="T40" s="895">
        <f t="shared" si="64"/>
        <v>0</v>
      </c>
      <c r="U40" s="895">
        <f t="shared" si="65"/>
        <v>0</v>
      </c>
      <c r="V40" s="894" t="e">
        <f t="shared" si="66"/>
        <v>#DIV/0!</v>
      </c>
      <c r="W40" s="894" t="e">
        <f t="shared" si="67"/>
        <v>#DIV/0!</v>
      </c>
      <c r="X40" s="892"/>
      <c r="Y40" s="891"/>
      <c r="Z40" s="893">
        <f t="shared" si="68"/>
        <v>0</v>
      </c>
      <c r="AA40" s="894">
        <f t="shared" si="69"/>
        <v>0</v>
      </c>
      <c r="AB40" s="895">
        <f t="shared" si="70"/>
        <v>0</v>
      </c>
      <c r="AC40" s="895">
        <f t="shared" si="71"/>
        <v>0</v>
      </c>
      <c r="AD40" s="894" t="e">
        <f t="shared" si="72"/>
        <v>#DIV/0!</v>
      </c>
      <c r="AE40" s="894" t="e">
        <f t="shared" si="73"/>
        <v>#DIV/0!</v>
      </c>
      <c r="AF40" s="892"/>
      <c r="AG40" s="891"/>
      <c r="AH40" s="893">
        <f t="shared" si="74"/>
        <v>0</v>
      </c>
      <c r="AI40" s="894">
        <f t="shared" si="75"/>
        <v>0</v>
      </c>
      <c r="AJ40" s="895">
        <f t="shared" si="76"/>
        <v>0</v>
      </c>
      <c r="AK40" s="895">
        <f t="shared" si="77"/>
        <v>0</v>
      </c>
      <c r="AL40" s="894" t="e">
        <f t="shared" si="78"/>
        <v>#DIV/0!</v>
      </c>
      <c r="AM40" s="894" t="e">
        <f t="shared" si="79"/>
        <v>#DIV/0!</v>
      </c>
      <c r="AN40" s="892"/>
      <c r="AO40" s="891"/>
      <c r="AP40" s="893">
        <f t="shared" si="80"/>
        <v>0</v>
      </c>
      <c r="AQ40" s="894">
        <f t="shared" si="81"/>
        <v>0</v>
      </c>
      <c r="AR40" s="895">
        <f t="shared" si="82"/>
        <v>0</v>
      </c>
      <c r="AS40" s="895">
        <f t="shared" si="83"/>
        <v>0</v>
      </c>
      <c r="AT40" s="894" t="e">
        <f t="shared" si="84"/>
        <v>#DIV/0!</v>
      </c>
      <c r="AU40" s="894" t="e">
        <f t="shared" si="85"/>
        <v>#DIV/0!</v>
      </c>
      <c r="AV40" s="892"/>
      <c r="AW40" s="891"/>
      <c r="AX40" s="1255">
        <f t="shared" si="86"/>
        <v>0</v>
      </c>
      <c r="AY40" s="1256">
        <f t="shared" si="87"/>
        <v>0</v>
      </c>
      <c r="AZ40" s="1257">
        <f t="shared" si="88"/>
        <v>0</v>
      </c>
      <c r="BA40" s="1257">
        <f t="shared" si="89"/>
        <v>0</v>
      </c>
      <c r="BB40" s="1256" t="e">
        <f t="shared" si="90"/>
        <v>#DIV/0!</v>
      </c>
      <c r="BC40" s="1256" t="e">
        <f t="shared" si="91"/>
        <v>#DIV/0!</v>
      </c>
      <c r="BD40" s="896"/>
      <c r="BE40" s="891"/>
      <c r="BF40" s="893">
        <f t="shared" si="92"/>
        <v>0</v>
      </c>
      <c r="BG40" s="894">
        <f t="shared" si="93"/>
        <v>0</v>
      </c>
      <c r="BH40" s="895">
        <f t="shared" si="94"/>
        <v>0</v>
      </c>
      <c r="BI40" s="895">
        <f t="shared" si="95"/>
        <v>0</v>
      </c>
      <c r="BJ40" s="894" t="e">
        <f t="shared" si="96"/>
        <v>#DIV/0!</v>
      </c>
      <c r="BK40" s="894" t="e">
        <f t="shared" si="97"/>
        <v>#DIV/0!</v>
      </c>
      <c r="BL40" s="892"/>
      <c r="BM40" s="891"/>
      <c r="BN40" s="893">
        <f t="shared" si="98"/>
        <v>0</v>
      </c>
      <c r="BO40" s="894">
        <f t="shared" si="99"/>
        <v>0</v>
      </c>
      <c r="BP40" s="895">
        <f t="shared" si="100"/>
        <v>0</v>
      </c>
      <c r="BQ40" s="895">
        <f t="shared" si="101"/>
        <v>0</v>
      </c>
      <c r="BR40" s="894" t="e">
        <f t="shared" si="102"/>
        <v>#DIV/0!</v>
      </c>
      <c r="BS40" s="894" t="e">
        <f t="shared" si="103"/>
        <v>#DIV/0!</v>
      </c>
      <c r="BT40" s="892"/>
      <c r="BU40" s="891"/>
      <c r="BV40" s="893">
        <f t="shared" si="104"/>
        <v>0</v>
      </c>
      <c r="BW40" s="894">
        <f t="shared" si="105"/>
        <v>0</v>
      </c>
      <c r="BX40" s="895">
        <f t="shared" si="106"/>
        <v>0</v>
      </c>
      <c r="BY40" s="895">
        <f t="shared" si="107"/>
        <v>0</v>
      </c>
      <c r="BZ40" s="894" t="e">
        <f t="shared" si="108"/>
        <v>#DIV/0!</v>
      </c>
      <c r="CA40" s="894" t="e">
        <f t="shared" si="109"/>
        <v>#DIV/0!</v>
      </c>
      <c r="CB40" s="871"/>
      <c r="CC40" s="889" t="e">
        <f t="shared" si="110"/>
        <v>#DIV/0!</v>
      </c>
      <c r="CD40" s="180"/>
      <c r="CE40" s="180"/>
    </row>
    <row r="41" spans="1:83" ht="21.75" customHeight="1" x14ac:dyDescent="0.55000000000000004">
      <c r="A41" s="180"/>
      <c r="B41" s="180"/>
      <c r="D41" s="890" t="s">
        <v>52</v>
      </c>
      <c r="E41" s="891"/>
      <c r="F41" s="891"/>
      <c r="G41" s="891"/>
      <c r="H41" s="892"/>
      <c r="I41" s="891"/>
      <c r="J41" s="893" t="e">
        <f t="shared" si="38"/>
        <v>#DIV/0!</v>
      </c>
      <c r="K41" s="894">
        <f t="shared" si="3"/>
        <v>0</v>
      </c>
      <c r="L41" s="895">
        <f t="shared" si="39"/>
        <v>0</v>
      </c>
      <c r="M41" s="895">
        <f t="shared" ref="M41:M49" si="111">IF(SUM($E41:$G41)+$H41+$I41=0,,SUM($E41:$G41)+$H41+$I41)</f>
        <v>0</v>
      </c>
      <c r="N41" s="894" t="e">
        <f t="shared" si="4"/>
        <v>#DIV/0!</v>
      </c>
      <c r="O41" s="894" t="e">
        <f t="shared" si="5"/>
        <v>#DIV/0!</v>
      </c>
      <c r="P41" s="892"/>
      <c r="Q41" s="891"/>
      <c r="R41" s="893">
        <f t="shared" si="6"/>
        <v>0</v>
      </c>
      <c r="S41" s="894">
        <f t="shared" si="7"/>
        <v>0</v>
      </c>
      <c r="T41" s="895">
        <f t="shared" si="40"/>
        <v>0</v>
      </c>
      <c r="U41" s="895">
        <f t="shared" si="41"/>
        <v>0</v>
      </c>
      <c r="V41" s="894" t="e">
        <f t="shared" si="8"/>
        <v>#DIV/0!</v>
      </c>
      <c r="W41" s="894" t="e">
        <f t="shared" si="9"/>
        <v>#DIV/0!</v>
      </c>
      <c r="X41" s="892"/>
      <c r="Y41" s="891"/>
      <c r="Z41" s="893">
        <f t="shared" si="10"/>
        <v>0</v>
      </c>
      <c r="AA41" s="894">
        <f t="shared" si="11"/>
        <v>0</v>
      </c>
      <c r="AB41" s="895">
        <f t="shared" si="42"/>
        <v>0</v>
      </c>
      <c r="AC41" s="895">
        <f t="shared" si="43"/>
        <v>0</v>
      </c>
      <c r="AD41" s="894" t="e">
        <f t="shared" si="12"/>
        <v>#DIV/0!</v>
      </c>
      <c r="AE41" s="894" t="e">
        <f t="shared" si="13"/>
        <v>#DIV/0!</v>
      </c>
      <c r="AF41" s="892"/>
      <c r="AG41" s="891"/>
      <c r="AH41" s="893">
        <f t="shared" si="14"/>
        <v>0</v>
      </c>
      <c r="AI41" s="894">
        <f t="shared" si="15"/>
        <v>0</v>
      </c>
      <c r="AJ41" s="895">
        <f t="shared" si="44"/>
        <v>0</v>
      </c>
      <c r="AK41" s="895">
        <f t="shared" si="45"/>
        <v>0</v>
      </c>
      <c r="AL41" s="894" t="e">
        <f t="shared" si="16"/>
        <v>#DIV/0!</v>
      </c>
      <c r="AM41" s="894" t="e">
        <f t="shared" si="17"/>
        <v>#DIV/0!</v>
      </c>
      <c r="AN41" s="892"/>
      <c r="AO41" s="891"/>
      <c r="AP41" s="893">
        <f t="shared" si="18"/>
        <v>0</v>
      </c>
      <c r="AQ41" s="894">
        <f t="shared" si="19"/>
        <v>0</v>
      </c>
      <c r="AR41" s="895">
        <f t="shared" si="46"/>
        <v>0</v>
      </c>
      <c r="AS41" s="895">
        <f t="shared" si="47"/>
        <v>0</v>
      </c>
      <c r="AT41" s="894" t="e">
        <f t="shared" si="20"/>
        <v>#DIV/0!</v>
      </c>
      <c r="AU41" s="894" t="e">
        <f t="shared" si="21"/>
        <v>#DIV/0!</v>
      </c>
      <c r="AV41" s="892"/>
      <c r="AW41" s="891"/>
      <c r="AX41" s="893">
        <f t="shared" si="22"/>
        <v>0</v>
      </c>
      <c r="AY41" s="894">
        <f t="shared" si="23"/>
        <v>0</v>
      </c>
      <c r="AZ41" s="895">
        <f t="shared" si="48"/>
        <v>0</v>
      </c>
      <c r="BA41" s="895">
        <f t="shared" si="49"/>
        <v>0</v>
      </c>
      <c r="BB41" s="894" t="e">
        <f t="shared" si="24"/>
        <v>#DIV/0!</v>
      </c>
      <c r="BC41" s="894" t="e">
        <f t="shared" si="25"/>
        <v>#DIV/0!</v>
      </c>
      <c r="BD41" s="896"/>
      <c r="BE41" s="891"/>
      <c r="BF41" s="893">
        <f t="shared" si="26"/>
        <v>0</v>
      </c>
      <c r="BG41" s="894">
        <f t="shared" si="27"/>
        <v>0</v>
      </c>
      <c r="BH41" s="895">
        <f t="shared" si="50"/>
        <v>0</v>
      </c>
      <c r="BI41" s="895">
        <f t="shared" si="51"/>
        <v>0</v>
      </c>
      <c r="BJ41" s="894" t="e">
        <f t="shared" si="28"/>
        <v>#DIV/0!</v>
      </c>
      <c r="BK41" s="894" t="e">
        <f t="shared" si="29"/>
        <v>#DIV/0!</v>
      </c>
      <c r="BL41" s="892"/>
      <c r="BM41" s="891"/>
      <c r="BN41" s="893">
        <f t="shared" si="30"/>
        <v>0</v>
      </c>
      <c r="BO41" s="894">
        <f t="shared" si="31"/>
        <v>0</v>
      </c>
      <c r="BP41" s="895">
        <f t="shared" si="52"/>
        <v>0</v>
      </c>
      <c r="BQ41" s="895">
        <f t="shared" si="53"/>
        <v>0</v>
      </c>
      <c r="BR41" s="894" t="e">
        <f t="shared" si="32"/>
        <v>#DIV/0!</v>
      </c>
      <c r="BS41" s="894" t="e">
        <f t="shared" si="33"/>
        <v>#DIV/0!</v>
      </c>
      <c r="BT41" s="892"/>
      <c r="BU41" s="891"/>
      <c r="BV41" s="893">
        <f t="shared" si="34"/>
        <v>0</v>
      </c>
      <c r="BW41" s="894">
        <f t="shared" si="35"/>
        <v>0</v>
      </c>
      <c r="BX41" s="895">
        <f t="shared" si="54"/>
        <v>0</v>
      </c>
      <c r="BY41" s="895">
        <f t="shared" si="55"/>
        <v>0</v>
      </c>
      <c r="BZ41" s="894" t="e">
        <f t="shared" si="36"/>
        <v>#DIV/0!</v>
      </c>
      <c r="CA41" s="894" t="e">
        <f t="shared" si="37"/>
        <v>#DIV/0!</v>
      </c>
      <c r="CB41" s="871"/>
      <c r="CC41" s="889" t="e">
        <f t="shared" si="56"/>
        <v>#DIV/0!</v>
      </c>
      <c r="CD41" s="180"/>
      <c r="CE41" s="180"/>
    </row>
    <row r="42" spans="1:83" ht="21.75" customHeight="1" x14ac:dyDescent="0.55000000000000004">
      <c r="A42" s="180"/>
      <c r="B42" s="180"/>
      <c r="D42" s="900"/>
      <c r="E42" s="891"/>
      <c r="F42" s="891"/>
      <c r="G42" s="891"/>
      <c r="H42" s="892"/>
      <c r="I42" s="891"/>
      <c r="J42" s="893" t="e">
        <f t="shared" si="38"/>
        <v>#DIV/0!</v>
      </c>
      <c r="K42" s="894">
        <f t="shared" si="3"/>
        <v>0</v>
      </c>
      <c r="L42" s="895">
        <f t="shared" si="39"/>
        <v>0</v>
      </c>
      <c r="M42" s="895">
        <f t="shared" si="111"/>
        <v>0</v>
      </c>
      <c r="N42" s="894" t="e">
        <f t="shared" si="4"/>
        <v>#DIV/0!</v>
      </c>
      <c r="O42" s="894" t="e">
        <f t="shared" si="5"/>
        <v>#DIV/0!</v>
      </c>
      <c r="P42" s="892"/>
      <c r="Q42" s="891"/>
      <c r="R42" s="893">
        <f t="shared" si="6"/>
        <v>0</v>
      </c>
      <c r="S42" s="894">
        <f t="shared" si="7"/>
        <v>0</v>
      </c>
      <c r="T42" s="895">
        <f t="shared" si="40"/>
        <v>0</v>
      </c>
      <c r="U42" s="895">
        <f t="shared" si="41"/>
        <v>0</v>
      </c>
      <c r="V42" s="894" t="e">
        <f t="shared" si="8"/>
        <v>#DIV/0!</v>
      </c>
      <c r="W42" s="894" t="e">
        <f t="shared" si="9"/>
        <v>#DIV/0!</v>
      </c>
      <c r="X42" s="892"/>
      <c r="Y42" s="891"/>
      <c r="Z42" s="893">
        <f t="shared" si="10"/>
        <v>0</v>
      </c>
      <c r="AA42" s="894">
        <f t="shared" si="11"/>
        <v>0</v>
      </c>
      <c r="AB42" s="895">
        <f t="shared" si="42"/>
        <v>0</v>
      </c>
      <c r="AC42" s="895">
        <f t="shared" si="43"/>
        <v>0</v>
      </c>
      <c r="AD42" s="894" t="e">
        <f t="shared" si="12"/>
        <v>#DIV/0!</v>
      </c>
      <c r="AE42" s="894" t="e">
        <f t="shared" si="13"/>
        <v>#DIV/0!</v>
      </c>
      <c r="AF42" s="892"/>
      <c r="AG42" s="891"/>
      <c r="AH42" s="893">
        <f t="shared" si="14"/>
        <v>0</v>
      </c>
      <c r="AI42" s="894">
        <f t="shared" si="15"/>
        <v>0</v>
      </c>
      <c r="AJ42" s="895">
        <f t="shared" si="44"/>
        <v>0</v>
      </c>
      <c r="AK42" s="895">
        <f t="shared" si="45"/>
        <v>0</v>
      </c>
      <c r="AL42" s="894" t="e">
        <f t="shared" si="16"/>
        <v>#DIV/0!</v>
      </c>
      <c r="AM42" s="894" t="e">
        <f t="shared" si="17"/>
        <v>#DIV/0!</v>
      </c>
      <c r="AN42" s="892"/>
      <c r="AO42" s="891"/>
      <c r="AP42" s="893">
        <f t="shared" si="18"/>
        <v>0</v>
      </c>
      <c r="AQ42" s="894">
        <f t="shared" si="19"/>
        <v>0</v>
      </c>
      <c r="AR42" s="895">
        <f t="shared" si="46"/>
        <v>0</v>
      </c>
      <c r="AS42" s="895">
        <f t="shared" si="47"/>
        <v>0</v>
      </c>
      <c r="AT42" s="894" t="e">
        <f t="shared" si="20"/>
        <v>#DIV/0!</v>
      </c>
      <c r="AU42" s="894" t="e">
        <f t="shared" si="21"/>
        <v>#DIV/0!</v>
      </c>
      <c r="AV42" s="892"/>
      <c r="AW42" s="891"/>
      <c r="AX42" s="1255">
        <f t="shared" si="22"/>
        <v>0</v>
      </c>
      <c r="AY42" s="1256">
        <f t="shared" si="23"/>
        <v>0</v>
      </c>
      <c r="AZ42" s="1257">
        <f t="shared" si="48"/>
        <v>0</v>
      </c>
      <c r="BA42" s="1257">
        <f t="shared" si="49"/>
        <v>0</v>
      </c>
      <c r="BB42" s="1256" t="e">
        <f t="shared" si="24"/>
        <v>#DIV/0!</v>
      </c>
      <c r="BC42" s="1256" t="e">
        <f t="shared" si="25"/>
        <v>#DIV/0!</v>
      </c>
      <c r="BD42" s="896"/>
      <c r="BE42" s="891"/>
      <c r="BF42" s="893">
        <f t="shared" si="26"/>
        <v>0</v>
      </c>
      <c r="BG42" s="894">
        <f t="shared" si="27"/>
        <v>0</v>
      </c>
      <c r="BH42" s="895">
        <f t="shared" si="50"/>
        <v>0</v>
      </c>
      <c r="BI42" s="895">
        <f t="shared" si="51"/>
        <v>0</v>
      </c>
      <c r="BJ42" s="894" t="e">
        <f t="shared" si="28"/>
        <v>#DIV/0!</v>
      </c>
      <c r="BK42" s="894" t="e">
        <f t="shared" si="29"/>
        <v>#DIV/0!</v>
      </c>
      <c r="BL42" s="892"/>
      <c r="BM42" s="891"/>
      <c r="BN42" s="893">
        <f t="shared" si="30"/>
        <v>0</v>
      </c>
      <c r="BO42" s="894">
        <f t="shared" si="31"/>
        <v>0</v>
      </c>
      <c r="BP42" s="895">
        <f t="shared" si="52"/>
        <v>0</v>
      </c>
      <c r="BQ42" s="895">
        <f t="shared" si="53"/>
        <v>0</v>
      </c>
      <c r="BR42" s="894" t="e">
        <f t="shared" si="32"/>
        <v>#DIV/0!</v>
      </c>
      <c r="BS42" s="894" t="e">
        <f t="shared" si="33"/>
        <v>#DIV/0!</v>
      </c>
      <c r="BT42" s="892"/>
      <c r="BU42" s="891"/>
      <c r="BV42" s="893">
        <f t="shared" si="34"/>
        <v>0</v>
      </c>
      <c r="BW42" s="894">
        <f t="shared" si="35"/>
        <v>0</v>
      </c>
      <c r="BX42" s="895">
        <f t="shared" si="54"/>
        <v>0</v>
      </c>
      <c r="BY42" s="895">
        <f t="shared" si="55"/>
        <v>0</v>
      </c>
      <c r="BZ42" s="894" t="e">
        <f t="shared" si="36"/>
        <v>#DIV/0!</v>
      </c>
      <c r="CA42" s="894" t="e">
        <f t="shared" si="37"/>
        <v>#DIV/0!</v>
      </c>
      <c r="CB42" s="871"/>
      <c r="CC42" s="889" t="e">
        <f t="shared" si="56"/>
        <v>#DIV/0!</v>
      </c>
      <c r="CD42" s="180"/>
      <c r="CE42" s="180"/>
    </row>
    <row r="43" spans="1:83" ht="21.75" customHeight="1" x14ac:dyDescent="0.55000000000000004">
      <c r="A43" s="180"/>
      <c r="B43" s="180"/>
      <c r="D43" s="1298" t="s">
        <v>67</v>
      </c>
      <c r="E43" s="891"/>
      <c r="F43" s="891"/>
      <c r="G43" s="891"/>
      <c r="H43" s="892"/>
      <c r="I43" s="891"/>
      <c r="J43" s="893" t="e">
        <f t="shared" si="38"/>
        <v>#DIV/0!</v>
      </c>
      <c r="K43" s="894">
        <f t="shared" si="3"/>
        <v>0</v>
      </c>
      <c r="L43" s="895">
        <f t="shared" si="39"/>
        <v>0</v>
      </c>
      <c r="M43" s="895">
        <f t="shared" si="111"/>
        <v>0</v>
      </c>
      <c r="N43" s="894" t="e">
        <f t="shared" si="4"/>
        <v>#DIV/0!</v>
      </c>
      <c r="O43" s="894" t="e">
        <f t="shared" si="5"/>
        <v>#DIV/0!</v>
      </c>
      <c r="P43" s="892"/>
      <c r="Q43" s="891"/>
      <c r="R43" s="893">
        <f t="shared" si="6"/>
        <v>0</v>
      </c>
      <c r="S43" s="894">
        <f t="shared" si="7"/>
        <v>0</v>
      </c>
      <c r="T43" s="895">
        <f t="shared" si="40"/>
        <v>0</v>
      </c>
      <c r="U43" s="895">
        <f t="shared" si="41"/>
        <v>0</v>
      </c>
      <c r="V43" s="894" t="e">
        <f t="shared" si="8"/>
        <v>#DIV/0!</v>
      </c>
      <c r="W43" s="894" t="e">
        <f t="shared" si="9"/>
        <v>#DIV/0!</v>
      </c>
      <c r="X43" s="892"/>
      <c r="Y43" s="891"/>
      <c r="Z43" s="893">
        <f t="shared" si="10"/>
        <v>0</v>
      </c>
      <c r="AA43" s="894">
        <f t="shared" si="11"/>
        <v>0</v>
      </c>
      <c r="AB43" s="895">
        <f t="shared" si="42"/>
        <v>0</v>
      </c>
      <c r="AC43" s="895">
        <f t="shared" si="43"/>
        <v>0</v>
      </c>
      <c r="AD43" s="894" t="e">
        <f t="shared" si="12"/>
        <v>#DIV/0!</v>
      </c>
      <c r="AE43" s="894" t="e">
        <f t="shared" si="13"/>
        <v>#DIV/0!</v>
      </c>
      <c r="AF43" s="892"/>
      <c r="AG43" s="891"/>
      <c r="AH43" s="893">
        <f t="shared" si="14"/>
        <v>0</v>
      </c>
      <c r="AI43" s="894">
        <f t="shared" si="15"/>
        <v>0</v>
      </c>
      <c r="AJ43" s="895">
        <f t="shared" si="44"/>
        <v>0</v>
      </c>
      <c r="AK43" s="895">
        <f t="shared" si="45"/>
        <v>0</v>
      </c>
      <c r="AL43" s="894" t="e">
        <f t="shared" si="16"/>
        <v>#DIV/0!</v>
      </c>
      <c r="AM43" s="894" t="e">
        <f t="shared" si="17"/>
        <v>#DIV/0!</v>
      </c>
      <c r="AN43" s="892"/>
      <c r="AO43" s="891"/>
      <c r="AP43" s="893">
        <f t="shared" si="18"/>
        <v>0</v>
      </c>
      <c r="AQ43" s="894">
        <f t="shared" si="19"/>
        <v>0</v>
      </c>
      <c r="AR43" s="895">
        <f t="shared" si="46"/>
        <v>0</v>
      </c>
      <c r="AS43" s="895">
        <f t="shared" si="47"/>
        <v>0</v>
      </c>
      <c r="AT43" s="894" t="e">
        <f t="shared" si="20"/>
        <v>#DIV/0!</v>
      </c>
      <c r="AU43" s="894" t="e">
        <f t="shared" si="21"/>
        <v>#DIV/0!</v>
      </c>
      <c r="AV43" s="892"/>
      <c r="AW43" s="891"/>
      <c r="AX43" s="893">
        <f t="shared" si="22"/>
        <v>0</v>
      </c>
      <c r="AY43" s="894">
        <f t="shared" si="23"/>
        <v>0</v>
      </c>
      <c r="AZ43" s="895">
        <f t="shared" si="48"/>
        <v>0</v>
      </c>
      <c r="BA43" s="895">
        <f t="shared" si="49"/>
        <v>0</v>
      </c>
      <c r="BB43" s="894" t="e">
        <f t="shared" si="24"/>
        <v>#DIV/0!</v>
      </c>
      <c r="BC43" s="894" t="e">
        <f t="shared" si="25"/>
        <v>#DIV/0!</v>
      </c>
      <c r="BD43" s="896"/>
      <c r="BE43" s="891"/>
      <c r="BF43" s="893">
        <f t="shared" si="26"/>
        <v>0</v>
      </c>
      <c r="BG43" s="894">
        <f t="shared" si="27"/>
        <v>0</v>
      </c>
      <c r="BH43" s="895">
        <f t="shared" si="50"/>
        <v>0</v>
      </c>
      <c r="BI43" s="895">
        <f t="shared" si="51"/>
        <v>0</v>
      </c>
      <c r="BJ43" s="894" t="e">
        <f t="shared" si="28"/>
        <v>#DIV/0!</v>
      </c>
      <c r="BK43" s="894" t="e">
        <f t="shared" si="29"/>
        <v>#DIV/0!</v>
      </c>
      <c r="BL43" s="892"/>
      <c r="BM43" s="891"/>
      <c r="BN43" s="893">
        <f t="shared" si="30"/>
        <v>0</v>
      </c>
      <c r="BO43" s="894">
        <f t="shared" si="31"/>
        <v>0</v>
      </c>
      <c r="BP43" s="895">
        <f t="shared" si="52"/>
        <v>0</v>
      </c>
      <c r="BQ43" s="895">
        <f t="shared" si="53"/>
        <v>0</v>
      </c>
      <c r="BR43" s="894" t="e">
        <f t="shared" si="32"/>
        <v>#DIV/0!</v>
      </c>
      <c r="BS43" s="894" t="e">
        <f t="shared" si="33"/>
        <v>#DIV/0!</v>
      </c>
      <c r="BT43" s="892"/>
      <c r="BU43" s="891"/>
      <c r="BV43" s="893">
        <f t="shared" si="34"/>
        <v>0</v>
      </c>
      <c r="BW43" s="894">
        <f t="shared" si="35"/>
        <v>0</v>
      </c>
      <c r="BX43" s="895">
        <f t="shared" si="54"/>
        <v>0</v>
      </c>
      <c r="BY43" s="895">
        <f t="shared" si="55"/>
        <v>0</v>
      </c>
      <c r="BZ43" s="894" t="e">
        <f t="shared" si="36"/>
        <v>#DIV/0!</v>
      </c>
      <c r="CA43" s="894" t="e">
        <f t="shared" si="37"/>
        <v>#DIV/0!</v>
      </c>
      <c r="CB43" s="871"/>
      <c r="CC43" s="889" t="e">
        <f t="shared" si="56"/>
        <v>#DIV/0!</v>
      </c>
      <c r="CD43" s="180"/>
      <c r="CE43" s="180"/>
    </row>
    <row r="44" spans="1:83" ht="21.75" customHeight="1" x14ac:dyDescent="0.55000000000000004">
      <c r="A44" s="180"/>
      <c r="B44" s="180"/>
      <c r="D44" s="890" t="s">
        <v>68</v>
      </c>
      <c r="E44" s="891"/>
      <c r="F44" s="891"/>
      <c r="G44" s="891"/>
      <c r="H44" s="892"/>
      <c r="I44" s="891"/>
      <c r="J44" s="893" t="e">
        <f t="shared" si="38"/>
        <v>#DIV/0!</v>
      </c>
      <c r="K44" s="894">
        <f t="shared" si="3"/>
        <v>0</v>
      </c>
      <c r="L44" s="895">
        <f t="shared" si="39"/>
        <v>0</v>
      </c>
      <c r="M44" s="895">
        <f t="shared" si="111"/>
        <v>0</v>
      </c>
      <c r="N44" s="894" t="e">
        <f t="shared" si="4"/>
        <v>#DIV/0!</v>
      </c>
      <c r="O44" s="894" t="e">
        <f t="shared" si="5"/>
        <v>#DIV/0!</v>
      </c>
      <c r="P44" s="892"/>
      <c r="Q44" s="891"/>
      <c r="R44" s="893">
        <f t="shared" si="6"/>
        <v>0</v>
      </c>
      <c r="S44" s="894">
        <f t="shared" si="7"/>
        <v>0</v>
      </c>
      <c r="T44" s="895">
        <f t="shared" si="40"/>
        <v>0</v>
      </c>
      <c r="U44" s="895">
        <f t="shared" si="41"/>
        <v>0</v>
      </c>
      <c r="V44" s="894" t="e">
        <f t="shared" si="8"/>
        <v>#DIV/0!</v>
      </c>
      <c r="W44" s="894" t="e">
        <f t="shared" si="9"/>
        <v>#DIV/0!</v>
      </c>
      <c r="X44" s="892"/>
      <c r="Y44" s="891"/>
      <c r="Z44" s="893">
        <f t="shared" si="10"/>
        <v>0</v>
      </c>
      <c r="AA44" s="894">
        <f t="shared" si="11"/>
        <v>0</v>
      </c>
      <c r="AB44" s="895">
        <f t="shared" si="42"/>
        <v>0</v>
      </c>
      <c r="AC44" s="895">
        <f t="shared" si="43"/>
        <v>0</v>
      </c>
      <c r="AD44" s="894" t="e">
        <f t="shared" si="12"/>
        <v>#DIV/0!</v>
      </c>
      <c r="AE44" s="894" t="e">
        <f t="shared" si="13"/>
        <v>#DIV/0!</v>
      </c>
      <c r="AF44" s="892"/>
      <c r="AG44" s="891"/>
      <c r="AH44" s="893">
        <f t="shared" si="14"/>
        <v>0</v>
      </c>
      <c r="AI44" s="894">
        <f t="shared" si="15"/>
        <v>0</v>
      </c>
      <c r="AJ44" s="895">
        <f t="shared" si="44"/>
        <v>0</v>
      </c>
      <c r="AK44" s="895">
        <f t="shared" si="45"/>
        <v>0</v>
      </c>
      <c r="AL44" s="894" t="e">
        <f t="shared" si="16"/>
        <v>#DIV/0!</v>
      </c>
      <c r="AM44" s="894" t="e">
        <f t="shared" si="17"/>
        <v>#DIV/0!</v>
      </c>
      <c r="AN44" s="892"/>
      <c r="AO44" s="891"/>
      <c r="AP44" s="893">
        <f t="shared" si="18"/>
        <v>0</v>
      </c>
      <c r="AQ44" s="894">
        <f t="shared" si="19"/>
        <v>0</v>
      </c>
      <c r="AR44" s="895">
        <f t="shared" si="46"/>
        <v>0</v>
      </c>
      <c r="AS44" s="895">
        <f t="shared" si="47"/>
        <v>0</v>
      </c>
      <c r="AT44" s="894" t="e">
        <f t="shared" si="20"/>
        <v>#DIV/0!</v>
      </c>
      <c r="AU44" s="894" t="e">
        <f t="shared" si="21"/>
        <v>#DIV/0!</v>
      </c>
      <c r="AV44" s="892"/>
      <c r="AW44" s="891"/>
      <c r="AX44" s="1255">
        <f t="shared" si="22"/>
        <v>0</v>
      </c>
      <c r="AY44" s="1256">
        <f t="shared" si="23"/>
        <v>0</v>
      </c>
      <c r="AZ44" s="1257">
        <f t="shared" si="48"/>
        <v>0</v>
      </c>
      <c r="BA44" s="1257">
        <f t="shared" si="49"/>
        <v>0</v>
      </c>
      <c r="BB44" s="1256" t="e">
        <f t="shared" si="24"/>
        <v>#DIV/0!</v>
      </c>
      <c r="BC44" s="1256" t="e">
        <f t="shared" si="25"/>
        <v>#DIV/0!</v>
      </c>
      <c r="BD44" s="896"/>
      <c r="BE44" s="891"/>
      <c r="BF44" s="893">
        <f t="shared" si="26"/>
        <v>0</v>
      </c>
      <c r="BG44" s="894">
        <f t="shared" si="27"/>
        <v>0</v>
      </c>
      <c r="BH44" s="895">
        <f t="shared" si="50"/>
        <v>0</v>
      </c>
      <c r="BI44" s="895">
        <f t="shared" si="51"/>
        <v>0</v>
      </c>
      <c r="BJ44" s="894" t="e">
        <f t="shared" si="28"/>
        <v>#DIV/0!</v>
      </c>
      <c r="BK44" s="894" t="e">
        <f t="shared" si="29"/>
        <v>#DIV/0!</v>
      </c>
      <c r="BL44" s="892"/>
      <c r="BM44" s="891"/>
      <c r="BN44" s="893">
        <f t="shared" si="30"/>
        <v>0</v>
      </c>
      <c r="BO44" s="894">
        <f t="shared" si="31"/>
        <v>0</v>
      </c>
      <c r="BP44" s="895">
        <f t="shared" si="52"/>
        <v>0</v>
      </c>
      <c r="BQ44" s="895">
        <f t="shared" si="53"/>
        <v>0</v>
      </c>
      <c r="BR44" s="894" t="e">
        <f t="shared" si="32"/>
        <v>#DIV/0!</v>
      </c>
      <c r="BS44" s="894" t="e">
        <f t="shared" si="33"/>
        <v>#DIV/0!</v>
      </c>
      <c r="BT44" s="892"/>
      <c r="BU44" s="891"/>
      <c r="BV44" s="893">
        <f t="shared" si="34"/>
        <v>0</v>
      </c>
      <c r="BW44" s="894">
        <f t="shared" si="35"/>
        <v>0</v>
      </c>
      <c r="BX44" s="895">
        <f t="shared" si="54"/>
        <v>0</v>
      </c>
      <c r="BY44" s="895">
        <f t="shared" si="55"/>
        <v>0</v>
      </c>
      <c r="BZ44" s="894" t="e">
        <f t="shared" si="36"/>
        <v>#DIV/0!</v>
      </c>
      <c r="CA44" s="894" t="e">
        <f t="shared" si="37"/>
        <v>#DIV/0!</v>
      </c>
      <c r="CB44" s="871"/>
      <c r="CC44" s="889" t="e">
        <f t="shared" si="56"/>
        <v>#DIV/0!</v>
      </c>
      <c r="CD44" s="180"/>
      <c r="CE44" s="180"/>
    </row>
    <row r="45" spans="1:83" ht="21.75" customHeight="1" x14ac:dyDescent="0.55000000000000004">
      <c r="A45" s="180"/>
      <c r="B45" s="180"/>
      <c r="D45" s="890" t="s">
        <v>69</v>
      </c>
      <c r="E45" s="891"/>
      <c r="F45" s="891"/>
      <c r="G45" s="891"/>
      <c r="H45" s="892"/>
      <c r="I45" s="891"/>
      <c r="J45" s="893" t="e">
        <f t="shared" si="38"/>
        <v>#DIV/0!</v>
      </c>
      <c r="K45" s="894">
        <f t="shared" si="3"/>
        <v>0</v>
      </c>
      <c r="L45" s="895">
        <f t="shared" si="39"/>
        <v>0</v>
      </c>
      <c r="M45" s="895">
        <f t="shared" si="111"/>
        <v>0</v>
      </c>
      <c r="N45" s="894" t="e">
        <f t="shared" si="4"/>
        <v>#DIV/0!</v>
      </c>
      <c r="O45" s="894" t="e">
        <f t="shared" si="5"/>
        <v>#DIV/0!</v>
      </c>
      <c r="P45" s="892"/>
      <c r="Q45" s="891"/>
      <c r="R45" s="893">
        <f t="shared" si="6"/>
        <v>0</v>
      </c>
      <c r="S45" s="894">
        <f t="shared" si="7"/>
        <v>0</v>
      </c>
      <c r="T45" s="895">
        <f t="shared" si="40"/>
        <v>0</v>
      </c>
      <c r="U45" s="895">
        <f t="shared" si="41"/>
        <v>0</v>
      </c>
      <c r="V45" s="894" t="e">
        <f t="shared" si="8"/>
        <v>#DIV/0!</v>
      </c>
      <c r="W45" s="894" t="e">
        <f t="shared" si="9"/>
        <v>#DIV/0!</v>
      </c>
      <c r="X45" s="892"/>
      <c r="Y45" s="891"/>
      <c r="Z45" s="893">
        <f t="shared" si="10"/>
        <v>0</v>
      </c>
      <c r="AA45" s="894">
        <f t="shared" si="11"/>
        <v>0</v>
      </c>
      <c r="AB45" s="895">
        <f t="shared" si="42"/>
        <v>0</v>
      </c>
      <c r="AC45" s="895">
        <f t="shared" si="43"/>
        <v>0</v>
      </c>
      <c r="AD45" s="894" t="e">
        <f t="shared" si="12"/>
        <v>#DIV/0!</v>
      </c>
      <c r="AE45" s="894" t="e">
        <f t="shared" si="13"/>
        <v>#DIV/0!</v>
      </c>
      <c r="AF45" s="892"/>
      <c r="AG45" s="891"/>
      <c r="AH45" s="893">
        <f t="shared" si="14"/>
        <v>0</v>
      </c>
      <c r="AI45" s="894">
        <f t="shared" si="15"/>
        <v>0</v>
      </c>
      <c r="AJ45" s="895">
        <f t="shared" si="44"/>
        <v>0</v>
      </c>
      <c r="AK45" s="895">
        <f t="shared" si="45"/>
        <v>0</v>
      </c>
      <c r="AL45" s="894" t="e">
        <f t="shared" si="16"/>
        <v>#DIV/0!</v>
      </c>
      <c r="AM45" s="894" t="e">
        <f t="shared" si="17"/>
        <v>#DIV/0!</v>
      </c>
      <c r="AN45" s="892"/>
      <c r="AO45" s="891"/>
      <c r="AP45" s="893">
        <f t="shared" si="18"/>
        <v>0</v>
      </c>
      <c r="AQ45" s="894">
        <f t="shared" si="19"/>
        <v>0</v>
      </c>
      <c r="AR45" s="895">
        <f t="shared" si="46"/>
        <v>0</v>
      </c>
      <c r="AS45" s="895">
        <f t="shared" si="47"/>
        <v>0</v>
      </c>
      <c r="AT45" s="894" t="e">
        <f t="shared" si="20"/>
        <v>#DIV/0!</v>
      </c>
      <c r="AU45" s="894" t="e">
        <f t="shared" si="21"/>
        <v>#DIV/0!</v>
      </c>
      <c r="AV45" s="892"/>
      <c r="AW45" s="891"/>
      <c r="AX45" s="893">
        <f t="shared" si="22"/>
        <v>0</v>
      </c>
      <c r="AY45" s="894">
        <f t="shared" si="23"/>
        <v>0</v>
      </c>
      <c r="AZ45" s="895">
        <f t="shared" si="48"/>
        <v>0</v>
      </c>
      <c r="BA45" s="895">
        <f t="shared" si="49"/>
        <v>0</v>
      </c>
      <c r="BB45" s="894" t="e">
        <f t="shared" si="24"/>
        <v>#DIV/0!</v>
      </c>
      <c r="BC45" s="894" t="e">
        <f t="shared" si="25"/>
        <v>#DIV/0!</v>
      </c>
      <c r="BD45" s="896"/>
      <c r="BE45" s="891"/>
      <c r="BF45" s="893">
        <f t="shared" si="26"/>
        <v>0</v>
      </c>
      <c r="BG45" s="894">
        <f t="shared" si="27"/>
        <v>0</v>
      </c>
      <c r="BH45" s="895">
        <f t="shared" si="50"/>
        <v>0</v>
      </c>
      <c r="BI45" s="895">
        <f t="shared" si="51"/>
        <v>0</v>
      </c>
      <c r="BJ45" s="894" t="e">
        <f t="shared" si="28"/>
        <v>#DIV/0!</v>
      </c>
      <c r="BK45" s="894" t="e">
        <f t="shared" si="29"/>
        <v>#DIV/0!</v>
      </c>
      <c r="BL45" s="892"/>
      <c r="BM45" s="891"/>
      <c r="BN45" s="893">
        <f t="shared" si="30"/>
        <v>0</v>
      </c>
      <c r="BO45" s="894">
        <f t="shared" si="31"/>
        <v>0</v>
      </c>
      <c r="BP45" s="895">
        <f t="shared" si="52"/>
        <v>0</v>
      </c>
      <c r="BQ45" s="895">
        <f t="shared" si="53"/>
        <v>0</v>
      </c>
      <c r="BR45" s="894" t="e">
        <f t="shared" si="32"/>
        <v>#DIV/0!</v>
      </c>
      <c r="BS45" s="894" t="e">
        <f t="shared" si="33"/>
        <v>#DIV/0!</v>
      </c>
      <c r="BT45" s="892"/>
      <c r="BU45" s="891"/>
      <c r="BV45" s="893">
        <f t="shared" si="34"/>
        <v>0</v>
      </c>
      <c r="BW45" s="894">
        <f t="shared" si="35"/>
        <v>0</v>
      </c>
      <c r="BX45" s="895">
        <f t="shared" si="54"/>
        <v>0</v>
      </c>
      <c r="BY45" s="895">
        <f t="shared" si="55"/>
        <v>0</v>
      </c>
      <c r="BZ45" s="894" t="e">
        <f t="shared" si="36"/>
        <v>#DIV/0!</v>
      </c>
      <c r="CA45" s="894" t="e">
        <f t="shared" si="37"/>
        <v>#DIV/0!</v>
      </c>
      <c r="CB45" s="871"/>
      <c r="CC45" s="889" t="e">
        <f t="shared" si="56"/>
        <v>#DIV/0!</v>
      </c>
      <c r="CD45" s="180"/>
      <c r="CE45" s="180"/>
    </row>
    <row r="46" spans="1:83" ht="21.75" customHeight="1" x14ac:dyDescent="0.55000000000000004">
      <c r="A46" s="180"/>
      <c r="B46" s="180"/>
      <c r="D46" s="890" t="s">
        <v>70</v>
      </c>
      <c r="E46" s="891"/>
      <c r="F46" s="891"/>
      <c r="G46" s="891"/>
      <c r="H46" s="892"/>
      <c r="I46" s="891"/>
      <c r="J46" s="893" t="e">
        <f t="shared" si="38"/>
        <v>#DIV/0!</v>
      </c>
      <c r="K46" s="894">
        <f t="shared" si="3"/>
        <v>0</v>
      </c>
      <c r="L46" s="895">
        <f t="shared" si="39"/>
        <v>0</v>
      </c>
      <c r="M46" s="895">
        <f t="shared" si="111"/>
        <v>0</v>
      </c>
      <c r="N46" s="894" t="e">
        <f t="shared" si="4"/>
        <v>#DIV/0!</v>
      </c>
      <c r="O46" s="894" t="e">
        <f t="shared" si="5"/>
        <v>#DIV/0!</v>
      </c>
      <c r="P46" s="892"/>
      <c r="Q46" s="891"/>
      <c r="R46" s="893">
        <f t="shared" si="6"/>
        <v>0</v>
      </c>
      <c r="S46" s="894">
        <f t="shared" si="7"/>
        <v>0</v>
      </c>
      <c r="T46" s="895">
        <f t="shared" si="40"/>
        <v>0</v>
      </c>
      <c r="U46" s="895">
        <f t="shared" si="41"/>
        <v>0</v>
      </c>
      <c r="V46" s="894" t="e">
        <f t="shared" si="8"/>
        <v>#DIV/0!</v>
      </c>
      <c r="W46" s="894" t="e">
        <f t="shared" si="9"/>
        <v>#DIV/0!</v>
      </c>
      <c r="X46" s="892"/>
      <c r="Y46" s="891"/>
      <c r="Z46" s="893">
        <f t="shared" si="10"/>
        <v>0</v>
      </c>
      <c r="AA46" s="894">
        <f t="shared" si="11"/>
        <v>0</v>
      </c>
      <c r="AB46" s="895">
        <f t="shared" si="42"/>
        <v>0</v>
      </c>
      <c r="AC46" s="895">
        <f t="shared" si="43"/>
        <v>0</v>
      </c>
      <c r="AD46" s="894" t="e">
        <f t="shared" si="12"/>
        <v>#DIV/0!</v>
      </c>
      <c r="AE46" s="894" t="e">
        <f t="shared" si="13"/>
        <v>#DIV/0!</v>
      </c>
      <c r="AF46" s="892"/>
      <c r="AG46" s="891"/>
      <c r="AH46" s="893">
        <f t="shared" si="14"/>
        <v>0</v>
      </c>
      <c r="AI46" s="894">
        <f t="shared" si="15"/>
        <v>0</v>
      </c>
      <c r="AJ46" s="895">
        <f t="shared" si="44"/>
        <v>0</v>
      </c>
      <c r="AK46" s="895">
        <f t="shared" si="45"/>
        <v>0</v>
      </c>
      <c r="AL46" s="894" t="e">
        <f t="shared" si="16"/>
        <v>#DIV/0!</v>
      </c>
      <c r="AM46" s="894" t="e">
        <f t="shared" si="17"/>
        <v>#DIV/0!</v>
      </c>
      <c r="AN46" s="892"/>
      <c r="AO46" s="891"/>
      <c r="AP46" s="893">
        <f t="shared" si="18"/>
        <v>0</v>
      </c>
      <c r="AQ46" s="894">
        <f t="shared" si="19"/>
        <v>0</v>
      </c>
      <c r="AR46" s="895">
        <f t="shared" si="46"/>
        <v>0</v>
      </c>
      <c r="AS46" s="895">
        <f t="shared" si="47"/>
        <v>0</v>
      </c>
      <c r="AT46" s="894" t="e">
        <f t="shared" si="20"/>
        <v>#DIV/0!</v>
      </c>
      <c r="AU46" s="894" t="e">
        <f t="shared" si="21"/>
        <v>#DIV/0!</v>
      </c>
      <c r="AV46" s="892"/>
      <c r="AW46" s="891"/>
      <c r="AX46" s="1255">
        <f t="shared" si="22"/>
        <v>0</v>
      </c>
      <c r="AY46" s="1256">
        <f t="shared" si="23"/>
        <v>0</v>
      </c>
      <c r="AZ46" s="1257">
        <f t="shared" si="48"/>
        <v>0</v>
      </c>
      <c r="BA46" s="1257">
        <f t="shared" si="49"/>
        <v>0</v>
      </c>
      <c r="BB46" s="1256" t="e">
        <f t="shared" si="24"/>
        <v>#DIV/0!</v>
      </c>
      <c r="BC46" s="1256" t="e">
        <f t="shared" si="25"/>
        <v>#DIV/0!</v>
      </c>
      <c r="BD46" s="896"/>
      <c r="BE46" s="891"/>
      <c r="BF46" s="893">
        <f t="shared" si="26"/>
        <v>0</v>
      </c>
      <c r="BG46" s="894">
        <f t="shared" si="27"/>
        <v>0</v>
      </c>
      <c r="BH46" s="895">
        <f t="shared" si="50"/>
        <v>0</v>
      </c>
      <c r="BI46" s="895">
        <f t="shared" si="51"/>
        <v>0</v>
      </c>
      <c r="BJ46" s="894" t="e">
        <f t="shared" si="28"/>
        <v>#DIV/0!</v>
      </c>
      <c r="BK46" s="894" t="e">
        <f t="shared" si="29"/>
        <v>#DIV/0!</v>
      </c>
      <c r="BL46" s="892"/>
      <c r="BM46" s="891"/>
      <c r="BN46" s="893">
        <f t="shared" si="30"/>
        <v>0</v>
      </c>
      <c r="BO46" s="894">
        <f t="shared" si="31"/>
        <v>0</v>
      </c>
      <c r="BP46" s="895">
        <f t="shared" si="52"/>
        <v>0</v>
      </c>
      <c r="BQ46" s="895">
        <f t="shared" si="53"/>
        <v>0</v>
      </c>
      <c r="BR46" s="894" t="e">
        <f t="shared" si="32"/>
        <v>#DIV/0!</v>
      </c>
      <c r="BS46" s="894" t="e">
        <f t="shared" si="33"/>
        <v>#DIV/0!</v>
      </c>
      <c r="BT46" s="892"/>
      <c r="BU46" s="891"/>
      <c r="BV46" s="893">
        <f t="shared" si="34"/>
        <v>0</v>
      </c>
      <c r="BW46" s="894">
        <f t="shared" si="35"/>
        <v>0</v>
      </c>
      <c r="BX46" s="895">
        <f t="shared" si="54"/>
        <v>0</v>
      </c>
      <c r="BY46" s="895">
        <f t="shared" si="55"/>
        <v>0</v>
      </c>
      <c r="BZ46" s="894" t="e">
        <f t="shared" si="36"/>
        <v>#DIV/0!</v>
      </c>
      <c r="CA46" s="894" t="e">
        <f t="shared" si="37"/>
        <v>#DIV/0!</v>
      </c>
      <c r="CB46" s="871"/>
      <c r="CC46" s="889" t="e">
        <f t="shared" si="56"/>
        <v>#DIV/0!</v>
      </c>
      <c r="CD46" s="180"/>
      <c r="CE46" s="180"/>
    </row>
    <row r="47" spans="1:83" ht="21.75" customHeight="1" x14ac:dyDescent="0.55000000000000004">
      <c r="A47" s="180"/>
      <c r="B47" s="180"/>
      <c r="D47" s="890" t="s">
        <v>71</v>
      </c>
      <c r="E47" s="891"/>
      <c r="F47" s="891"/>
      <c r="G47" s="891"/>
      <c r="H47" s="892"/>
      <c r="I47" s="891"/>
      <c r="J47" s="893" t="e">
        <f t="shared" si="38"/>
        <v>#DIV/0!</v>
      </c>
      <c r="K47" s="894">
        <f t="shared" si="3"/>
        <v>0</v>
      </c>
      <c r="L47" s="895">
        <f t="shared" si="39"/>
        <v>0</v>
      </c>
      <c r="M47" s="895">
        <f t="shared" si="111"/>
        <v>0</v>
      </c>
      <c r="N47" s="894" t="e">
        <f t="shared" si="4"/>
        <v>#DIV/0!</v>
      </c>
      <c r="O47" s="894" t="e">
        <f t="shared" si="5"/>
        <v>#DIV/0!</v>
      </c>
      <c r="P47" s="892"/>
      <c r="Q47" s="891"/>
      <c r="R47" s="893">
        <f t="shared" si="6"/>
        <v>0</v>
      </c>
      <c r="S47" s="894">
        <f t="shared" si="7"/>
        <v>0</v>
      </c>
      <c r="T47" s="895">
        <f t="shared" si="40"/>
        <v>0</v>
      </c>
      <c r="U47" s="895">
        <f t="shared" si="41"/>
        <v>0</v>
      </c>
      <c r="V47" s="894" t="e">
        <f t="shared" si="8"/>
        <v>#DIV/0!</v>
      </c>
      <c r="W47" s="894" t="e">
        <f t="shared" si="9"/>
        <v>#DIV/0!</v>
      </c>
      <c r="X47" s="892"/>
      <c r="Y47" s="891"/>
      <c r="Z47" s="893">
        <f t="shared" si="10"/>
        <v>0</v>
      </c>
      <c r="AA47" s="894">
        <f t="shared" si="11"/>
        <v>0</v>
      </c>
      <c r="AB47" s="895">
        <f t="shared" si="42"/>
        <v>0</v>
      </c>
      <c r="AC47" s="895">
        <f t="shared" si="43"/>
        <v>0</v>
      </c>
      <c r="AD47" s="894" t="e">
        <f t="shared" si="12"/>
        <v>#DIV/0!</v>
      </c>
      <c r="AE47" s="894" t="e">
        <f t="shared" si="13"/>
        <v>#DIV/0!</v>
      </c>
      <c r="AF47" s="892"/>
      <c r="AG47" s="891"/>
      <c r="AH47" s="893">
        <f t="shared" si="14"/>
        <v>0</v>
      </c>
      <c r="AI47" s="894">
        <f t="shared" si="15"/>
        <v>0</v>
      </c>
      <c r="AJ47" s="895">
        <f t="shared" si="44"/>
        <v>0</v>
      </c>
      <c r="AK47" s="895">
        <f t="shared" si="45"/>
        <v>0</v>
      </c>
      <c r="AL47" s="894" t="e">
        <f t="shared" si="16"/>
        <v>#DIV/0!</v>
      </c>
      <c r="AM47" s="894" t="e">
        <f t="shared" si="17"/>
        <v>#DIV/0!</v>
      </c>
      <c r="AN47" s="892"/>
      <c r="AO47" s="891"/>
      <c r="AP47" s="893">
        <f t="shared" si="18"/>
        <v>0</v>
      </c>
      <c r="AQ47" s="894">
        <f t="shared" si="19"/>
        <v>0</v>
      </c>
      <c r="AR47" s="895">
        <f t="shared" si="46"/>
        <v>0</v>
      </c>
      <c r="AS47" s="895">
        <f t="shared" si="47"/>
        <v>0</v>
      </c>
      <c r="AT47" s="894" t="e">
        <f t="shared" si="20"/>
        <v>#DIV/0!</v>
      </c>
      <c r="AU47" s="894" t="e">
        <f t="shared" si="21"/>
        <v>#DIV/0!</v>
      </c>
      <c r="AV47" s="892"/>
      <c r="AW47" s="891"/>
      <c r="AX47" s="893">
        <f t="shared" si="22"/>
        <v>0</v>
      </c>
      <c r="AY47" s="894">
        <f t="shared" si="23"/>
        <v>0</v>
      </c>
      <c r="AZ47" s="895">
        <f t="shared" si="48"/>
        <v>0</v>
      </c>
      <c r="BA47" s="895">
        <f t="shared" si="49"/>
        <v>0</v>
      </c>
      <c r="BB47" s="894" t="e">
        <f t="shared" si="24"/>
        <v>#DIV/0!</v>
      </c>
      <c r="BC47" s="894" t="e">
        <f t="shared" si="25"/>
        <v>#DIV/0!</v>
      </c>
      <c r="BD47" s="896"/>
      <c r="BE47" s="891"/>
      <c r="BF47" s="893">
        <f t="shared" si="26"/>
        <v>0</v>
      </c>
      <c r="BG47" s="894">
        <f t="shared" si="27"/>
        <v>0</v>
      </c>
      <c r="BH47" s="895">
        <f t="shared" si="50"/>
        <v>0</v>
      </c>
      <c r="BI47" s="895">
        <f t="shared" si="51"/>
        <v>0</v>
      </c>
      <c r="BJ47" s="894" t="e">
        <f t="shared" si="28"/>
        <v>#DIV/0!</v>
      </c>
      <c r="BK47" s="894" t="e">
        <f t="shared" si="29"/>
        <v>#DIV/0!</v>
      </c>
      <c r="BL47" s="892"/>
      <c r="BM47" s="891"/>
      <c r="BN47" s="893">
        <f t="shared" si="30"/>
        <v>0</v>
      </c>
      <c r="BO47" s="894">
        <f t="shared" si="31"/>
        <v>0</v>
      </c>
      <c r="BP47" s="895">
        <f t="shared" si="52"/>
        <v>0</v>
      </c>
      <c r="BQ47" s="895">
        <f t="shared" si="53"/>
        <v>0</v>
      </c>
      <c r="BR47" s="894" t="e">
        <f t="shared" si="32"/>
        <v>#DIV/0!</v>
      </c>
      <c r="BS47" s="894" t="e">
        <f t="shared" si="33"/>
        <v>#DIV/0!</v>
      </c>
      <c r="BT47" s="892"/>
      <c r="BU47" s="891"/>
      <c r="BV47" s="893">
        <f t="shared" si="34"/>
        <v>0</v>
      </c>
      <c r="BW47" s="894">
        <f t="shared" si="35"/>
        <v>0</v>
      </c>
      <c r="BX47" s="895">
        <f t="shared" si="54"/>
        <v>0</v>
      </c>
      <c r="BY47" s="895">
        <f t="shared" si="55"/>
        <v>0</v>
      </c>
      <c r="BZ47" s="894" t="e">
        <f t="shared" si="36"/>
        <v>#DIV/0!</v>
      </c>
      <c r="CA47" s="894" t="e">
        <f t="shared" si="37"/>
        <v>#DIV/0!</v>
      </c>
      <c r="CB47" s="871"/>
      <c r="CC47" s="889" t="e">
        <f t="shared" si="56"/>
        <v>#DIV/0!</v>
      </c>
      <c r="CD47" s="180"/>
      <c r="CE47" s="180"/>
    </row>
    <row r="48" spans="1:83" ht="21.75" customHeight="1" x14ac:dyDescent="0.55000000000000004">
      <c r="A48" s="180"/>
      <c r="B48" s="180"/>
      <c r="D48" s="890" t="s">
        <v>68</v>
      </c>
      <c r="E48" s="891"/>
      <c r="F48" s="891"/>
      <c r="G48" s="891"/>
      <c r="H48" s="892"/>
      <c r="I48" s="891"/>
      <c r="J48" s="893" t="e">
        <f t="shared" si="38"/>
        <v>#DIV/0!</v>
      </c>
      <c r="K48" s="894">
        <f t="shared" si="3"/>
        <v>0</v>
      </c>
      <c r="L48" s="895">
        <f t="shared" si="39"/>
        <v>0</v>
      </c>
      <c r="M48" s="895">
        <f t="shared" si="111"/>
        <v>0</v>
      </c>
      <c r="N48" s="894" t="e">
        <f t="shared" si="4"/>
        <v>#DIV/0!</v>
      </c>
      <c r="O48" s="894" t="e">
        <f t="shared" si="5"/>
        <v>#DIV/0!</v>
      </c>
      <c r="P48" s="892"/>
      <c r="Q48" s="891"/>
      <c r="R48" s="893">
        <f t="shared" si="6"/>
        <v>0</v>
      </c>
      <c r="S48" s="894">
        <f t="shared" si="7"/>
        <v>0</v>
      </c>
      <c r="T48" s="895">
        <f t="shared" si="40"/>
        <v>0</v>
      </c>
      <c r="U48" s="895">
        <f t="shared" si="41"/>
        <v>0</v>
      </c>
      <c r="V48" s="894" t="e">
        <f t="shared" si="8"/>
        <v>#DIV/0!</v>
      </c>
      <c r="W48" s="894" t="e">
        <f t="shared" si="9"/>
        <v>#DIV/0!</v>
      </c>
      <c r="X48" s="892"/>
      <c r="Y48" s="891"/>
      <c r="Z48" s="893">
        <f t="shared" si="10"/>
        <v>0</v>
      </c>
      <c r="AA48" s="894">
        <f t="shared" si="11"/>
        <v>0</v>
      </c>
      <c r="AB48" s="895">
        <f t="shared" si="42"/>
        <v>0</v>
      </c>
      <c r="AC48" s="895">
        <f t="shared" si="43"/>
        <v>0</v>
      </c>
      <c r="AD48" s="894" t="e">
        <f t="shared" si="12"/>
        <v>#DIV/0!</v>
      </c>
      <c r="AE48" s="894" t="e">
        <f t="shared" si="13"/>
        <v>#DIV/0!</v>
      </c>
      <c r="AF48" s="892"/>
      <c r="AG48" s="891"/>
      <c r="AH48" s="893">
        <f t="shared" si="14"/>
        <v>0</v>
      </c>
      <c r="AI48" s="894">
        <f t="shared" si="15"/>
        <v>0</v>
      </c>
      <c r="AJ48" s="895">
        <f t="shared" si="44"/>
        <v>0</v>
      </c>
      <c r="AK48" s="895">
        <f t="shared" si="45"/>
        <v>0</v>
      </c>
      <c r="AL48" s="894" t="e">
        <f t="shared" si="16"/>
        <v>#DIV/0!</v>
      </c>
      <c r="AM48" s="894" t="e">
        <f t="shared" si="17"/>
        <v>#DIV/0!</v>
      </c>
      <c r="AN48" s="892"/>
      <c r="AO48" s="891"/>
      <c r="AP48" s="893">
        <f t="shared" si="18"/>
        <v>0</v>
      </c>
      <c r="AQ48" s="894">
        <f t="shared" si="19"/>
        <v>0</v>
      </c>
      <c r="AR48" s="895">
        <f t="shared" si="46"/>
        <v>0</v>
      </c>
      <c r="AS48" s="895">
        <f t="shared" si="47"/>
        <v>0</v>
      </c>
      <c r="AT48" s="894" t="e">
        <f t="shared" si="20"/>
        <v>#DIV/0!</v>
      </c>
      <c r="AU48" s="894" t="e">
        <f t="shared" si="21"/>
        <v>#DIV/0!</v>
      </c>
      <c r="AV48" s="892"/>
      <c r="AW48" s="891"/>
      <c r="AX48" s="1255">
        <f t="shared" si="22"/>
        <v>0</v>
      </c>
      <c r="AY48" s="1256">
        <f t="shared" si="23"/>
        <v>0</v>
      </c>
      <c r="AZ48" s="1257">
        <f t="shared" si="48"/>
        <v>0</v>
      </c>
      <c r="BA48" s="1257">
        <f t="shared" si="49"/>
        <v>0</v>
      </c>
      <c r="BB48" s="1256" t="e">
        <f t="shared" si="24"/>
        <v>#DIV/0!</v>
      </c>
      <c r="BC48" s="1256" t="e">
        <f t="shared" si="25"/>
        <v>#DIV/0!</v>
      </c>
      <c r="BD48" s="896"/>
      <c r="BE48" s="891"/>
      <c r="BF48" s="893">
        <f t="shared" si="26"/>
        <v>0</v>
      </c>
      <c r="BG48" s="894">
        <f t="shared" si="27"/>
        <v>0</v>
      </c>
      <c r="BH48" s="895">
        <f t="shared" si="50"/>
        <v>0</v>
      </c>
      <c r="BI48" s="895">
        <f t="shared" si="51"/>
        <v>0</v>
      </c>
      <c r="BJ48" s="894" t="e">
        <f t="shared" si="28"/>
        <v>#DIV/0!</v>
      </c>
      <c r="BK48" s="894" t="e">
        <f t="shared" si="29"/>
        <v>#DIV/0!</v>
      </c>
      <c r="BL48" s="892"/>
      <c r="BM48" s="891"/>
      <c r="BN48" s="893">
        <f t="shared" si="30"/>
        <v>0</v>
      </c>
      <c r="BO48" s="894">
        <f t="shared" si="31"/>
        <v>0</v>
      </c>
      <c r="BP48" s="895">
        <f t="shared" si="52"/>
        <v>0</v>
      </c>
      <c r="BQ48" s="895">
        <f t="shared" si="53"/>
        <v>0</v>
      </c>
      <c r="BR48" s="894" t="e">
        <f t="shared" si="32"/>
        <v>#DIV/0!</v>
      </c>
      <c r="BS48" s="894" t="e">
        <f t="shared" si="33"/>
        <v>#DIV/0!</v>
      </c>
      <c r="BT48" s="892"/>
      <c r="BU48" s="891"/>
      <c r="BV48" s="893">
        <f t="shared" si="34"/>
        <v>0</v>
      </c>
      <c r="BW48" s="894">
        <f t="shared" si="35"/>
        <v>0</v>
      </c>
      <c r="BX48" s="895">
        <f t="shared" si="54"/>
        <v>0</v>
      </c>
      <c r="BY48" s="895">
        <f t="shared" si="55"/>
        <v>0</v>
      </c>
      <c r="BZ48" s="894" t="e">
        <f t="shared" si="36"/>
        <v>#DIV/0!</v>
      </c>
      <c r="CA48" s="894" t="e">
        <f t="shared" si="37"/>
        <v>#DIV/0!</v>
      </c>
      <c r="CB48" s="871"/>
      <c r="CC48" s="889" t="e">
        <f t="shared" si="56"/>
        <v>#DIV/0!</v>
      </c>
      <c r="CD48" s="180"/>
      <c r="CE48" s="180"/>
    </row>
    <row r="49" spans="1:83" ht="21.75" customHeight="1" x14ac:dyDescent="0.55000000000000004">
      <c r="A49" s="180"/>
      <c r="B49" s="180"/>
      <c r="D49" s="900"/>
      <c r="E49" s="891"/>
      <c r="F49" s="891"/>
      <c r="G49" s="891"/>
      <c r="H49" s="892"/>
      <c r="I49" s="891"/>
      <c r="J49" s="893" t="e">
        <f t="shared" si="38"/>
        <v>#DIV/0!</v>
      </c>
      <c r="K49" s="894">
        <f t="shared" si="3"/>
        <v>0</v>
      </c>
      <c r="L49" s="895">
        <f t="shared" si="39"/>
        <v>0</v>
      </c>
      <c r="M49" s="895">
        <f t="shared" si="111"/>
        <v>0</v>
      </c>
      <c r="N49" s="894" t="e">
        <f t="shared" si="4"/>
        <v>#DIV/0!</v>
      </c>
      <c r="O49" s="894" t="e">
        <f t="shared" si="5"/>
        <v>#DIV/0!</v>
      </c>
      <c r="P49" s="892"/>
      <c r="Q49" s="891"/>
      <c r="R49" s="893">
        <f t="shared" si="6"/>
        <v>0</v>
      </c>
      <c r="S49" s="894">
        <f t="shared" si="7"/>
        <v>0</v>
      </c>
      <c r="T49" s="895">
        <f t="shared" si="40"/>
        <v>0</v>
      </c>
      <c r="U49" s="895">
        <f t="shared" si="41"/>
        <v>0</v>
      </c>
      <c r="V49" s="894" t="e">
        <f t="shared" si="8"/>
        <v>#DIV/0!</v>
      </c>
      <c r="W49" s="894" t="e">
        <f t="shared" si="9"/>
        <v>#DIV/0!</v>
      </c>
      <c r="X49" s="892"/>
      <c r="Y49" s="891"/>
      <c r="Z49" s="893">
        <f t="shared" si="10"/>
        <v>0</v>
      </c>
      <c r="AA49" s="894">
        <f t="shared" si="11"/>
        <v>0</v>
      </c>
      <c r="AB49" s="895">
        <f t="shared" si="42"/>
        <v>0</v>
      </c>
      <c r="AC49" s="895">
        <f t="shared" si="43"/>
        <v>0</v>
      </c>
      <c r="AD49" s="894" t="e">
        <f t="shared" si="12"/>
        <v>#DIV/0!</v>
      </c>
      <c r="AE49" s="894" t="e">
        <f t="shared" si="13"/>
        <v>#DIV/0!</v>
      </c>
      <c r="AF49" s="892"/>
      <c r="AG49" s="891"/>
      <c r="AH49" s="893">
        <f t="shared" si="14"/>
        <v>0</v>
      </c>
      <c r="AI49" s="894">
        <f t="shared" si="15"/>
        <v>0</v>
      </c>
      <c r="AJ49" s="895">
        <f t="shared" si="44"/>
        <v>0</v>
      </c>
      <c r="AK49" s="895">
        <f t="shared" si="45"/>
        <v>0</v>
      </c>
      <c r="AL49" s="894" t="e">
        <f t="shared" si="16"/>
        <v>#DIV/0!</v>
      </c>
      <c r="AM49" s="894" t="e">
        <f t="shared" si="17"/>
        <v>#DIV/0!</v>
      </c>
      <c r="AN49" s="892"/>
      <c r="AO49" s="891"/>
      <c r="AP49" s="893">
        <f t="shared" si="18"/>
        <v>0</v>
      </c>
      <c r="AQ49" s="894">
        <f t="shared" si="19"/>
        <v>0</v>
      </c>
      <c r="AR49" s="895">
        <f t="shared" si="46"/>
        <v>0</v>
      </c>
      <c r="AS49" s="895">
        <f t="shared" si="47"/>
        <v>0</v>
      </c>
      <c r="AT49" s="894" t="e">
        <f t="shared" si="20"/>
        <v>#DIV/0!</v>
      </c>
      <c r="AU49" s="894" t="e">
        <f t="shared" si="21"/>
        <v>#DIV/0!</v>
      </c>
      <c r="AV49" s="892"/>
      <c r="AW49" s="891"/>
      <c r="AX49" s="893">
        <f t="shared" si="22"/>
        <v>0</v>
      </c>
      <c r="AY49" s="894">
        <f t="shared" si="23"/>
        <v>0</v>
      </c>
      <c r="AZ49" s="895">
        <f t="shared" si="48"/>
        <v>0</v>
      </c>
      <c r="BA49" s="895">
        <f t="shared" si="49"/>
        <v>0</v>
      </c>
      <c r="BB49" s="894" t="e">
        <f t="shared" si="24"/>
        <v>#DIV/0!</v>
      </c>
      <c r="BC49" s="894" t="e">
        <f t="shared" si="25"/>
        <v>#DIV/0!</v>
      </c>
      <c r="BD49" s="896"/>
      <c r="BE49" s="891"/>
      <c r="BF49" s="893">
        <f t="shared" si="26"/>
        <v>0</v>
      </c>
      <c r="BG49" s="894">
        <f t="shared" si="27"/>
        <v>0</v>
      </c>
      <c r="BH49" s="895">
        <f t="shared" si="50"/>
        <v>0</v>
      </c>
      <c r="BI49" s="895">
        <f t="shared" si="51"/>
        <v>0</v>
      </c>
      <c r="BJ49" s="894" t="e">
        <f t="shared" si="28"/>
        <v>#DIV/0!</v>
      </c>
      <c r="BK49" s="894" t="e">
        <f t="shared" si="29"/>
        <v>#DIV/0!</v>
      </c>
      <c r="BL49" s="892"/>
      <c r="BM49" s="891"/>
      <c r="BN49" s="893">
        <f t="shared" si="30"/>
        <v>0</v>
      </c>
      <c r="BO49" s="894">
        <f t="shared" si="31"/>
        <v>0</v>
      </c>
      <c r="BP49" s="895">
        <f t="shared" si="52"/>
        <v>0</v>
      </c>
      <c r="BQ49" s="895">
        <f t="shared" si="53"/>
        <v>0</v>
      </c>
      <c r="BR49" s="894" t="e">
        <f t="shared" si="32"/>
        <v>#DIV/0!</v>
      </c>
      <c r="BS49" s="894" t="e">
        <f t="shared" si="33"/>
        <v>#DIV/0!</v>
      </c>
      <c r="BT49" s="892"/>
      <c r="BU49" s="891"/>
      <c r="BV49" s="893">
        <f t="shared" si="34"/>
        <v>0</v>
      </c>
      <c r="BW49" s="894">
        <f t="shared" si="35"/>
        <v>0</v>
      </c>
      <c r="BX49" s="895">
        <f t="shared" si="54"/>
        <v>0</v>
      </c>
      <c r="BY49" s="895">
        <f t="shared" si="55"/>
        <v>0</v>
      </c>
      <c r="BZ49" s="894" t="e">
        <f t="shared" si="36"/>
        <v>#DIV/0!</v>
      </c>
      <c r="CA49" s="894" t="e">
        <f t="shared" si="37"/>
        <v>#DIV/0!</v>
      </c>
      <c r="CB49" s="871"/>
      <c r="CC49" s="889" t="e">
        <f t="shared" si="56"/>
        <v>#DIV/0!</v>
      </c>
      <c r="CD49" s="180"/>
      <c r="CE49" s="180"/>
    </row>
    <row r="50" spans="1:83" s="181" customFormat="1" ht="7.5" customHeight="1" x14ac:dyDescent="0.55000000000000004">
      <c r="A50" s="180"/>
      <c r="B50" s="180"/>
      <c r="C50" s="179"/>
      <c r="D50" s="871"/>
      <c r="E50" s="871"/>
      <c r="F50" s="871"/>
      <c r="G50" s="879"/>
      <c r="H50" s="871"/>
      <c r="I50" s="871"/>
      <c r="J50" s="901"/>
      <c r="K50" s="902"/>
      <c r="L50" s="902"/>
      <c r="M50" s="903"/>
      <c r="N50" s="902"/>
      <c r="O50" s="904"/>
      <c r="P50" s="871"/>
      <c r="Q50" s="871"/>
      <c r="R50" s="901"/>
      <c r="S50" s="902"/>
      <c r="T50" s="902"/>
      <c r="U50" s="903"/>
      <c r="V50" s="902"/>
      <c r="W50" s="904"/>
      <c r="X50" s="871"/>
      <c r="Y50" s="871"/>
      <c r="Z50" s="901"/>
      <c r="AA50" s="902"/>
      <c r="AB50" s="902"/>
      <c r="AC50" s="903"/>
      <c r="AD50" s="902"/>
      <c r="AE50" s="904"/>
      <c r="AF50" s="871"/>
      <c r="AG50" s="871"/>
      <c r="AH50" s="901"/>
      <c r="AI50" s="902"/>
      <c r="AJ50" s="902"/>
      <c r="AK50" s="903"/>
      <c r="AL50" s="902"/>
      <c r="AM50" s="904"/>
      <c r="AN50" s="871"/>
      <c r="AO50" s="871"/>
      <c r="AP50" s="901"/>
      <c r="AQ50" s="902"/>
      <c r="AR50" s="902"/>
      <c r="AS50" s="903"/>
      <c r="AT50" s="902"/>
      <c r="AU50" s="904"/>
      <c r="AV50" s="871"/>
      <c r="AW50" s="871"/>
      <c r="AX50" s="901"/>
      <c r="AY50" s="902"/>
      <c r="AZ50" s="902"/>
      <c r="BA50" s="903"/>
      <c r="BB50" s="902"/>
      <c r="BC50" s="904"/>
      <c r="BD50" s="871"/>
      <c r="BE50" s="871"/>
      <c r="BF50" s="901"/>
      <c r="BG50" s="902"/>
      <c r="BH50" s="902"/>
      <c r="BI50" s="903"/>
      <c r="BJ50" s="902"/>
      <c r="BK50" s="904"/>
      <c r="BL50" s="871"/>
      <c r="BM50" s="871"/>
      <c r="BN50" s="901"/>
      <c r="BO50" s="902"/>
      <c r="BP50" s="902"/>
      <c r="BQ50" s="903"/>
      <c r="BR50" s="902"/>
      <c r="BS50" s="904"/>
      <c r="BT50" s="871"/>
      <c r="BU50" s="871"/>
      <c r="BV50" s="901"/>
      <c r="BW50" s="902"/>
      <c r="BX50" s="902"/>
      <c r="BY50" s="903"/>
      <c r="BZ50" s="902"/>
      <c r="CA50" s="904"/>
      <c r="CB50" s="871"/>
      <c r="CC50" s="905"/>
      <c r="CD50" s="180"/>
      <c r="CE50" s="180"/>
    </row>
    <row r="51" spans="1:83" ht="18.75" customHeight="1" x14ac:dyDescent="0.55000000000000004">
      <c r="A51" s="180"/>
      <c r="B51" s="180"/>
      <c r="D51" s="906" t="s">
        <v>72</v>
      </c>
      <c r="E51" s="907"/>
      <c r="F51" s="908"/>
      <c r="G51" s="909"/>
      <c r="H51" s="907"/>
      <c r="I51" s="910"/>
      <c r="J51" s="911"/>
      <c r="K51" s="912"/>
      <c r="L51" s="913"/>
      <c r="M51" s="914">
        <f>IF(SUM($E51:$G51)=0,,SUM($E51:$G51))</f>
        <v>0</v>
      </c>
      <c r="N51" s="915"/>
      <c r="O51" s="916" t="e">
        <f>M51/M$55</f>
        <v>#DIV/0!</v>
      </c>
      <c r="P51" s="907"/>
      <c r="Q51" s="910"/>
      <c r="R51" s="911"/>
      <c r="S51" s="912"/>
      <c r="T51" s="913"/>
      <c r="U51" s="914">
        <f>IF(M51=0,,M51)</f>
        <v>0</v>
      </c>
      <c r="V51" s="915"/>
      <c r="W51" s="916" t="e">
        <f>U51/U$55</f>
        <v>#DIV/0!</v>
      </c>
      <c r="X51" s="907"/>
      <c r="Y51" s="910"/>
      <c r="Z51" s="911"/>
      <c r="AA51" s="912"/>
      <c r="AB51" s="913"/>
      <c r="AC51" s="914">
        <f>IF(U51=0,,U51)</f>
        <v>0</v>
      </c>
      <c r="AD51" s="915"/>
      <c r="AE51" s="916" t="e">
        <f>AC51/AC$55</f>
        <v>#DIV/0!</v>
      </c>
      <c r="AF51" s="907"/>
      <c r="AG51" s="910"/>
      <c r="AH51" s="911"/>
      <c r="AI51" s="912"/>
      <c r="AJ51" s="913"/>
      <c r="AK51" s="914">
        <f>IF(AC51=0,,AC51)</f>
        <v>0</v>
      </c>
      <c r="AL51" s="915"/>
      <c r="AM51" s="916" t="e">
        <f>AK51/AK$55</f>
        <v>#DIV/0!</v>
      </c>
      <c r="AN51" s="907"/>
      <c r="AO51" s="910"/>
      <c r="AP51" s="911"/>
      <c r="AQ51" s="912"/>
      <c r="AR51" s="913"/>
      <c r="AS51" s="914">
        <f>IF(AK51=0,,AK51)</f>
        <v>0</v>
      </c>
      <c r="AT51" s="915"/>
      <c r="AU51" s="916" t="e">
        <f>AS51/AS$55</f>
        <v>#DIV/0!</v>
      </c>
      <c r="AV51" s="907"/>
      <c r="AW51" s="910"/>
      <c r="AX51" s="911"/>
      <c r="AY51" s="912"/>
      <c r="AZ51" s="913"/>
      <c r="BA51" s="914">
        <f>IF(AS51=0,,AS51)</f>
        <v>0</v>
      </c>
      <c r="BB51" s="915"/>
      <c r="BC51" s="916" t="e">
        <f>BA51/BA$55</f>
        <v>#DIV/0!</v>
      </c>
      <c r="BD51" s="907"/>
      <c r="BE51" s="910"/>
      <c r="BF51" s="911"/>
      <c r="BG51" s="912"/>
      <c r="BH51" s="913"/>
      <c r="BI51" s="914">
        <f>IF(BA51=0,,BA51)</f>
        <v>0</v>
      </c>
      <c r="BJ51" s="915"/>
      <c r="BK51" s="916" t="e">
        <f>BI51/BI$55</f>
        <v>#DIV/0!</v>
      </c>
      <c r="BL51" s="907"/>
      <c r="BM51" s="910"/>
      <c r="BN51" s="911"/>
      <c r="BO51" s="912"/>
      <c r="BP51" s="913"/>
      <c r="BQ51" s="914">
        <f>IF(BI51=0,,BI51)</f>
        <v>0</v>
      </c>
      <c r="BR51" s="915"/>
      <c r="BS51" s="916" t="e">
        <f>BQ51/BQ$55</f>
        <v>#DIV/0!</v>
      </c>
      <c r="BT51" s="907"/>
      <c r="BU51" s="910"/>
      <c r="BV51" s="911"/>
      <c r="BW51" s="912"/>
      <c r="BX51" s="913"/>
      <c r="BY51" s="914">
        <f>IF(BQ51=0,,BQ51)</f>
        <v>0</v>
      </c>
      <c r="BZ51" s="915"/>
      <c r="CA51" s="916" t="e">
        <f>BY51/BY$55</f>
        <v>#DIV/0!</v>
      </c>
      <c r="CB51" s="871"/>
      <c r="CC51" s="917"/>
      <c r="CD51" s="180"/>
      <c r="CE51" s="180"/>
    </row>
    <row r="52" spans="1:83" ht="18.75" customHeight="1" x14ac:dyDescent="0.55000000000000004">
      <c r="A52" s="180" t="s">
        <v>73</v>
      </c>
      <c r="B52" s="180"/>
      <c r="C52" s="247" t="s">
        <v>74</v>
      </c>
      <c r="D52" s="906" t="s">
        <v>75</v>
      </c>
      <c r="E52" s="918"/>
      <c r="F52" s="919"/>
      <c r="G52" s="909"/>
      <c r="H52" s="918"/>
      <c r="I52" s="920"/>
      <c r="J52" s="921"/>
      <c r="K52" s="922"/>
      <c r="L52" s="878"/>
      <c r="M52" s="914">
        <f>IF(SUM($E52:$G52)=0,,SUM($E52:$G52))</f>
        <v>0</v>
      </c>
      <c r="N52" s="923"/>
      <c r="O52" s="916" t="e">
        <f>M52/M$55</f>
        <v>#DIV/0!</v>
      </c>
      <c r="P52" s="918"/>
      <c r="Q52" s="920"/>
      <c r="R52" s="921"/>
      <c r="S52" s="922"/>
      <c r="T52" s="878"/>
      <c r="U52" s="914">
        <f>IF((M52+M53)=0,,(M52+M53))</f>
        <v>0</v>
      </c>
      <c r="V52" s="923"/>
      <c r="W52" s="916" t="e">
        <f>U52/U$55</f>
        <v>#DIV/0!</v>
      </c>
      <c r="X52" s="918"/>
      <c r="Y52" s="920"/>
      <c r="Z52" s="921"/>
      <c r="AA52" s="922"/>
      <c r="AB52" s="878"/>
      <c r="AC52" s="914">
        <f>IF((U52+U53)=0,,(U52+U53))</f>
        <v>0</v>
      </c>
      <c r="AD52" s="923"/>
      <c r="AE52" s="916" t="e">
        <f>AC52/AC$55</f>
        <v>#DIV/0!</v>
      </c>
      <c r="AF52" s="918"/>
      <c r="AG52" s="920"/>
      <c r="AH52" s="921"/>
      <c r="AI52" s="922"/>
      <c r="AJ52" s="878"/>
      <c r="AK52" s="914">
        <f>IF((AC52+AC53)=0,,(AC52+AC53))</f>
        <v>0</v>
      </c>
      <c r="AL52" s="923"/>
      <c r="AM52" s="916" t="e">
        <f>AK52/AK$55</f>
        <v>#DIV/0!</v>
      </c>
      <c r="AN52" s="918"/>
      <c r="AO52" s="920"/>
      <c r="AP52" s="921"/>
      <c r="AQ52" s="922"/>
      <c r="AR52" s="878"/>
      <c r="AS52" s="914">
        <f>IF((AK52+AK53)=0,,(AK52+AK53))</f>
        <v>0</v>
      </c>
      <c r="AT52" s="923"/>
      <c r="AU52" s="916" t="e">
        <f>AS52/AS$55</f>
        <v>#DIV/0!</v>
      </c>
      <c r="AV52" s="918"/>
      <c r="AW52" s="920"/>
      <c r="AX52" s="921"/>
      <c r="AY52" s="922"/>
      <c r="AZ52" s="878"/>
      <c r="BA52" s="914">
        <f>IF((AS52+AS53)=0,,(AS52+AS53))</f>
        <v>0</v>
      </c>
      <c r="BB52" s="923"/>
      <c r="BC52" s="916" t="e">
        <f>BA52/BA$55</f>
        <v>#DIV/0!</v>
      </c>
      <c r="BD52" s="918"/>
      <c r="BE52" s="920"/>
      <c r="BF52" s="921"/>
      <c r="BG52" s="922"/>
      <c r="BH52" s="878"/>
      <c r="BI52" s="914">
        <f>IF((BA52+BA53)=0,,(BA52+BA53))</f>
        <v>0</v>
      </c>
      <c r="BJ52" s="923"/>
      <c r="BK52" s="916" t="e">
        <f>BI52/BI$55</f>
        <v>#DIV/0!</v>
      </c>
      <c r="BL52" s="918"/>
      <c r="BM52" s="920"/>
      <c r="BN52" s="921"/>
      <c r="BO52" s="922"/>
      <c r="BP52" s="878"/>
      <c r="BQ52" s="914">
        <f>IF((BI52+BI53)=0,,(BI52+BI53))</f>
        <v>0</v>
      </c>
      <c r="BR52" s="923"/>
      <c r="BS52" s="916" t="e">
        <f>BQ52/BQ$55</f>
        <v>#DIV/0!</v>
      </c>
      <c r="BT52" s="918"/>
      <c r="BU52" s="920"/>
      <c r="BV52" s="921"/>
      <c r="BW52" s="922"/>
      <c r="BX52" s="878"/>
      <c r="BY52" s="914">
        <f>IF((BQ52+BQ53)=0,,(BQ52+BQ53))</f>
        <v>0</v>
      </c>
      <c r="BZ52" s="923"/>
      <c r="CA52" s="916" t="e">
        <f>BY52/BY$55</f>
        <v>#DIV/0!</v>
      </c>
      <c r="CB52" s="871"/>
      <c r="CC52" s="924"/>
      <c r="CD52" s="180"/>
      <c r="CE52" s="180"/>
    </row>
    <row r="53" spans="1:83" ht="18.75" customHeight="1" x14ac:dyDescent="0.55000000000000004">
      <c r="A53" s="180"/>
      <c r="B53" s="180"/>
      <c r="C53" s="247" t="s">
        <v>76</v>
      </c>
      <c r="D53" s="906" t="s">
        <v>77</v>
      </c>
      <c r="E53" s="909" t="s">
        <v>76</v>
      </c>
      <c r="F53" s="925"/>
      <c r="G53" s="909"/>
      <c r="H53" s="925"/>
      <c r="I53" s="926"/>
      <c r="J53" s="927"/>
      <c r="K53" s="928"/>
      <c r="L53" s="929"/>
      <c r="M53" s="914">
        <f>IF(AND($E$6=H13,$E$53=$C$52),$G$53,IF(AND($E$6=P13:P13,$E$53=$C$53),$G$53,0))</f>
        <v>0</v>
      </c>
      <c r="N53" s="930"/>
      <c r="O53" s="916" t="e">
        <f>M53/M$55</f>
        <v>#DIV/0!</v>
      </c>
      <c r="P53" s="925"/>
      <c r="Q53" s="926"/>
      <c r="R53" s="927"/>
      <c r="S53" s="928"/>
      <c r="T53" s="929"/>
      <c r="U53" s="914">
        <f>IF(AND($E$6=P13,$E$53=$C$52),$G$53,IF(AND($E$6=X13:X13,$E$53=$C$53),$G$53,0))</f>
        <v>0</v>
      </c>
      <c r="V53" s="930"/>
      <c r="W53" s="916" t="e">
        <f>U53/U$55</f>
        <v>#DIV/0!</v>
      </c>
      <c r="X53" s="925"/>
      <c r="Y53" s="926"/>
      <c r="Z53" s="927"/>
      <c r="AA53" s="928"/>
      <c r="AB53" s="929"/>
      <c r="AC53" s="914">
        <f>IF(AND($E$6=X13,$E$53=$C$52),$G$53,IF(AND($E$6=AF13:AF13,$E$53=$C$53),$G$53,0))</f>
        <v>0</v>
      </c>
      <c r="AD53" s="930"/>
      <c r="AE53" s="916" t="e">
        <f>AC53/AC$55</f>
        <v>#DIV/0!</v>
      </c>
      <c r="AF53" s="925"/>
      <c r="AG53" s="926"/>
      <c r="AH53" s="927"/>
      <c r="AI53" s="928"/>
      <c r="AJ53" s="929"/>
      <c r="AK53" s="914">
        <f>IF(AND($E$6=AF13,$E$53=$C$52),$G$53,IF(AND($E$6=AN13:AN13,$E$53=$C$53),$G$53,0))</f>
        <v>0</v>
      </c>
      <c r="AL53" s="930"/>
      <c r="AM53" s="916" t="e">
        <f>AK53/AK$55</f>
        <v>#DIV/0!</v>
      </c>
      <c r="AN53" s="925"/>
      <c r="AO53" s="926"/>
      <c r="AP53" s="927"/>
      <c r="AQ53" s="928"/>
      <c r="AR53" s="929"/>
      <c r="AS53" s="914">
        <f>IF(AND($E$6=AN13,$E$53=$C$52),$G$53,IF(AND($E$6=AV13:AV13,$E$53=$C$53),$G$53,0))</f>
        <v>0</v>
      </c>
      <c r="AT53" s="930"/>
      <c r="AU53" s="916" t="e">
        <f>AS53/AS$55</f>
        <v>#DIV/0!</v>
      </c>
      <c r="AV53" s="925"/>
      <c r="AW53" s="926"/>
      <c r="AX53" s="927"/>
      <c r="AY53" s="928"/>
      <c r="AZ53" s="929"/>
      <c r="BA53" s="914">
        <f>IF(AND($E$6=AV13,$E$53=$C$52),$G$53,IF(AND($E$6=BD13:BD13,$E$53=$C$53),$G$53,0))</f>
        <v>0</v>
      </c>
      <c r="BB53" s="930"/>
      <c r="BC53" s="916" t="e">
        <f>BA53/BA$55</f>
        <v>#DIV/0!</v>
      </c>
      <c r="BD53" s="925"/>
      <c r="BE53" s="926"/>
      <c r="BF53" s="927"/>
      <c r="BG53" s="928"/>
      <c r="BH53" s="929"/>
      <c r="BI53" s="914">
        <f>IF(AND($E$6=BD13,$E$53=$C$52),$G$53,IF(AND($E$6=BL13:BL13,$E$53=$C$53),$G$53,0))</f>
        <v>0</v>
      </c>
      <c r="BJ53" s="930"/>
      <c r="BK53" s="916" t="e">
        <f>BI53/BI$55</f>
        <v>#DIV/0!</v>
      </c>
      <c r="BL53" s="925"/>
      <c r="BM53" s="926"/>
      <c r="BN53" s="927"/>
      <c r="BO53" s="928"/>
      <c r="BP53" s="929"/>
      <c r="BQ53" s="914">
        <f>IF(AND($E$6=BL13,$E$53=$C$52),$G$53,IF(AND($E$6=BT13:BT13,$E$53=$C$53),$G$53,0))</f>
        <v>0</v>
      </c>
      <c r="BR53" s="930"/>
      <c r="BS53" s="916" t="e">
        <f>BQ53/BQ$55</f>
        <v>#DIV/0!</v>
      </c>
      <c r="BT53" s="925"/>
      <c r="BU53" s="926"/>
      <c r="BV53" s="927"/>
      <c r="BW53" s="928"/>
      <c r="BX53" s="929"/>
      <c r="BY53" s="914">
        <f>IF(AND($E$6=BT13,$E$53=$C$52),$G$53,IF(AND($E$6=CB13:CB13,$E$53=$C$53),$G$53,0))</f>
        <v>0</v>
      </c>
      <c r="BZ53" s="930"/>
      <c r="CA53" s="916" t="e">
        <f>BY53/BY$55</f>
        <v>#DIV/0!</v>
      </c>
      <c r="CB53" s="871"/>
      <c r="CC53" s="931"/>
      <c r="CD53" s="180"/>
      <c r="CE53" s="180"/>
    </row>
    <row r="54" spans="1:83" s="181" customFormat="1" ht="7.5" customHeight="1" x14ac:dyDescent="0.55000000000000004">
      <c r="A54" s="180"/>
      <c r="B54" s="180"/>
      <c r="C54" s="179"/>
      <c r="D54" s="871"/>
      <c r="E54" s="871"/>
      <c r="F54" s="871"/>
      <c r="G54" s="879"/>
      <c r="H54" s="875"/>
      <c r="I54" s="875"/>
      <c r="J54" s="901"/>
      <c r="K54" s="875"/>
      <c r="L54" s="875"/>
      <c r="M54" s="875"/>
      <c r="N54" s="871"/>
      <c r="O54" s="875"/>
      <c r="P54" s="875"/>
      <c r="Q54" s="875"/>
      <c r="R54" s="901"/>
      <c r="S54" s="875"/>
      <c r="T54" s="875"/>
      <c r="U54" s="875"/>
      <c r="V54" s="871"/>
      <c r="W54" s="875"/>
      <c r="X54" s="875"/>
      <c r="Y54" s="875"/>
      <c r="Z54" s="901"/>
      <c r="AA54" s="875"/>
      <c r="AB54" s="875"/>
      <c r="AC54" s="875"/>
      <c r="AD54" s="871"/>
      <c r="AE54" s="875"/>
      <c r="AF54" s="875"/>
      <c r="AG54" s="875"/>
      <c r="AH54" s="901"/>
      <c r="AI54" s="875"/>
      <c r="AJ54" s="875"/>
      <c r="AK54" s="875"/>
      <c r="AL54" s="871"/>
      <c r="AM54" s="875"/>
      <c r="AN54" s="875"/>
      <c r="AO54" s="875"/>
      <c r="AP54" s="901"/>
      <c r="AQ54" s="875"/>
      <c r="AR54" s="875"/>
      <c r="AS54" s="875"/>
      <c r="AT54" s="871"/>
      <c r="AU54" s="875"/>
      <c r="AV54" s="875"/>
      <c r="AW54" s="875"/>
      <c r="AX54" s="901"/>
      <c r="AY54" s="875"/>
      <c r="AZ54" s="875"/>
      <c r="BA54" s="875"/>
      <c r="BB54" s="871"/>
      <c r="BC54" s="875"/>
      <c r="BD54" s="875"/>
      <c r="BE54" s="875"/>
      <c r="BF54" s="901"/>
      <c r="BG54" s="875"/>
      <c r="BH54" s="875"/>
      <c r="BI54" s="875"/>
      <c r="BJ54" s="871"/>
      <c r="BK54" s="875"/>
      <c r="BL54" s="875"/>
      <c r="BM54" s="875"/>
      <c r="BN54" s="901"/>
      <c r="BO54" s="875"/>
      <c r="BP54" s="875"/>
      <c r="BQ54" s="875"/>
      <c r="BR54" s="871"/>
      <c r="BS54" s="875"/>
      <c r="BT54" s="875"/>
      <c r="BU54" s="875"/>
      <c r="BV54" s="901"/>
      <c r="BW54" s="875"/>
      <c r="BX54" s="875"/>
      <c r="BY54" s="875"/>
      <c r="BZ54" s="871"/>
      <c r="CA54" s="875"/>
      <c r="CB54" s="875"/>
      <c r="CC54" s="905"/>
    </row>
    <row r="55" spans="1:83" s="253" customFormat="1" ht="21.75" customHeight="1" x14ac:dyDescent="0.55000000000000004">
      <c r="A55" s="2"/>
      <c r="B55" s="2"/>
      <c r="D55" s="932" t="s">
        <v>78</v>
      </c>
      <c r="E55" s="933">
        <f>SUM(E20:E52)</f>
        <v>0</v>
      </c>
      <c r="F55" s="933">
        <f>SUM(F20:F52)</f>
        <v>0</v>
      </c>
      <c r="G55" s="933">
        <f>SUM(G20:G53)</f>
        <v>0</v>
      </c>
      <c r="H55" s="933">
        <f>SUM(H20:H49)</f>
        <v>0</v>
      </c>
      <c r="I55" s="933">
        <f>SUM(I20:I49)</f>
        <v>0</v>
      </c>
      <c r="J55" s="934" t="e">
        <f>SUM(J20:J49)</f>
        <v>#DIV/0!</v>
      </c>
      <c r="K55" s="935">
        <f>SUM(K20:K49)</f>
        <v>0</v>
      </c>
      <c r="L55" s="933">
        <f>SUM(L20:L49)</f>
        <v>0</v>
      </c>
      <c r="M55" s="933">
        <f>SUM(M20:M53)</f>
        <v>0</v>
      </c>
      <c r="N55" s="935" t="e">
        <f>SUM(N20:N49)</f>
        <v>#DIV/0!</v>
      </c>
      <c r="O55" s="935" t="e">
        <f>SUM(O20:O53)</f>
        <v>#DIV/0!</v>
      </c>
      <c r="P55" s="933">
        <f>SUM(P20:P49)</f>
        <v>0</v>
      </c>
      <c r="Q55" s="933">
        <f>SUM(Q20:Q49)</f>
        <v>0</v>
      </c>
      <c r="R55" s="934">
        <f>SUM(R20:R49)</f>
        <v>0</v>
      </c>
      <c r="S55" s="935">
        <f>SUM(S20:S49)</f>
        <v>0</v>
      </c>
      <c r="T55" s="933">
        <f>SUM(T20:T49)</f>
        <v>0</v>
      </c>
      <c r="U55" s="933">
        <f>SUM(U20:U53)</f>
        <v>0</v>
      </c>
      <c r="V55" s="935" t="e">
        <f>SUM(V20:V49)</f>
        <v>#DIV/0!</v>
      </c>
      <c r="W55" s="935" t="e">
        <f>SUM(W20:W53)</f>
        <v>#DIV/0!</v>
      </c>
      <c r="X55" s="933">
        <f>SUM(X20:X49)</f>
        <v>0</v>
      </c>
      <c r="Y55" s="933">
        <f>SUM(Y20:Y49)</f>
        <v>0</v>
      </c>
      <c r="Z55" s="934">
        <f>SUM(Z20:Z49)</f>
        <v>0</v>
      </c>
      <c r="AA55" s="935">
        <f>SUM(AA20:AA49)</f>
        <v>0</v>
      </c>
      <c r="AB55" s="933">
        <f>SUM(AB20:AB49)</f>
        <v>0</v>
      </c>
      <c r="AC55" s="933">
        <f>SUM(AC20:AC53)</f>
        <v>0</v>
      </c>
      <c r="AD55" s="935" t="e">
        <f>SUM(AD20:AD49)</f>
        <v>#DIV/0!</v>
      </c>
      <c r="AE55" s="935" t="e">
        <f>SUM(AE20:AE53)</f>
        <v>#DIV/0!</v>
      </c>
      <c r="AF55" s="933">
        <f>SUM(AF20:AF49)</f>
        <v>0</v>
      </c>
      <c r="AG55" s="933">
        <f>SUM(AG20:AG49)</f>
        <v>0</v>
      </c>
      <c r="AH55" s="934">
        <f>SUM(AH20:AH49)</f>
        <v>0</v>
      </c>
      <c r="AI55" s="935">
        <f>SUM(AI20:AI49)</f>
        <v>0</v>
      </c>
      <c r="AJ55" s="933">
        <f>SUM(AJ20:AJ49)</f>
        <v>0</v>
      </c>
      <c r="AK55" s="933">
        <f>SUM(AK20:AK53)</f>
        <v>0</v>
      </c>
      <c r="AL55" s="935" t="e">
        <f>SUM(AL20:AL49)</f>
        <v>#DIV/0!</v>
      </c>
      <c r="AM55" s="935" t="e">
        <f>SUM(AM20:AM53)</f>
        <v>#DIV/0!</v>
      </c>
      <c r="AN55" s="933">
        <f>SUM(AN20:AN49)</f>
        <v>0</v>
      </c>
      <c r="AO55" s="933">
        <f>SUM(AO20:AO49)</f>
        <v>0</v>
      </c>
      <c r="AP55" s="934">
        <f>SUM(AP20:AP49)</f>
        <v>0</v>
      </c>
      <c r="AQ55" s="935">
        <f>SUM(AQ20:AQ49)</f>
        <v>0</v>
      </c>
      <c r="AR55" s="933">
        <f>SUM(AR20:AR49)</f>
        <v>0</v>
      </c>
      <c r="AS55" s="933">
        <f>SUM(AS20:AS53)</f>
        <v>0</v>
      </c>
      <c r="AT55" s="935" t="e">
        <f>SUM(AT20:AT49)</f>
        <v>#DIV/0!</v>
      </c>
      <c r="AU55" s="935" t="e">
        <f>SUM(AU20:AU53)</f>
        <v>#DIV/0!</v>
      </c>
      <c r="AV55" s="933">
        <f>SUM(AV20:AV49)</f>
        <v>0</v>
      </c>
      <c r="AW55" s="933">
        <f>SUM(AW20:AW49)</f>
        <v>0</v>
      </c>
      <c r="AX55" s="934">
        <f>SUM(AX20:AX49)</f>
        <v>0</v>
      </c>
      <c r="AY55" s="935">
        <f>SUM(AY20:AY49)</f>
        <v>0</v>
      </c>
      <c r="AZ55" s="933">
        <f>SUM(AZ20:AZ49)</f>
        <v>0</v>
      </c>
      <c r="BA55" s="933">
        <f>SUM(BA20:BA53)</f>
        <v>0</v>
      </c>
      <c r="BB55" s="935" t="e">
        <f>SUM(BB20:BB49)</f>
        <v>#DIV/0!</v>
      </c>
      <c r="BC55" s="935" t="e">
        <f>SUM(BC20:BC53)</f>
        <v>#DIV/0!</v>
      </c>
      <c r="BD55" s="933">
        <f>SUM(BD20:BD49)</f>
        <v>0</v>
      </c>
      <c r="BE55" s="933">
        <f>SUM(BE20:BE49)</f>
        <v>0</v>
      </c>
      <c r="BF55" s="934">
        <f>SUM(BF20:BF49)</f>
        <v>0</v>
      </c>
      <c r="BG55" s="935">
        <f>SUM(BG20:BG49)</f>
        <v>0</v>
      </c>
      <c r="BH55" s="933">
        <f>SUM(BH20:BH49)</f>
        <v>0</v>
      </c>
      <c r="BI55" s="933">
        <f>SUM(BI20:BI53)</f>
        <v>0</v>
      </c>
      <c r="BJ55" s="935" t="e">
        <f>SUM(BJ20:BJ49)</f>
        <v>#DIV/0!</v>
      </c>
      <c r="BK55" s="935" t="e">
        <f>SUM(BK20:BK53)</f>
        <v>#DIV/0!</v>
      </c>
      <c r="BL55" s="933">
        <f>SUM(BL20:BL49)</f>
        <v>0</v>
      </c>
      <c r="BM55" s="933">
        <f>SUM(BM20:BM49)</f>
        <v>0</v>
      </c>
      <c r="BN55" s="934">
        <f>SUM(BN20:BN49)</f>
        <v>0</v>
      </c>
      <c r="BO55" s="935">
        <f>SUM(BO20:BO49)</f>
        <v>0</v>
      </c>
      <c r="BP55" s="933">
        <f>SUM(BP20:BP49)</f>
        <v>0</v>
      </c>
      <c r="BQ55" s="933">
        <f>SUM(BQ20:BQ53)</f>
        <v>0</v>
      </c>
      <c r="BR55" s="935" t="e">
        <f>SUM(BR20:BR49)</f>
        <v>#DIV/0!</v>
      </c>
      <c r="BS55" s="935" t="e">
        <f>SUM(BS20:BS53)</f>
        <v>#DIV/0!</v>
      </c>
      <c r="BT55" s="933">
        <f>SUM(BT20:BT49)</f>
        <v>0</v>
      </c>
      <c r="BU55" s="933">
        <f>SUM(BU20:BU49)</f>
        <v>0</v>
      </c>
      <c r="BV55" s="934">
        <f>SUM(BV20:BV49)</f>
        <v>0</v>
      </c>
      <c r="BW55" s="935">
        <f>SUM(BW20:BW49)</f>
        <v>0</v>
      </c>
      <c r="BX55" s="933">
        <f>SUM(BX20:BX49)</f>
        <v>0</v>
      </c>
      <c r="BY55" s="933">
        <f>SUM(BY20:BY53)</f>
        <v>0</v>
      </c>
      <c r="BZ55" s="935" t="e">
        <f>SUM(BZ20:BZ49)</f>
        <v>#DIV/0!</v>
      </c>
      <c r="CA55" s="935" t="e">
        <f>SUM(CA20:CA53)</f>
        <v>#DIV/0!</v>
      </c>
      <c r="CB55" s="902"/>
      <c r="CC55" s="936" t="e">
        <f t="shared" si="56"/>
        <v>#DIV/0!</v>
      </c>
      <c r="CD55" s="2"/>
      <c r="CE55" s="2"/>
    </row>
    <row r="56" spans="1:83" s="255" customFormat="1" ht="21.75" customHeight="1" x14ac:dyDescent="0.55000000000000004">
      <c r="A56" s="254"/>
      <c r="B56" s="254"/>
      <c r="D56" s="937" t="s">
        <v>79</v>
      </c>
      <c r="E56" s="938"/>
      <c r="F56" s="938"/>
      <c r="G56" s="938"/>
      <c r="H56" s="1333" t="e">
        <f>IF(H13=$E$6,IF(ROUND(J20,-3)&lt;&gt;ROUND($E$7,-3),"CHECK DTCV Shares!","DTCV OK"),"DTCV OK")&amp;IF(H13=$E$6,IF(ROUND(J55,-3)&lt;&gt;ROUND($E$9,-3),"; CHECK Investor Shares!","; Investors OK"),"; Investors OK")</f>
        <v>#DIV/0!</v>
      </c>
      <c r="I56" s="1334"/>
      <c r="J56" s="1334"/>
      <c r="K56" s="938"/>
      <c r="L56" s="938"/>
      <c r="M56" s="939"/>
      <c r="N56" s="939"/>
      <c r="O56" s="940"/>
      <c r="P56" s="1333" t="str">
        <f>IF(P13=$E$6,IF(ROUND(R20,-3)&lt;&gt;ROUND($E$7,-3),"CHECK DTCV Shares!","DTCV OK"),"DTCV OK")&amp;IF(P13=$E$6,IF(ROUND(R55,-3)&lt;&gt;ROUND($E$9,-3),"; CHECK Investor Shares!","; Investors OK"),"; Investors OK")</f>
        <v>DTCV OK; Investors OK</v>
      </c>
      <c r="Q56" s="1334"/>
      <c r="R56" s="1334"/>
      <c r="S56" s="938"/>
      <c r="T56" s="938"/>
      <c r="U56" s="939"/>
      <c r="V56" s="939"/>
      <c r="W56" s="940"/>
      <c r="X56" s="1333" t="str">
        <f>IF(X13=$E$6,IF(ROUND(Z20,-3)&lt;&gt;ROUND($E$7,-3),"CHECK DTCV Shares!","DTCV OK"),"DTCV OK")&amp;IF(X13=$E$6,IF(ROUND(Z55,-3)&lt;&gt;ROUND($E$9,-3),"; CHECK Investor Shares!","; Investors OK"),"; Investors OK")</f>
        <v>DTCV OK; Investors OK</v>
      </c>
      <c r="Y56" s="1334"/>
      <c r="Z56" s="1334"/>
      <c r="AA56" s="938"/>
      <c r="AB56" s="938"/>
      <c r="AC56" s="939"/>
      <c r="AD56" s="939"/>
      <c r="AE56" s="940"/>
      <c r="AF56" s="1333" t="str">
        <f>IF(AF13=$E$6,IF(ROUND(AH20,-3)&lt;&gt;ROUND($E$7,-3),"CHECK DTCV Shares!","DTCV OK"),"DTCV OK")&amp;IF(AF13=$E$6,IF(ROUND(AH55,-3)&lt;&gt;ROUND($E$9,-3),"; CHECK Investor Shares!","; Investors OK"),"; Investors OK")</f>
        <v>DTCV OK; Investors OK</v>
      </c>
      <c r="AG56" s="1334"/>
      <c r="AH56" s="1334"/>
      <c r="AI56" s="938"/>
      <c r="AJ56" s="938"/>
      <c r="AK56" s="939"/>
      <c r="AL56" s="939"/>
      <c r="AM56" s="940"/>
      <c r="AN56" s="1333" t="str">
        <f>IF(AN13=$E$6,IF(ROUND(AP20,-3)&lt;&gt;ROUND($E$7,-3),"CHECK DTCV Shares!","DTCV OK"),"DTCV OK")&amp;IF(AN13=$E$6,IF(ROUND(AP55,-3)&lt;&gt;ROUND($E$9,-3),"; CHECK Investor Shares!","; Investors OK"),"; Investors OK")</f>
        <v>DTCV OK; Investors OK</v>
      </c>
      <c r="AO56" s="1334"/>
      <c r="AP56" s="1334"/>
      <c r="AQ56" s="938"/>
      <c r="AR56" s="938"/>
      <c r="AS56" s="939"/>
      <c r="AT56" s="939"/>
      <c r="AU56" s="940"/>
      <c r="AV56" s="1333" t="str">
        <f>IF(AV13=$E$6,IF(ROUND(AX20,-3)&lt;&gt;ROUND($E$7,-3),"CHECK DTCV Shares!","DTCV OK"),"DTCV OK")&amp;IF(AV13=$E$6,IF(ROUND(AX55,-3)&lt;&gt;ROUND($E$9,-3),"; CHECK Investor Shares!","; Investors OK"),"; Investors OK")</f>
        <v>DTCV OK; Investors OK</v>
      </c>
      <c r="AW56" s="1334"/>
      <c r="AX56" s="1334"/>
      <c r="AY56" s="938"/>
      <c r="AZ56" s="938"/>
      <c r="BA56" s="939"/>
      <c r="BB56" s="939"/>
      <c r="BC56" s="940"/>
      <c r="BD56" s="1333" t="str">
        <f>IF(BD13=$E$6,IF(ROUND(BF20,-3)&lt;&gt;ROUND($E$7,-3),"CHECK DTCV Shares!","DTCV OK"),"DTCV OK")&amp;IF(BD13=$E$6,IF(ROUND(BF55,-3)&lt;&gt;ROUND($E$9,-3),"; CHECK Investor Shares!","; Investors OK"),"; Investors OK")</f>
        <v>DTCV OK; Investors OK</v>
      </c>
      <c r="BE56" s="1334"/>
      <c r="BF56" s="1334"/>
      <c r="BG56" s="938"/>
      <c r="BH56" s="938"/>
      <c r="BI56" s="939"/>
      <c r="BJ56" s="939"/>
      <c r="BK56" s="940"/>
      <c r="BL56" s="1333" t="str">
        <f>IF(BL13=$E$6,IF(ROUND(BN20,-3)&lt;&gt;ROUND($E$7,-3),"CHECK DTCV Shares!","DTCV OK"),"DTCV OK")&amp;IF(BL13=$E$6,IF(ROUND(BN55,-3)&lt;&gt;ROUND($E$9,-3),"; CHECK Investor Shares!","; Investors OK"),"; Investors OK")</f>
        <v>DTCV OK; Investors OK</v>
      </c>
      <c r="BM56" s="1334"/>
      <c r="BN56" s="1334"/>
      <c r="BO56" s="938"/>
      <c r="BP56" s="938"/>
      <c r="BQ56" s="939"/>
      <c r="BR56" s="939"/>
      <c r="BS56" s="940"/>
      <c r="BT56" s="1333" t="str">
        <f>IF(BT13=$E$6,IF(ROUND(BV20,-3)&lt;&gt;ROUND($E$7,-3),"CHECK DTCV Shares!","DTCV OK"),"DTCV OK")&amp;IF(BT13=$E$6,IF(ROUND(BV55,-3)&lt;&gt;ROUND($E$9,-3),"; CHECK Investor Shares!","; Investors OK"),"; Investors OK")</f>
        <v>DTCV OK; Investors OK</v>
      </c>
      <c r="BU56" s="1334"/>
      <c r="BV56" s="1334"/>
      <c r="BW56" s="938"/>
      <c r="BX56" s="938"/>
      <c r="BY56" s="939"/>
      <c r="BZ56" s="939"/>
      <c r="CA56" s="940"/>
      <c r="CB56" s="871"/>
      <c r="CC56" s="941"/>
      <c r="CD56" s="180"/>
      <c r="CE56" s="180"/>
    </row>
    <row r="57" spans="1:83" s="255" customFormat="1" ht="15.75" customHeight="1" x14ac:dyDescent="0.35">
      <c r="A57" s="254"/>
      <c r="B57" s="254"/>
      <c r="H57" s="260"/>
      <c r="I57" s="260"/>
      <c r="J57" s="260"/>
      <c r="M57" s="261"/>
      <c r="N57" s="261"/>
      <c r="O57" s="188"/>
      <c r="P57" s="260"/>
      <c r="Q57" s="260"/>
      <c r="R57" s="260"/>
      <c r="U57" s="261"/>
      <c r="V57" s="261"/>
      <c r="W57" s="188"/>
      <c r="X57" s="260"/>
      <c r="Y57" s="260"/>
      <c r="Z57" s="260"/>
      <c r="AC57" s="261"/>
      <c r="AD57" s="261"/>
      <c r="AE57" s="188"/>
      <c r="AF57" s="260"/>
      <c r="AG57" s="260"/>
      <c r="AH57" s="260"/>
      <c r="AK57" s="261"/>
      <c r="AL57" s="261"/>
      <c r="AM57" s="188"/>
      <c r="AN57" s="260"/>
      <c r="AO57" s="260"/>
      <c r="AP57" s="260"/>
      <c r="AS57" s="261"/>
      <c r="AT57" s="261"/>
      <c r="AU57" s="188"/>
      <c r="AV57" s="260"/>
      <c r="AW57" s="260"/>
      <c r="AX57" s="260"/>
      <c r="BA57" s="261"/>
      <c r="BB57" s="261"/>
      <c r="BC57" s="188"/>
      <c r="BD57" s="260"/>
      <c r="BE57" s="260"/>
      <c r="BF57" s="260"/>
      <c r="BI57" s="261"/>
      <c r="BJ57" s="261"/>
      <c r="BK57" s="188"/>
      <c r="BL57" s="260"/>
      <c r="BM57" s="260"/>
      <c r="BN57" s="260"/>
      <c r="BQ57" s="261"/>
      <c r="BR57" s="261"/>
      <c r="BS57" s="188"/>
      <c r="BT57" s="260"/>
      <c r="BU57" s="260"/>
      <c r="BV57" s="260"/>
      <c r="BY57" s="261"/>
      <c r="BZ57" s="261"/>
      <c r="CA57" s="188"/>
      <c r="CB57" s="180"/>
      <c r="CC57" s="188"/>
      <c r="CD57" s="180"/>
      <c r="CE57" s="180"/>
    </row>
    <row r="58" spans="1:83" s="255" customFormat="1" ht="15.75" customHeight="1" x14ac:dyDescent="0.35">
      <c r="A58" s="254"/>
      <c r="B58" s="254"/>
      <c r="H58" s="262" t="str">
        <f>H13&amp;" Round"</f>
        <v>Seed Round</v>
      </c>
      <c r="I58" s="260"/>
      <c r="J58" s="260"/>
      <c r="K58" s="207"/>
      <c r="L58" s="207"/>
      <c r="M58" s="207"/>
      <c r="N58" s="188"/>
      <c r="O58" s="188"/>
      <c r="P58" s="263" t="str">
        <f>P13&amp;" Round"</f>
        <v>Series A Round</v>
      </c>
      <c r="Q58" s="260"/>
      <c r="R58" s="260"/>
      <c r="S58" s="207"/>
      <c r="T58" s="207"/>
      <c r="U58" s="207"/>
      <c r="V58" s="261"/>
      <c r="W58" s="188"/>
      <c r="X58" s="263" t="str">
        <f>X13&amp;" Round"</f>
        <v>Series B Round</v>
      </c>
      <c r="Y58" s="260"/>
      <c r="Z58" s="260"/>
      <c r="AA58" s="207"/>
      <c r="AB58" s="207"/>
      <c r="AC58" s="207"/>
      <c r="AD58" s="261"/>
      <c r="AE58" s="188"/>
      <c r="AF58" s="263" t="str">
        <f>AF13&amp;" Round"</f>
        <v>Series C Round</v>
      </c>
      <c r="AI58" s="207"/>
      <c r="AJ58" s="207"/>
      <c r="AK58" s="207"/>
      <c r="AL58" s="261"/>
      <c r="AM58" s="188"/>
      <c r="AN58" s="263" t="str">
        <f>AN13&amp;" Round"</f>
        <v>Series D Round</v>
      </c>
      <c r="AQ58" s="207"/>
      <c r="AR58" s="207"/>
      <c r="AS58" s="207"/>
      <c r="AT58" s="261"/>
      <c r="AU58" s="188"/>
      <c r="AV58" s="263" t="str">
        <f>AV13&amp;" Round"</f>
        <v>Series E Round</v>
      </c>
      <c r="AY58" s="207"/>
      <c r="AZ58" s="207"/>
      <c r="BA58" s="207"/>
      <c r="BB58" s="261"/>
      <c r="BC58" s="188"/>
      <c r="BD58" s="264" t="str">
        <f>BD13&amp;" Round"</f>
        <v>Series E-1 Round</v>
      </c>
      <c r="BG58" s="207"/>
      <c r="BH58" s="207"/>
      <c r="BI58" s="207"/>
      <c r="BJ58" s="261"/>
      <c r="BK58" s="188"/>
      <c r="BL58" s="264" t="str">
        <f>BL13&amp;" Round"</f>
        <v>Series F Round</v>
      </c>
      <c r="BO58" s="207"/>
      <c r="BP58" s="207"/>
      <c r="BQ58" s="207"/>
      <c r="BR58" s="261"/>
      <c r="BS58" s="188"/>
      <c r="BT58" s="264" t="str">
        <f>BT13&amp;" Round"</f>
        <v>Series G Round</v>
      </c>
      <c r="BW58" s="207"/>
      <c r="BX58" s="207"/>
      <c r="BY58" s="207"/>
      <c r="BZ58" s="261"/>
      <c r="CA58" s="188"/>
      <c r="CB58" s="180"/>
      <c r="CC58" s="188"/>
      <c r="CD58" s="180"/>
      <c r="CE58" s="180"/>
    </row>
    <row r="59" spans="1:83" ht="15.75" customHeight="1" x14ac:dyDescent="0.35">
      <c r="F59" s="1335" t="s">
        <v>22</v>
      </c>
      <c r="G59" s="1335"/>
      <c r="H59" s="265" t="e">
        <f>H16*SUM(E55:G55)</f>
        <v>#DIV/0!</v>
      </c>
      <c r="I59" s="192"/>
      <c r="J59" s="192"/>
      <c r="N59" s="192"/>
      <c r="O59" s="192"/>
      <c r="P59" s="265">
        <f>P16*M55</f>
        <v>0</v>
      </c>
      <c r="X59" s="265">
        <f>X16*U55</f>
        <v>0</v>
      </c>
      <c r="AF59" s="265">
        <f>AF16*AC55</f>
        <v>0</v>
      </c>
      <c r="AN59" s="265">
        <f>AN16*AK55</f>
        <v>0</v>
      </c>
      <c r="AV59" s="265">
        <f>AV16*AS55</f>
        <v>0</v>
      </c>
      <c r="BD59" s="265">
        <f>BD16*BA55</f>
        <v>0</v>
      </c>
      <c r="BL59" s="265">
        <f>BL16*BI55</f>
        <v>0</v>
      </c>
      <c r="BT59" s="265">
        <f>BT16*BQ55</f>
        <v>0</v>
      </c>
    </row>
    <row r="60" spans="1:83" ht="15.75" customHeight="1" x14ac:dyDescent="0.35">
      <c r="F60" s="1335" t="s">
        <v>80</v>
      </c>
      <c r="G60" s="1335"/>
      <c r="H60" s="265" t="e">
        <f>J55</f>
        <v>#DIV/0!</v>
      </c>
      <c r="I60" s="192"/>
      <c r="J60" s="192"/>
      <c r="N60" s="192"/>
      <c r="O60" s="192"/>
      <c r="P60" s="265">
        <f>R55</f>
        <v>0</v>
      </c>
      <c r="X60" s="265">
        <f>Z55</f>
        <v>0</v>
      </c>
      <c r="AF60" s="265">
        <f>AH55</f>
        <v>0</v>
      </c>
      <c r="AN60" s="265">
        <f>AP55</f>
        <v>0</v>
      </c>
      <c r="AV60" s="265">
        <f>AX55</f>
        <v>0</v>
      </c>
      <c r="BD60" s="265">
        <f>BF55</f>
        <v>0</v>
      </c>
      <c r="BL60" s="265">
        <f>BN55</f>
        <v>0</v>
      </c>
      <c r="BT60" s="265">
        <f>BV55</f>
        <v>0</v>
      </c>
    </row>
    <row r="61" spans="1:83" ht="15.75" customHeight="1" x14ac:dyDescent="0.35">
      <c r="F61" s="1335" t="s">
        <v>25</v>
      </c>
      <c r="G61" s="1335"/>
      <c r="H61" s="265" t="e">
        <f>SUM(H59:H60)</f>
        <v>#DIV/0!</v>
      </c>
      <c r="I61" s="192"/>
      <c r="J61" s="192"/>
      <c r="K61" s="192"/>
      <c r="L61" s="192"/>
      <c r="M61" s="192"/>
      <c r="N61" s="192"/>
      <c r="O61" s="192"/>
      <c r="P61" s="265">
        <f>SUM(P59:P60)</f>
        <v>0</v>
      </c>
      <c r="S61" s="192"/>
      <c r="T61" s="192"/>
      <c r="U61" s="192"/>
      <c r="X61" s="265">
        <f>SUM(X59:X60)</f>
        <v>0</v>
      </c>
      <c r="AA61" s="192"/>
      <c r="AB61" s="192"/>
      <c r="AC61" s="192"/>
      <c r="AF61" s="265">
        <f>SUM(AF59:AF60)</f>
        <v>0</v>
      </c>
      <c r="AI61" s="192"/>
      <c r="AJ61" s="192"/>
      <c r="AK61" s="192"/>
      <c r="AN61" s="265">
        <f>SUM(AN59:AN60)</f>
        <v>0</v>
      </c>
      <c r="AQ61" s="192"/>
      <c r="AR61" s="192"/>
      <c r="AS61" s="192"/>
      <c r="AV61" s="265">
        <f>SUM(AV59:AV60)</f>
        <v>0</v>
      </c>
      <c r="AY61" s="192"/>
      <c r="AZ61" s="192"/>
      <c r="BA61" s="192"/>
      <c r="BD61" s="265">
        <f>SUM(BD59:BD60)</f>
        <v>0</v>
      </c>
      <c r="BG61" s="192"/>
      <c r="BH61" s="192"/>
      <c r="BI61" s="192"/>
      <c r="BL61" s="265">
        <f>SUM(BL59:BL60)</f>
        <v>0</v>
      </c>
      <c r="BO61" s="192"/>
      <c r="BP61" s="192"/>
      <c r="BQ61" s="192"/>
      <c r="BT61" s="265">
        <f>SUM(BT59:BT60)</f>
        <v>0</v>
      </c>
      <c r="BW61" s="192"/>
      <c r="BX61" s="192"/>
      <c r="BY61" s="192"/>
    </row>
    <row r="62" spans="1:83" s="207" customFormat="1" ht="12" customHeight="1" x14ac:dyDescent="0.3">
      <c r="F62" s="1332" t="s">
        <v>27</v>
      </c>
      <c r="G62" s="1332"/>
      <c r="H62" s="266" t="e">
        <f>IF(SUM(H59:H60)&lt;&gt;M55*H16,"Double Check",)</f>
        <v>#DIV/0!</v>
      </c>
      <c r="P62" s="266">
        <f>IF(SUM(P59:P60)&lt;&gt;U55*P16,"Double Check",)</f>
        <v>0</v>
      </c>
      <c r="X62" s="266">
        <f>IF(SUM(X59:X60)&lt;&gt;AC55*X16,"Double Check",)</f>
        <v>0</v>
      </c>
      <c r="AF62" s="266">
        <f>IF(SUM(AF59:AF60)&lt;&gt;AK55*AF16,"Double Check",)</f>
        <v>0</v>
      </c>
      <c r="AN62" s="266">
        <f>IF(SUM(AN59:AN60)&lt;&gt;AS55*AN16,"Double Check",)</f>
        <v>0</v>
      </c>
      <c r="AV62" s="266">
        <f>IF(SUM(AV59:AV60)&lt;&gt;BA55*AV16,"Double Check",)</f>
        <v>0</v>
      </c>
      <c r="BD62" s="266">
        <f>IF(SUM(BD59:BD60)&lt;&gt;BI55*BD16,"Double Check",)</f>
        <v>0</v>
      </c>
      <c r="BL62" s="266">
        <f>IF(SUM(BL59:BL60)&lt;&gt;BQ55*BL16,"Double Check",)</f>
        <v>0</v>
      </c>
      <c r="BT62" s="266">
        <f>IF(SUM(BT59:BT60)&lt;&gt;BY55*BT16,"Double Check",)</f>
        <v>0</v>
      </c>
    </row>
    <row r="63" spans="1:83" ht="15.75" customHeight="1" x14ac:dyDescent="0.35">
      <c r="P63" s="210"/>
      <c r="X63" s="210"/>
    </row>
    <row r="64" spans="1:83" ht="15.75" customHeight="1" x14ac:dyDescent="0.35">
      <c r="D64" s="1329" t="str">
        <f>"New ESOP Calculator ("&amp;E6&amp;" | "&amp;E53&amp;")"</f>
        <v>New ESOP Calculator (Seed | Pre-Money)</v>
      </c>
      <c r="E64" s="1330"/>
      <c r="H64" s="1331"/>
      <c r="I64" s="1331"/>
      <c r="AV64" s="268"/>
    </row>
    <row r="65" spans="4:16" ht="15.75" customHeight="1" x14ac:dyDescent="0.35">
      <c r="D65" s="269" t="s">
        <v>81</v>
      </c>
      <c r="E65" s="270" t="e">
        <f>IF(
AND($E$53=$C$52,$E$6=$H$13),SUM($O$51:$O$53),
IF(AND($E$53=$C$52,$E$6=$P$13),SUM($W$51:$W$53),
IF(AND($E$53=$C$52,$E$6=$X$13),SUM($AE$51:$AE$53),
IF(AND($E$53=$C$52,$E$6=$AF$13),SUM($AM$51:$AM$53),
IF(AND($E$53=$C$52,$E$6=$AN$13),SUM($AU$51:$AU$53),
IF(AND($E$53=$C$52,$E$6=$AV$13),SUM($BC$51:$BC$53),
IF(AND($E$53=$C$52,$E$6=$BD$13),SUM($BK$51:$BK$53),
IF(AND($E$53=$C$52,$E$6=$BL$13),SUM($BS$51:$BS$53),
IF(AND($E$53=$C$52,$E$6=$BT$13),SUM($CA$51:$CA$53),
IF($E$6=$H$13,SUM($G$51:$G$53)/$G$55,
IF($E$6=$P$13,SUM($O$51:$O$53),
IF($E$6=$X$13,SUM($W$51:$W$53),
IF($E$6=$AF$13,SUM($AE$51:$AE$53),
IF($E$6=$AN$13,SUM($AM$51:$AM$53),
IF($E$6=$AV$13,SUM($AU$51:$AU$53),
IF($E$6=$BD$13,SUM($BC$51:$BC$53),
IF($E$6=$BL$13,SUM($BK$51:$BK$53),
IF($E$6=$BT$13,SUM($BS$51:$BS$53),"Error"))))))))))))))))))</f>
        <v>#DIV/0!</v>
      </c>
      <c r="H65" s="1331"/>
      <c r="I65" s="1331"/>
    </row>
    <row r="66" spans="4:16" ht="15.75" customHeight="1" x14ac:dyDescent="0.35">
      <c r="D66" s="269" t="s">
        <v>82</v>
      </c>
      <c r="E66" s="271"/>
    </row>
    <row r="67" spans="4:16" ht="15.75" customHeight="1" x14ac:dyDescent="0.35">
      <c r="D67" s="269" t="s">
        <v>83</v>
      </c>
      <c r="E67" s="272">
        <f>IF(E66=0,,(G53+
IF(
AND($E$53=$C$52,$E$6=$H$13),((M55*E66)-SUM(M51:M53))/(1-E66),
IF(AND($E$53=$C$52,$E$6=$P$13),((U55*E66)-SUM(U51:U53))/(1-E66),
IF(AND($E$53=$C$52,$E$6=$X$13),((AC55*E66)-SUM(AC51:AC53))/(1-E66),
IF(AND($E$53=$C$52,$E$6=$AF$13),((AK55*E66)-SUM(AK51:AK53))/(1-E66),
IF(AND($E$53=$C$52,$E$6=$AN$13),((AS55*E66)-SUM(AS51:AS53))/(1-E66),
IF(AND($E$53=$C$52,$E$6=$AV$13),((BA55*E66)-SUM(BA51:BA53))/(1-E66),
IF(AND($E$53=$C$52,$E$6=$BD$13),((BI55*E66)-SUM(BI51:BI53))/(1-E66),
IF(AND($E$53=$C$52,$E$6=$BL$13),((BQ55*E66)-SUM(BQ51:BQ53))/(1-E66),
IF(AND($E$53=$C$52,$E$6=$BT$13),((BY55*E66)-SUM(BY51:BY53))/(1-E66),
IF($E$6=$H$13,((G55*E66)-SUM(G51:G53))/(1-E66),
IF($E$6=$P$13,((M55*E66)-SUM(M51:M53))/(1-E66),
IF($E$6=$X$13,((U55*E66)-SUM(U51:U53))/(1-E66),
IF($E$6=$AF$13,((AC55*E66)-SUM(AC51:AC53))/(1-E66),
IF($E$6=$AN$13,((AK55*E66)-SUM(AK51:AK53))/(1-E66),
IF($E$6=$AV$13,((AS55*E66)-SUM(AS51:AS53))/(1-E66),
IF($E$6=$BD$13,((BA55*E66)-SUM(BA51:BA53))/(1-E66),
IF($E$6=$BL$13,((BI55*E66)-SUM(BI51:BI53))/(1-E66),
IF($E$6=$BT$13,((BQ55*E66)-SUM(BQ51:BQ53))/(1-E66),"Error"))
))))))))))))))))))</f>
        <v>0</v>
      </c>
      <c r="P67" s="210"/>
    </row>
    <row r="70" spans="4:16" x14ac:dyDescent="0.35">
      <c r="D70" s="191" t="s">
        <v>84</v>
      </c>
      <c r="E70" s="1258">
        <f>(E71*E72)/(1-E72)</f>
        <v>0</v>
      </c>
    </row>
    <row r="71" spans="4:16" ht="15.75" customHeight="1" x14ac:dyDescent="0.35">
      <c r="D71" s="191" t="s">
        <v>85</v>
      </c>
      <c r="E71" s="268">
        <f>BY55-BY52</f>
        <v>0</v>
      </c>
    </row>
    <row r="72" spans="4:16" ht="15.75" customHeight="1" x14ac:dyDescent="0.35">
      <c r="D72" s="191" t="s">
        <v>86</v>
      </c>
      <c r="E72" s="191">
        <v>0.08</v>
      </c>
    </row>
    <row r="73" spans="4:16" ht="15.75" customHeight="1" x14ac:dyDescent="0.35">
      <c r="D73" s="273"/>
    </row>
    <row r="74" spans="4:16" ht="15.75" customHeight="1" x14ac:dyDescent="0.35">
      <c r="D74" s="273"/>
    </row>
    <row r="75" spans="4:16" ht="15.75" customHeight="1" x14ac:dyDescent="0.35">
      <c r="D75" s="273"/>
    </row>
    <row r="76" spans="4:16" ht="15.75" customHeight="1" x14ac:dyDescent="0.35">
      <c r="D76" s="273"/>
    </row>
    <row r="77" spans="4:16" ht="15.75" customHeight="1" x14ac:dyDescent="0.35">
      <c r="D77" s="273"/>
    </row>
  </sheetData>
  <mergeCells count="41">
    <mergeCell ref="BL56:BN56"/>
    <mergeCell ref="BT56:BV56"/>
    <mergeCell ref="F59:G59"/>
    <mergeCell ref="F60:G60"/>
    <mergeCell ref="F61:G61"/>
    <mergeCell ref="AV56:AX56"/>
    <mergeCell ref="BD56:BF56"/>
    <mergeCell ref="P56:R56"/>
    <mergeCell ref="X56:Z56"/>
    <mergeCell ref="AF56:AH56"/>
    <mergeCell ref="AN56:AP56"/>
    <mergeCell ref="D64:E64"/>
    <mergeCell ref="H64:I64"/>
    <mergeCell ref="H65:I65"/>
    <mergeCell ref="F62:G62"/>
    <mergeCell ref="H56:J56"/>
    <mergeCell ref="AV13:BC13"/>
    <mergeCell ref="BD13:BK13"/>
    <mergeCell ref="BL13:BS13"/>
    <mergeCell ref="BT13:CA13"/>
    <mergeCell ref="H14:O14"/>
    <mergeCell ref="P14:W14"/>
    <mergeCell ref="X14:AE14"/>
    <mergeCell ref="AF14:AM14"/>
    <mergeCell ref="AN14:AU14"/>
    <mergeCell ref="AV14:BC14"/>
    <mergeCell ref="AN13:AU13"/>
    <mergeCell ref="BD14:BK14"/>
    <mergeCell ref="BL14:BS14"/>
    <mergeCell ref="BT14:CA14"/>
    <mergeCell ref="E11:F11"/>
    <mergeCell ref="H13:O13"/>
    <mergeCell ref="P13:W13"/>
    <mergeCell ref="X13:AE13"/>
    <mergeCell ref="AF13:AM13"/>
    <mergeCell ref="E10:F10"/>
    <mergeCell ref="K4:N4"/>
    <mergeCell ref="E6:F6"/>
    <mergeCell ref="E7:F7"/>
    <mergeCell ref="E8:F8"/>
    <mergeCell ref="E9:F9"/>
  </mergeCells>
  <phoneticPr fontId="79" type="noConversion"/>
  <conditionalFormatting sqref="A62:C62 F62 CB62:XFD62">
    <cfRule type="containsText" dxfId="172" priority="64" operator="containsText" text="double check">
      <formula>NOT(ISERROR(SEARCH("double check",A62)))</formula>
    </cfRule>
  </conditionalFormatting>
  <conditionalFormatting sqref="D11:G11">
    <cfRule type="containsText" dxfId="171" priority="68" operator="containsText" text="review">
      <formula>NOT(ISERROR(SEARCH("review",D11)))</formula>
    </cfRule>
  </conditionalFormatting>
  <conditionalFormatting sqref="H56:H58">
    <cfRule type="containsText" dxfId="170" priority="72" operator="containsText" text="Check">
      <formula>NOT(ISERROR(SEARCH("Check",H56)))</formula>
    </cfRule>
  </conditionalFormatting>
  <conditionalFormatting sqref="H62:AF62">
    <cfRule type="containsText" dxfId="169" priority="23" operator="containsText" text="double check">
      <formula>NOT(ISERROR(SEARCH("double check",H62)))</formula>
    </cfRule>
  </conditionalFormatting>
  <conditionalFormatting sqref="J21:O49">
    <cfRule type="expression" dxfId="168" priority="9">
      <formula>MOD(ROW(),2)=0</formula>
    </cfRule>
  </conditionalFormatting>
  <conditionalFormatting sqref="K58:M58">
    <cfRule type="containsText" dxfId="167" priority="26" operator="containsText" text="double check">
      <formula>NOT(ISERROR(SEARCH("double check",K58)))</formula>
    </cfRule>
  </conditionalFormatting>
  <conditionalFormatting sqref="P56:P58">
    <cfRule type="containsText" dxfId="166" priority="33" operator="containsText" text="Check">
      <formula>NOT(ISERROR(SEARCH("Check",P56)))</formula>
    </cfRule>
  </conditionalFormatting>
  <conditionalFormatting sqref="R21:W49">
    <cfRule type="expression" dxfId="165" priority="8">
      <formula>MOD(ROW(),2)=0</formula>
    </cfRule>
  </conditionalFormatting>
  <conditionalFormatting sqref="S58:U58">
    <cfRule type="containsText" dxfId="164" priority="24" operator="containsText" text="double check">
      <formula>NOT(ISERROR(SEARCH("double check",S58)))</formula>
    </cfRule>
  </conditionalFormatting>
  <conditionalFormatting sqref="X56:X58">
    <cfRule type="containsText" dxfId="163" priority="32" operator="containsText" text="Check">
      <formula>NOT(ISERROR(SEARCH("Check",X56)))</formula>
    </cfRule>
  </conditionalFormatting>
  <conditionalFormatting sqref="Z21:AE49">
    <cfRule type="expression" dxfId="162" priority="7">
      <formula>MOD(ROW(),2)=0</formula>
    </cfRule>
  </conditionalFormatting>
  <conditionalFormatting sqref="AA58:AC58">
    <cfRule type="containsText" dxfId="161" priority="22" operator="containsText" text="double check">
      <formula>NOT(ISERROR(SEARCH("double check",AA58)))</formula>
    </cfRule>
  </conditionalFormatting>
  <conditionalFormatting sqref="AF56:AF58">
    <cfRule type="containsText" dxfId="160" priority="31" operator="containsText" text="Check">
      <formula>NOT(ISERROR(SEARCH("Check",AF56)))</formula>
    </cfRule>
  </conditionalFormatting>
  <conditionalFormatting sqref="AG62:AH62">
    <cfRule type="containsText" dxfId="159" priority="63" operator="containsText" text="review">
      <formula>NOT(ISERROR(SEARCH("review",AG62)))</formula>
    </cfRule>
  </conditionalFormatting>
  <conditionalFormatting sqref="AH21:AM49">
    <cfRule type="expression" dxfId="158" priority="6">
      <formula>MOD(ROW(),2)=0</formula>
    </cfRule>
  </conditionalFormatting>
  <conditionalFormatting sqref="AI58:AK58">
    <cfRule type="containsText" dxfId="157" priority="20" operator="containsText" text="double check">
      <formula>NOT(ISERROR(SEARCH("double check",AI58)))</formula>
    </cfRule>
  </conditionalFormatting>
  <conditionalFormatting sqref="AI62:AN62">
    <cfRule type="containsText" dxfId="156" priority="21" operator="containsText" text="double check">
      <formula>NOT(ISERROR(SEARCH("double check",AI62)))</formula>
    </cfRule>
  </conditionalFormatting>
  <conditionalFormatting sqref="AN56:AN58">
    <cfRule type="containsText" dxfId="155" priority="30" operator="containsText" text="Check">
      <formula>NOT(ISERROR(SEARCH("Check",AN56)))</formula>
    </cfRule>
  </conditionalFormatting>
  <conditionalFormatting sqref="AO62:AP62">
    <cfRule type="containsText" dxfId="154" priority="59" operator="containsText" text="review">
      <formula>NOT(ISERROR(SEARCH("review",AO62)))</formula>
    </cfRule>
  </conditionalFormatting>
  <conditionalFormatting sqref="AP21:AU49">
    <cfRule type="expression" dxfId="153" priority="5">
      <formula>MOD(ROW(),2)=0</formula>
    </cfRule>
  </conditionalFormatting>
  <conditionalFormatting sqref="AQ58:AS58">
    <cfRule type="containsText" dxfId="152" priority="18" operator="containsText" text="double check">
      <formula>NOT(ISERROR(SEARCH("double check",AQ58)))</formula>
    </cfRule>
  </conditionalFormatting>
  <conditionalFormatting sqref="AQ62:AS62">
    <cfRule type="containsText" dxfId="151" priority="19" operator="containsText" text="double check">
      <formula>NOT(ISERROR(SEARCH("double check",AQ62)))</formula>
    </cfRule>
  </conditionalFormatting>
  <conditionalFormatting sqref="AT62:AU62">
    <cfRule type="containsText" dxfId="150" priority="60" operator="containsText" text="review">
      <formula>NOT(ISERROR(SEARCH("review",AT62)))</formula>
    </cfRule>
  </conditionalFormatting>
  <conditionalFormatting sqref="AV56:AV58">
    <cfRule type="containsText" dxfId="149" priority="29" operator="containsText" text="Check">
      <formula>NOT(ISERROR(SEARCH("Check",AV56)))</formula>
    </cfRule>
  </conditionalFormatting>
  <conditionalFormatting sqref="AV62">
    <cfRule type="containsText" dxfId="148" priority="37" operator="containsText" text="double check">
      <formula>NOT(ISERROR(SEARCH("double check",AV62)))</formula>
    </cfRule>
  </conditionalFormatting>
  <conditionalFormatting sqref="AW62:AX62">
    <cfRule type="containsText" dxfId="147" priority="55" operator="containsText" text="review">
      <formula>NOT(ISERROR(SEARCH("review",AW62)))</formula>
    </cfRule>
  </conditionalFormatting>
  <conditionalFormatting sqref="AX21:BC49">
    <cfRule type="expression" priority="4">
      <formula>MOD(ROW(),2)=0</formula>
    </cfRule>
  </conditionalFormatting>
  <conditionalFormatting sqref="AY58:BA58">
    <cfRule type="containsText" dxfId="146" priority="16" operator="containsText" text="double check">
      <formula>NOT(ISERROR(SEARCH("double check",AY58)))</formula>
    </cfRule>
  </conditionalFormatting>
  <conditionalFormatting sqref="AY62:BA62">
    <cfRule type="containsText" dxfId="145" priority="17" operator="containsText" text="double check">
      <formula>NOT(ISERROR(SEARCH("double check",AY62)))</formula>
    </cfRule>
  </conditionalFormatting>
  <conditionalFormatting sqref="BB62:BC62">
    <cfRule type="containsText" dxfId="144" priority="56" operator="containsText" text="review">
      <formula>NOT(ISERROR(SEARCH("review",BB62)))</formula>
    </cfRule>
  </conditionalFormatting>
  <conditionalFormatting sqref="BD56:BD58">
    <cfRule type="containsText" dxfId="143" priority="28" operator="containsText" text="Check">
      <formula>NOT(ISERROR(SEARCH("Check",BD56)))</formula>
    </cfRule>
  </conditionalFormatting>
  <conditionalFormatting sqref="BD62">
    <cfRule type="containsText" dxfId="142" priority="36" operator="containsText" text="double check">
      <formula>NOT(ISERROR(SEARCH("double check",BD62)))</formula>
    </cfRule>
  </conditionalFormatting>
  <conditionalFormatting sqref="BE62:BF62">
    <cfRule type="containsText" dxfId="141" priority="51" operator="containsText" text="review">
      <formula>NOT(ISERROR(SEARCH("review",BE62)))</formula>
    </cfRule>
  </conditionalFormatting>
  <conditionalFormatting sqref="BF21:BK49">
    <cfRule type="expression" dxfId="140" priority="3">
      <formula>MOD(ROW(),2)=0</formula>
    </cfRule>
  </conditionalFormatting>
  <conditionalFormatting sqref="BG58:BI58">
    <cfRule type="containsText" dxfId="139" priority="14" operator="containsText" text="double check">
      <formula>NOT(ISERROR(SEARCH("double check",BG58)))</formula>
    </cfRule>
  </conditionalFormatting>
  <conditionalFormatting sqref="BG62:BI62">
    <cfRule type="containsText" dxfId="138" priority="15" operator="containsText" text="double check">
      <formula>NOT(ISERROR(SEARCH("double check",BG62)))</formula>
    </cfRule>
  </conditionalFormatting>
  <conditionalFormatting sqref="BJ62:BK62">
    <cfRule type="containsText" dxfId="137" priority="52" operator="containsText" text="review">
      <formula>NOT(ISERROR(SEARCH("review",BJ62)))</formula>
    </cfRule>
  </conditionalFormatting>
  <conditionalFormatting sqref="BL56:BL58">
    <cfRule type="containsText" dxfId="136" priority="27" operator="containsText" text="Check">
      <formula>NOT(ISERROR(SEARCH("Check",BL56)))</formula>
    </cfRule>
  </conditionalFormatting>
  <conditionalFormatting sqref="BL62">
    <cfRule type="containsText" dxfId="135" priority="35" operator="containsText" text="double check">
      <formula>NOT(ISERROR(SEARCH("double check",BL62)))</formula>
    </cfRule>
  </conditionalFormatting>
  <conditionalFormatting sqref="BM62:BN62">
    <cfRule type="containsText" dxfId="134" priority="47" operator="containsText" text="review">
      <formula>NOT(ISERROR(SEARCH("review",BM62)))</formula>
    </cfRule>
  </conditionalFormatting>
  <conditionalFormatting sqref="BN21:BS49">
    <cfRule type="expression" dxfId="133" priority="2">
      <formula>MOD(ROW(),2)=0</formula>
    </cfRule>
  </conditionalFormatting>
  <conditionalFormatting sqref="BO58:BQ58">
    <cfRule type="containsText" dxfId="132" priority="12" operator="containsText" text="double check">
      <formula>NOT(ISERROR(SEARCH("double check",BO58)))</formula>
    </cfRule>
  </conditionalFormatting>
  <conditionalFormatting sqref="BO62:BQ62">
    <cfRule type="containsText" dxfId="131" priority="13" operator="containsText" text="double check">
      <formula>NOT(ISERROR(SEARCH("double check",BO62)))</formula>
    </cfRule>
  </conditionalFormatting>
  <conditionalFormatting sqref="BR62:BS62">
    <cfRule type="containsText" dxfId="130" priority="48" operator="containsText" text="review">
      <formula>NOT(ISERROR(SEARCH("review",BR62)))</formula>
    </cfRule>
  </conditionalFormatting>
  <conditionalFormatting sqref="BT56:BT58">
    <cfRule type="containsText" dxfId="129" priority="42" operator="containsText" text="Check">
      <formula>NOT(ISERROR(SEARCH("Check",BT56)))</formula>
    </cfRule>
  </conditionalFormatting>
  <conditionalFormatting sqref="BT62">
    <cfRule type="containsText" dxfId="128" priority="34" operator="containsText" text="double check">
      <formula>NOT(ISERROR(SEARCH("double check",BT62)))</formula>
    </cfRule>
  </conditionalFormatting>
  <conditionalFormatting sqref="BU62:BV62">
    <cfRule type="containsText" dxfId="127" priority="43" operator="containsText" text="review">
      <formula>NOT(ISERROR(SEARCH("review",BU62)))</formula>
    </cfRule>
  </conditionalFormatting>
  <conditionalFormatting sqref="BV21:CA49">
    <cfRule type="expression" dxfId="126" priority="1">
      <formula>MOD(ROW(),2)=0</formula>
    </cfRule>
  </conditionalFormatting>
  <conditionalFormatting sqref="BW58:BY58">
    <cfRule type="containsText" dxfId="125" priority="10" operator="containsText" text="double check">
      <formula>NOT(ISERROR(SEARCH("double check",BW58)))</formula>
    </cfRule>
  </conditionalFormatting>
  <conditionalFormatting sqref="BW62:BY62">
    <cfRule type="containsText" dxfId="124" priority="11" operator="containsText" text="double check">
      <formula>NOT(ISERROR(SEARCH("double check",BW62)))</formula>
    </cfRule>
  </conditionalFormatting>
  <conditionalFormatting sqref="BZ62:CA62">
    <cfRule type="containsText" dxfId="123" priority="44" operator="containsText" text="review">
      <formula>NOT(ISERROR(SEARCH("review",BZ62)))</formula>
    </cfRule>
  </conditionalFormatting>
  <dataValidations count="4">
    <dataValidation type="list" allowBlank="1" showInputMessage="1" showErrorMessage="1" sqref="E6:F6" xr:uid="{8686C96A-8BA4-4A40-8AB4-94388DE85BEC}">
      <formula1>$Q$3:$Q$11</formula1>
    </dataValidation>
    <dataValidation type="list" operator="greaterThan" showInputMessage="1" showErrorMessage="1" promptTitle="Seniority" prompt="1 - Most senior_x000a_2_x000a_3 - Most Junior" sqref="H18 P18 X18 AF18 AN18 AV18 BD18 BL18 BT18" xr:uid="{DFBD5D82-58C3-4B91-B04A-E39D1902D4CE}">
      <formula1>$C$16:$C$18</formula1>
    </dataValidation>
    <dataValidation type="list" allowBlank="1" showInputMessage="1" showErrorMessage="1" sqref="E53" xr:uid="{0417CB06-2568-4A21-AF48-F6B3D4198514}">
      <formula1>$C$52:$C$53</formula1>
    </dataValidation>
    <dataValidation type="decimal" operator="greaterThan" showInputMessage="1" showErrorMessage="1" promptTitle="This cell can't be zero" prompt="please enter any number greater than zero" sqref="BT17 AN17 AF17 X17 P17 H17 BL17 BD17 AV17" xr:uid="{E776E994-519F-427E-A7A0-57BDE0271AB2}">
      <formula1>0</formula1>
    </dataValidation>
  </dataValidation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E04-44F1-48F6-91D5-735E225E6946}">
  <dimension ref="A1:Y84"/>
  <sheetViews>
    <sheetView zoomScale="85" zoomScaleNormal="85" workbookViewId="0">
      <selection activeCell="F26" sqref="F26"/>
    </sheetView>
  </sheetViews>
  <sheetFormatPr defaultColWidth="9.1796875" defaultRowHeight="15.5" outlineLevelRow="1" outlineLevelCol="1" x14ac:dyDescent="0.35"/>
  <cols>
    <col min="1" max="2" width="0.81640625" style="3" customWidth="1"/>
    <col min="3" max="3" width="37.26953125" style="388" customWidth="1"/>
    <col min="4" max="4" width="16.453125" style="388" bestFit="1" customWidth="1"/>
    <col min="5" max="7" width="13.81640625" style="406" customWidth="1"/>
    <col min="8" max="8" width="15.1796875" style="406" bestFit="1" customWidth="1"/>
    <col min="9" max="9" width="17.54296875" style="406" customWidth="1"/>
    <col min="10" max="12" width="13.81640625" style="406" customWidth="1"/>
    <col min="13" max="14" width="1.26953125" style="181" customWidth="1"/>
    <col min="15" max="15" width="10" style="406" customWidth="1" outlineLevel="1"/>
    <col min="16" max="16" width="11.81640625" style="406" customWidth="1" outlineLevel="1"/>
    <col min="17" max="17" width="15" style="406" customWidth="1" outlineLevel="1"/>
    <col min="18" max="18" width="13.1796875" style="406" customWidth="1" outlineLevel="1"/>
    <col min="19" max="19" width="17.453125" style="406" customWidth="1" outlineLevel="1"/>
    <col min="20" max="20" width="1.26953125" style="181" customWidth="1" outlineLevel="1"/>
    <col min="21" max="16384" width="9.1796875" style="406"/>
  </cols>
  <sheetData>
    <row r="1" spans="1:20" s="3" customFormat="1" ht="7.5" customHeight="1" x14ac:dyDescent="0.35">
      <c r="A1" s="21" t="s">
        <v>1</v>
      </c>
      <c r="B1" s="2"/>
      <c r="C1" s="2"/>
      <c r="D1" s="2"/>
      <c r="E1" s="2"/>
      <c r="F1" s="2"/>
      <c r="G1" s="2"/>
      <c r="J1" s="2"/>
      <c r="K1" s="2"/>
      <c r="L1" s="2"/>
      <c r="M1" s="180"/>
      <c r="N1" s="180"/>
      <c r="T1" s="180"/>
    </row>
    <row r="2" spans="1:20" s="388" customFormat="1" ht="19.5" customHeight="1" thickBot="1" x14ac:dyDescent="0.55000000000000004">
      <c r="A2" s="2"/>
      <c r="B2" s="2"/>
      <c r="C2" s="4" t="str">
        <f xml:space="preserve"> "Project " &amp; 'Master Inputs'!$D$8 &amp; " - Exit Analysis"</f>
        <v>Project MODEL - Exit Analysis</v>
      </c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3" spans="1:20" s="26" customFormat="1" ht="13.5" thickBot="1" x14ac:dyDescent="0.35">
      <c r="C3" s="27" t="s">
        <v>18</v>
      </c>
    </row>
    <row r="4" spans="1:20" s="388" customFormat="1" x14ac:dyDescent="0.35">
      <c r="A4" s="2"/>
      <c r="B4" s="2"/>
      <c r="G4" s="1336" t="s">
        <v>87</v>
      </c>
      <c r="H4" s="1337"/>
      <c r="I4" s="1338"/>
      <c r="M4" s="189"/>
      <c r="N4" s="189"/>
      <c r="O4" s="1339" t="s">
        <v>88</v>
      </c>
      <c r="P4" s="1340"/>
      <c r="Q4" s="1341"/>
      <c r="R4" s="1341"/>
      <c r="S4" s="1342"/>
      <c r="T4" s="189"/>
    </row>
    <row r="5" spans="1:20" s="3" customFormat="1" x14ac:dyDescent="0.35">
      <c r="A5" s="2"/>
      <c r="B5" s="2"/>
      <c r="C5" s="389" t="s">
        <v>89</v>
      </c>
      <c r="D5" s="390"/>
      <c r="G5" s="391" t="s">
        <v>90</v>
      </c>
      <c r="H5" s="392" t="s">
        <v>91</v>
      </c>
      <c r="I5" s="393" t="s">
        <v>92</v>
      </c>
      <c r="M5" s="180"/>
      <c r="N5" s="180"/>
      <c r="O5" s="394" t="s">
        <v>90</v>
      </c>
      <c r="P5" s="395" t="s">
        <v>93</v>
      </c>
      <c r="Q5" s="395" t="s">
        <v>94</v>
      </c>
      <c r="R5" s="396" t="s">
        <v>95</v>
      </c>
      <c r="S5" s="396" t="s">
        <v>92</v>
      </c>
      <c r="T5" s="180"/>
    </row>
    <row r="6" spans="1:20" s="3" customFormat="1" x14ac:dyDescent="0.35">
      <c r="A6" s="2"/>
      <c r="B6" s="2"/>
      <c r="C6" s="397" t="s">
        <v>96</v>
      </c>
      <c r="D6" s="843" t="e">
        <f>'Cap Table'!CC55/1000000</f>
        <v>#DIV/0!</v>
      </c>
      <c r="G6" s="399" t="str">
        <f>'Cap Table'!H$13</f>
        <v>Seed</v>
      </c>
      <c r="H6" s="400">
        <f>IF(ISNONTEXT('Cap Table'!H$14)=TRUE,'Cap Table'!H$14,0)</f>
        <v>0</v>
      </c>
      <c r="I6" s="401" t="e">
        <f>-'Cap Table'!J$20/1000000</f>
        <v>#DIV/0!</v>
      </c>
      <c r="M6" s="180"/>
      <c r="N6" s="180"/>
      <c r="O6" s="402" t="str">
        <f>'Cap Table'!$H$13</f>
        <v>Seed</v>
      </c>
      <c r="P6" s="403">
        <f>IF(VLOOKUP(O6,$G$6:$I$14,2,FALSE)&lt;&gt;0,HLOOKUP(O6,'Cap Table'!$H$13:$CA$18,6,FALSE),)</f>
        <v>0</v>
      </c>
      <c r="Q6" s="279">
        <f>IF(VLOOKUP(O6,$G$6:$I$14,2,FALSE)&lt;&gt;0,HLOOKUP(O6,'Cap Table'!$H$13:$CA$18,5,FALSE),)</f>
        <v>0</v>
      </c>
      <c r="R6" s="404">
        <f ca="1">IF(VLOOKUP(O6,$G$6:$I$14,2,FALSE)&lt;&gt;0,-OFFSET('Cap Table'!$H$13,27,-6+MATCH(O6,'Cap Table'!$13:$13,0))/1000000,)</f>
        <v>0</v>
      </c>
      <c r="S6" s="405" t="e">
        <f>VLOOKUP(O6,$G$6:$I$14,3,FALSE)</f>
        <v>#DIV/0!</v>
      </c>
      <c r="T6" s="180"/>
    </row>
    <row r="7" spans="1:20" x14ac:dyDescent="0.35">
      <c r="C7" s="397" t="s">
        <v>97</v>
      </c>
      <c r="D7" s="843" t="e">
        <f>'Cap Table'!CC20/1000000</f>
        <v>#DIV/0!</v>
      </c>
      <c r="E7" s="1301"/>
      <c r="F7" s="1302"/>
      <c r="G7" s="399" t="str">
        <f>'Cap Table'!P$13</f>
        <v>Series A</v>
      </c>
      <c r="H7" s="400">
        <f>IF(ISNONTEXT('Cap Table'!P$14)=TRUE,'Cap Table'!P$14,0)</f>
        <v>0</v>
      </c>
      <c r="I7" s="401">
        <f>-'Cap Table'!R$20/1000000</f>
        <v>0</v>
      </c>
      <c r="J7" s="1302"/>
      <c r="K7" s="3"/>
      <c r="L7" s="1302"/>
      <c r="M7" s="180"/>
      <c r="N7" s="180"/>
      <c r="O7" s="402" t="str">
        <f>'Cap Table'!$P$13</f>
        <v>Series A</v>
      </c>
      <c r="P7" s="403">
        <f>IF(VLOOKUP(O7,$G$6:$I$14,2,FALSE)&lt;&gt;0,HLOOKUP(O7,'Cap Table'!$H$13:$CA$18,6,FALSE),)</f>
        <v>0</v>
      </c>
      <c r="Q7" s="279">
        <f>IF(VLOOKUP(O7,$G$6:$I$14,2,FALSE)&lt;&gt;0,HLOOKUP(O7,'Cap Table'!$H$13:$CA$18,5,FALSE),)</f>
        <v>0</v>
      </c>
      <c r="R7" s="404">
        <f ca="1">IF(VLOOKUP(O7,$G$6:$I$14,2,FALSE)&lt;&gt;0,-OFFSET('Cap Table'!$H$13,27,-6+MATCH(O7,'Cap Table'!$13:$13,0))/1000000,)</f>
        <v>0</v>
      </c>
      <c r="S7" s="405">
        <f>VLOOKUP(O7,$G$6:$I$14,3,FALSE)</f>
        <v>0</v>
      </c>
      <c r="T7" s="180"/>
    </row>
    <row r="8" spans="1:20" x14ac:dyDescent="0.35">
      <c r="C8" s="397" t="s">
        <v>98</v>
      </c>
      <c r="D8" s="843"/>
      <c r="E8" s="1301"/>
      <c r="F8" s="1302"/>
      <c r="G8" s="399"/>
      <c r="H8" s="400"/>
      <c r="I8" s="401"/>
      <c r="J8" s="1302"/>
      <c r="K8" s="3"/>
      <c r="L8" s="1302"/>
      <c r="M8" s="180"/>
      <c r="N8" s="180"/>
      <c r="O8" s="402"/>
      <c r="P8" s="403"/>
      <c r="Q8" s="279"/>
      <c r="R8" s="404"/>
      <c r="S8" s="405"/>
      <c r="T8" s="180"/>
    </row>
    <row r="9" spans="1:20" x14ac:dyDescent="0.35">
      <c r="C9" s="397" t="s">
        <v>99</v>
      </c>
      <c r="D9" s="398" t="e">
        <f>D6</f>
        <v>#DIV/0!</v>
      </c>
      <c r="E9" s="1303"/>
      <c r="F9" s="1302"/>
      <c r="G9" s="399" t="str">
        <f>'Cap Table'!X$13</f>
        <v>Series B</v>
      </c>
      <c r="H9" s="400">
        <f>IF(ISNONTEXT('Cap Table'!X$14)=TRUE,'Cap Table'!X$14,0)</f>
        <v>0</v>
      </c>
      <c r="I9" s="401">
        <f>-'Cap Table'!Z$20/1000000</f>
        <v>0</v>
      </c>
      <c r="J9" s="1302"/>
      <c r="K9" s="3"/>
      <c r="L9" s="1302"/>
      <c r="M9" s="203"/>
      <c r="N9" s="203"/>
      <c r="O9" s="402" t="str">
        <f>'Cap Table'!$X$13</f>
        <v>Series B</v>
      </c>
      <c r="P9" s="403">
        <f>IF(VLOOKUP(O9,$G$6:$I$14,2,FALSE)&lt;&gt;0,HLOOKUP(O9,'Cap Table'!$H$13:$CA$18,6,FALSE),)</f>
        <v>0</v>
      </c>
      <c r="Q9" s="279">
        <f>IF(VLOOKUP(O9,$G$6:$I$14,2,FALSE)&lt;&gt;0,HLOOKUP(O9,'Cap Table'!$H$13:$CA$18,5,FALSE),)</f>
        <v>0</v>
      </c>
      <c r="R9" s="404">
        <f ca="1">IF(VLOOKUP(O9,$G$6:$I$14,2,FALSE)&lt;&gt;0,-OFFSET('Cap Table'!$H$13,27,-6+MATCH(O9,'Cap Table'!$13:$13,0))/1000000,)</f>
        <v>0</v>
      </c>
      <c r="S9" s="405">
        <f t="shared" ref="S9:S14" si="0">VLOOKUP(O9,$G$6:$I$14,3,FALSE)</f>
        <v>0</v>
      </c>
      <c r="T9" s="203"/>
    </row>
    <row r="10" spans="1:20" x14ac:dyDescent="0.35">
      <c r="C10" s="397" t="s">
        <v>100</v>
      </c>
      <c r="D10" s="398" t="e">
        <f>D7</f>
        <v>#DIV/0!</v>
      </c>
      <c r="E10" s="1304"/>
      <c r="F10" s="1302"/>
      <c r="G10" s="399" t="str">
        <f>'Cap Table'!AF$13</f>
        <v>Series C</v>
      </c>
      <c r="H10" s="400">
        <f>IF(ISNONTEXT('Cap Table'!AF$14)=TRUE,'Cap Table'!AF$14,0)</f>
        <v>0</v>
      </c>
      <c r="I10" s="401">
        <f>-'Cap Table'!AH$20/1000000</f>
        <v>0</v>
      </c>
      <c r="J10" s="1302"/>
      <c r="K10" s="3"/>
      <c r="L10" s="1302"/>
      <c r="M10" s="180"/>
      <c r="N10" s="180"/>
      <c r="O10" s="402" t="str">
        <f>'Cap Table'!$AF$13</f>
        <v>Series C</v>
      </c>
      <c r="P10" s="403">
        <f>IF(VLOOKUP(O10,$G$6:$I$14,2,FALSE)&lt;&gt;0,HLOOKUP(O10,'Cap Table'!$H$13:$CA$18,6,FALSE),)</f>
        <v>0</v>
      </c>
      <c r="Q10" s="279">
        <f>IF(VLOOKUP(O10,$G$6:$I$14,2,FALSE)&lt;&gt;0,HLOOKUP(O10,'Cap Table'!$H$13:$CA$18,5,FALSE),)</f>
        <v>0</v>
      </c>
      <c r="R10" s="404">
        <f ca="1">IF(VLOOKUP(O10,$G$6:$I$14,2,FALSE)&lt;&gt;0,-OFFSET('Cap Table'!$H$13,27,-6+MATCH(O10,'Cap Table'!$13:$13,0))/1000000,)</f>
        <v>0</v>
      </c>
      <c r="S10" s="405">
        <f t="shared" si="0"/>
        <v>0</v>
      </c>
      <c r="T10" s="180"/>
    </row>
    <row r="11" spans="1:20" x14ac:dyDescent="0.35">
      <c r="C11" s="397" t="s">
        <v>101</v>
      </c>
      <c r="D11" s="766" t="e">
        <f>'Cap Table'!BZ20</f>
        <v>#DIV/0!</v>
      </c>
      <c r="E11" s="1301"/>
      <c r="F11" s="1302"/>
      <c r="G11" s="399" t="str">
        <f>'Cap Table'!AN$13</f>
        <v>Series D</v>
      </c>
      <c r="H11" s="400">
        <f>IF(ISNONTEXT('Cap Table'!AN$14)=TRUE,'Cap Table'!AN$14,0)</f>
        <v>0</v>
      </c>
      <c r="I11" s="401">
        <f>-'Cap Table'!AP$20/1000000</f>
        <v>0</v>
      </c>
      <c r="J11" s="1302"/>
      <c r="K11" s="3"/>
      <c r="L11" s="1302"/>
      <c r="M11" s="180"/>
      <c r="N11" s="180"/>
      <c r="O11" s="402" t="str">
        <f>'Cap Table'!$AN$13</f>
        <v>Series D</v>
      </c>
      <c r="P11" s="403">
        <f>IF(VLOOKUP(O11,$G$6:$I$14,2,FALSE)&lt;&gt;0,HLOOKUP(O11,'Cap Table'!$H$13:$CA$18,6,FALSE),)</f>
        <v>0</v>
      </c>
      <c r="Q11" s="279">
        <f>IF(VLOOKUP(O11,$G$6:$I$14,2,FALSE)&lt;&gt;0,HLOOKUP(O11,'Cap Table'!$H$13:$CA$18,5,FALSE),)</f>
        <v>0</v>
      </c>
      <c r="R11" s="404">
        <f ca="1">IF(VLOOKUP(O11,$G$6:$I$14,2,FALSE)&lt;&gt;0,-OFFSET('Cap Table'!$H$13,27,-6+MATCH(O11,'Cap Table'!$13:$13,0))/1000000,)</f>
        <v>0</v>
      </c>
      <c r="S11" s="405">
        <f t="shared" si="0"/>
        <v>0</v>
      </c>
      <c r="T11" s="180"/>
    </row>
    <row r="12" spans="1:20" x14ac:dyDescent="0.35">
      <c r="C12" s="397" t="s">
        <v>102</v>
      </c>
      <c r="D12" s="766" t="e">
        <f>'Cap Table'!CA20</f>
        <v>#DIV/0!</v>
      </c>
      <c r="E12" s="1301"/>
      <c r="F12" s="1301"/>
      <c r="G12" s="399" t="str">
        <f>'Cap Table'!AV$13</f>
        <v>Series E</v>
      </c>
      <c r="H12" s="400">
        <f>IF(ISNONTEXT('Cap Table'!AV$14)=TRUE,'Cap Table'!AV$14,0)</f>
        <v>0</v>
      </c>
      <c r="I12" s="401">
        <f>-'Cap Table'!AX$20/1000000</f>
        <v>0</v>
      </c>
      <c r="J12" s="1302"/>
      <c r="K12" s="3"/>
      <c r="L12" s="1302"/>
      <c r="M12" s="180"/>
      <c r="N12" s="180"/>
      <c r="O12" s="402" t="str">
        <f>'Cap Table'!$AV$13</f>
        <v>Series E</v>
      </c>
      <c r="P12" s="403">
        <f>IF(VLOOKUP(O12,$G$6:$I$14,2,FALSE)&lt;&gt;0,HLOOKUP(O12,'Cap Table'!$H$13:$CA$18,6,FALSE),)</f>
        <v>0</v>
      </c>
      <c r="Q12" s="279">
        <f>IF(VLOOKUP(O12,$G$6:$I$14,2,FALSE)&lt;&gt;0,HLOOKUP(O12,'Cap Table'!$H$13:$CA$18,5,FALSE),)</f>
        <v>0</v>
      </c>
      <c r="R12" s="404">
        <f ca="1">IF(VLOOKUP(O12,$G$6:$I$14,2,FALSE)&lt;&gt;0,-OFFSET('Cap Table'!$H$13,27,-6+MATCH(O12,'Cap Table'!$13:$13,0))/1000000,)</f>
        <v>0</v>
      </c>
      <c r="S12" s="405">
        <f t="shared" si="0"/>
        <v>0</v>
      </c>
      <c r="T12" s="180"/>
    </row>
    <row r="13" spans="1:20" x14ac:dyDescent="0.35">
      <c r="C13" s="407" t="s">
        <v>103</v>
      </c>
      <c r="D13" s="1299"/>
      <c r="E13" s="1302"/>
      <c r="F13" s="1302"/>
      <c r="G13" s="399" t="str">
        <f>'Cap Table'!BD13</f>
        <v>Series E-1</v>
      </c>
      <c r="H13" s="400">
        <f>IF(ISNONTEXT('Cap Table'!BD$14)=TRUE,'Cap Table'!BD$14,0)</f>
        <v>0</v>
      </c>
      <c r="I13" s="401">
        <f>-'Cap Table'!BF20/1000000</f>
        <v>0</v>
      </c>
      <c r="J13" s="1302"/>
      <c r="K13" s="3"/>
      <c r="L13" s="1302"/>
      <c r="M13" s="180"/>
      <c r="N13" s="180"/>
      <c r="O13" s="402" t="str">
        <f>'Cap Table'!$BD13</f>
        <v>Series E-1</v>
      </c>
      <c r="P13" s="403">
        <f>IF(VLOOKUP(O13,$G$6:$I$14,2,FALSE)&lt;&gt;0,HLOOKUP(O13,'Cap Table'!$H$13:$CA$18,6,FALSE),)</f>
        <v>0</v>
      </c>
      <c r="Q13" s="279">
        <f>IF(VLOOKUP(O13,$G$6:$I$14,2,FALSE)&lt;&gt;0,HLOOKUP(O13,'Cap Table'!$H$13:$CA$18,5,FALSE),)</f>
        <v>0</v>
      </c>
      <c r="R13" s="404">
        <f ca="1">IF(VLOOKUP(O13,$G$6:$I$14,2,FALSE)&lt;&gt;0,-OFFSET('Cap Table'!$H$13,27,-6+MATCH(O13,'Cap Table'!$13:$13,0))/1000000,)</f>
        <v>0</v>
      </c>
      <c r="S13" s="405">
        <f t="shared" si="0"/>
        <v>0</v>
      </c>
      <c r="T13" s="180"/>
    </row>
    <row r="14" spans="1:20" ht="16" thickBot="1" x14ac:dyDescent="0.4">
      <c r="D14" s="3"/>
      <c r="E14" s="3"/>
      <c r="F14" s="388"/>
      <c r="G14" s="409" t="str">
        <f>'Cap Table'!BT$13</f>
        <v>Series G</v>
      </c>
      <c r="H14" s="410">
        <f>IF(ISNONTEXT('Cap Table'!BT$14)=TRUE,'Cap Table'!BT$14,0)</f>
        <v>0</v>
      </c>
      <c r="I14" s="411">
        <f>-'Cap Table'!BV$20/1000000</f>
        <v>0</v>
      </c>
      <c r="J14" s="1302"/>
      <c r="K14" s="3"/>
      <c r="L14" s="1302"/>
      <c r="M14" s="180"/>
      <c r="N14" s="180"/>
      <c r="O14" s="412" t="str">
        <f>'Cap Table'!$BT$13</f>
        <v>Series G</v>
      </c>
      <c r="P14" s="413">
        <f>IF(VLOOKUP(O14,$G$6:$I$14,2,FALSE)&lt;&gt;0,HLOOKUP(O14,'Cap Table'!$H$13:$CA$18,6,FALSE),)</f>
        <v>0</v>
      </c>
      <c r="Q14" s="414">
        <f>IF(VLOOKUP(O14,$G$6:$I$14,2,FALSE)&lt;&gt;0,HLOOKUP(O14,'Cap Table'!$H$13:$CA$18,5,FALSE),)</f>
        <v>0</v>
      </c>
      <c r="R14" s="415">
        <f ca="1">IF(VLOOKUP(O14,$G$6:$I$14,2,FALSE)&lt;&gt;0,-OFFSET('Cap Table'!$H$13,27,-6+MATCH(O14,'Cap Table'!$13:$13,0))/1000000,)</f>
        <v>0</v>
      </c>
      <c r="S14" s="416">
        <f t="shared" si="0"/>
        <v>0</v>
      </c>
      <c r="T14" s="180"/>
    </row>
    <row r="15" spans="1:20" s="3" customFormat="1" ht="16" thickBot="1" x14ac:dyDescent="0.4">
      <c r="A15" s="2"/>
      <c r="B15" s="2"/>
      <c r="I15" s="768"/>
      <c r="J15" s="417"/>
    </row>
    <row r="16" spans="1:20" s="3" customFormat="1" outlineLevel="1" x14ac:dyDescent="0.35">
      <c r="A16" s="2"/>
      <c r="B16" s="2"/>
      <c r="C16" s="31" t="s">
        <v>104</v>
      </c>
      <c r="D16" s="418"/>
      <c r="H16" s="419" t="s">
        <v>105</v>
      </c>
      <c r="M16" s="180"/>
      <c r="N16" s="180"/>
      <c r="O16" s="768"/>
      <c r="P16" s="768"/>
      <c r="Q16" s="420"/>
      <c r="R16" s="421"/>
      <c r="T16" s="180"/>
    </row>
    <row r="17" spans="1:25" s="3" customFormat="1" outlineLevel="1" x14ac:dyDescent="0.35">
      <c r="A17" s="2"/>
      <c r="B17" s="2"/>
      <c r="C17" s="422" t="s">
        <v>106</v>
      </c>
      <c r="D17" s="423">
        <v>0</v>
      </c>
      <c r="E17" s="423">
        <f>Seniority!CC80+(Seniority!CC80*('Transaction Expenses'!F6)+'Transaction Expenses'!D6/1000000)</f>
        <v>0</v>
      </c>
      <c r="F17" s="423">
        <f>SUM(Seniority!CC80:CC81)+(SUM(Seniority!CC80:CC81)*('Transaction Expenses'!F6)+'Transaction Expenses'!D6/1000000)</f>
        <v>0</v>
      </c>
      <c r="G17" s="423" t="e">
        <f>SUM(Seniority!CC80:CE82)+(SUM(Seniority!CC80:CE82)*('Transaction Expenses'!F6)+'Transaction Expenses'!D6/1000000)</f>
        <v>#DIV/0!</v>
      </c>
      <c r="H17" s="423" t="e">
        <f>D9</f>
        <v>#DIV/0!</v>
      </c>
      <c r="I17" s="423" t="e">
        <f>H17*2</f>
        <v>#DIV/0!</v>
      </c>
      <c r="J17" s="423" t="e">
        <f>I17*2</f>
        <v>#DIV/0!</v>
      </c>
      <c r="K17" s="423" t="e">
        <f>J17*2</f>
        <v>#DIV/0!</v>
      </c>
      <c r="L17" s="423" t="e">
        <f>K17*2</f>
        <v>#DIV/0!</v>
      </c>
      <c r="M17" s="180"/>
      <c r="N17" s="181"/>
      <c r="O17" s="768"/>
      <c r="P17" s="768"/>
      <c r="Q17" s="420"/>
      <c r="R17" s="768"/>
      <c r="S17" s="768"/>
      <c r="T17" s="180"/>
    </row>
    <row r="18" spans="1:25" s="430" customFormat="1" ht="12.4" customHeight="1" outlineLevel="1" x14ac:dyDescent="0.35">
      <c r="A18" s="52"/>
      <c r="B18" s="52"/>
      <c r="C18" s="424" t="s">
        <v>107</v>
      </c>
      <c r="D18" s="425" t="e">
        <f t="shared" ref="D18:L18" si="1">D17/$H$17-1</f>
        <v>#DIV/0!</v>
      </c>
      <c r="E18" s="425" t="e">
        <f t="shared" si="1"/>
        <v>#DIV/0!</v>
      </c>
      <c r="F18" s="425" t="e">
        <f t="shared" si="1"/>
        <v>#DIV/0!</v>
      </c>
      <c r="G18" s="426" t="e">
        <f t="shared" si="1"/>
        <v>#DIV/0!</v>
      </c>
      <c r="H18" s="425" t="e">
        <f t="shared" si="1"/>
        <v>#DIV/0!</v>
      </c>
      <c r="I18" s="428" t="e">
        <f t="shared" si="1"/>
        <v>#DIV/0!</v>
      </c>
      <c r="J18" s="425" t="e">
        <f t="shared" si="1"/>
        <v>#DIV/0!</v>
      </c>
      <c r="K18" s="425" t="e">
        <f t="shared" si="1"/>
        <v>#DIV/0!</v>
      </c>
      <c r="L18" s="425" t="e">
        <f t="shared" si="1"/>
        <v>#DIV/0!</v>
      </c>
      <c r="M18" s="429"/>
      <c r="N18" s="429"/>
      <c r="O18" s="768"/>
      <c r="P18" s="768"/>
      <c r="Q18" s="420"/>
      <c r="T18" s="429"/>
      <c r="U18" s="113"/>
      <c r="V18" s="113"/>
      <c r="W18" s="113"/>
      <c r="X18" s="52"/>
      <c r="Y18" s="52"/>
    </row>
    <row r="19" spans="1:25" s="3" customFormat="1" outlineLevel="1" x14ac:dyDescent="0.35">
      <c r="A19" s="2"/>
      <c r="B19" s="2"/>
      <c r="C19" s="431" t="s">
        <v>108</v>
      </c>
      <c r="D19" s="432" t="e">
        <f t="shared" ref="D19:L19" si="2">IF(D$17&gt;$D$9,($D$10+($D$12*D$17)),($D$12*D$17))</f>
        <v>#DIV/0!</v>
      </c>
      <c r="E19" s="432" t="e">
        <f t="shared" si="2"/>
        <v>#DIV/0!</v>
      </c>
      <c r="F19" s="432" t="e">
        <f t="shared" si="2"/>
        <v>#DIV/0!</v>
      </c>
      <c r="G19" s="432" t="e">
        <f t="shared" si="2"/>
        <v>#DIV/0!</v>
      </c>
      <c r="H19" s="432" t="e">
        <f t="shared" si="2"/>
        <v>#DIV/0!</v>
      </c>
      <c r="I19" s="432" t="e">
        <f t="shared" si="2"/>
        <v>#DIV/0!</v>
      </c>
      <c r="J19" s="432" t="e">
        <f t="shared" si="2"/>
        <v>#DIV/0!</v>
      </c>
      <c r="K19" s="432" t="e">
        <f t="shared" si="2"/>
        <v>#DIV/0!</v>
      </c>
      <c r="L19" s="432" t="e">
        <f t="shared" si="2"/>
        <v>#DIV/0!</v>
      </c>
      <c r="M19" s="242"/>
      <c r="N19" s="242"/>
      <c r="Q19" s="420"/>
      <c r="T19" s="242"/>
    </row>
    <row r="20" spans="1:25" s="3" customFormat="1" outlineLevel="1" x14ac:dyDescent="0.35">
      <c r="A20" s="2"/>
      <c r="B20" s="2"/>
      <c r="C20" s="422" t="s">
        <v>109</v>
      </c>
      <c r="D20" s="434" t="e">
        <f t="shared" ref="D20:L20" si="3">D19/$D$7</f>
        <v>#DIV/0!</v>
      </c>
      <c r="E20" s="434" t="e">
        <f t="shared" si="3"/>
        <v>#DIV/0!</v>
      </c>
      <c r="F20" s="434" t="e">
        <f t="shared" si="3"/>
        <v>#DIV/0!</v>
      </c>
      <c r="G20" s="435" t="e">
        <f t="shared" si="3"/>
        <v>#DIV/0!</v>
      </c>
      <c r="H20" s="434" t="e">
        <f t="shared" si="3"/>
        <v>#DIV/0!</v>
      </c>
      <c r="I20" s="437" t="e">
        <f t="shared" si="3"/>
        <v>#DIV/0!</v>
      </c>
      <c r="J20" s="434" t="e">
        <f t="shared" si="3"/>
        <v>#DIV/0!</v>
      </c>
      <c r="K20" s="434" t="e">
        <f t="shared" si="3"/>
        <v>#DIV/0!</v>
      </c>
      <c r="L20" s="434" t="e">
        <f t="shared" si="3"/>
        <v>#DIV/0!</v>
      </c>
      <c r="M20" s="180"/>
      <c r="N20" s="180"/>
      <c r="T20" s="180"/>
    </row>
    <row r="21" spans="1:25" s="3" customFormat="1" outlineLevel="1" x14ac:dyDescent="0.35">
      <c r="A21" s="2"/>
      <c r="B21" s="2"/>
      <c r="C21" s="438">
        <f ca="1">DATE(YEAR(TODAY())+1,12,31)</f>
        <v>46752</v>
      </c>
      <c r="D21" s="769" t="str">
        <f>IFERROR(IF(IF($I$6&lt;&gt;0,XIRR(CHOOSE({1,2,3,4,5,6,7,8,9,10},$I$6,$I$7,$I$9,$I$10,$I$11,$I$12,$I$13,#REF!,$I$14,D$19),CHOOSE({1,2,3,4,5,6,7,8,9,10},$H$6,$H$7,$H$9,$H$10,$H$11,$H$12,$H$13,#REF!,$H$14,$C21),IRR(CHOOSE({1,2,3,4,5,6,7,8,9,10},$I$6,$I$7,$I$9,$I$10,$I$11,$I$12,$I$13,#REF!,$I$14,D$19))),IF($I$7&lt;&gt;0,XIRR(CHOOSE({1,2,3,4,5,6,7,8,9},$I$7,$I$9,$I$10,$I$11,$I$12,$I$13,#REF!,$I$14,D$19),CHOOSE({1,2,3,4,5,6,7,8,9},$H$7,$H$9,$H$10,$H$11,$H$12,$H$13,#REF!,$H$14,$C21),IRR(CHOOSE({1,2,3,4,5,6,7,8,9,10},$I$6,$I$7,$I$9,$I$10,$I$11,$I$12,$I$13,#REF!,$I$14,D$19))),IF($I$9&lt;&gt;0,XIRR(CHOOSE({1,2,3,4,5,6,7,8},$I$9,$I$10,$I$11,$I$12,$I$13,#REF!,$I$14,D$19),CHOOSE({1,2,3,4,5,6,7,8},$H$9,$H$10,$H$11,$H$12,$H$13,#REF!,$H$14,$C21),IRR(CHOOSE({1,2,3,4,5,6,7,8,9,10},$I$6,$I$7,$I$9,$I$10,$I$11,$I$12,$I$13,#REF!,$I$14,D$19))),IF($I$10&lt;&gt;0,XIRR(CHOOSE({1,2,3,4,5,6,7},$I$10,$I$11,$I$12,$I$13,#REF!,$I$14,D$19),CHOOSE({1,2,3,4,5,6,7},$H$10,$H$11,$H$12,$H$13,#REF!,$H$14,$C21),IRR(CHOOSE({1,2,3,4,5,6,7,8,9,10},$I$6,$I$7,$I$9,$I$10,$I$11,$I$12,$I$13,#REF!,$I$14,D$19))),IF($I$11&lt;&gt;0,XIRR(CHOOSE({1,2,3,4,5,6},$I$11,$I$12,$I$13,#REF!,$I$14,D$19),CHOOSE({1,2,3,4,5,6},$H$11,$H$12,$H$13,#REF!,$H$14,$C21),IRR(CHOOSE({1,2,3,4,5,6,7,8,9,10},$I$6,$I$7,$I$9,$I$10,$I$11,$I$12,$I$13,#REF!,$I$14,D$19))),IF($I$12&lt;&gt;0,XIRR(CHOOSE({1,2,3,4,5},$I$12,$I$13,#REF!,$I$14,D$19),CHOOSE({1,2,3,4,5},$H$12,$H$13,#REF!,$H$14,$C21),IRR(CHOOSE({1,2,3,4,5,6,7,8,9,10},$I$6,$I$7,$I$9,$I$10,$I$11,$I$12,$I$13,#REF!,$I$14,D$19))),IF($I$13&lt;&gt;0,XIRR(CHOOSE({1,2,3,4},$I$13,#REF!,$I$14,D$19),CHOOSE({1,2,3,4},$H$13,#REF!,$H$14,$C21),IRR(CHOOSE({1,2,3,4,5,6,7,8,9,10},$I$6,$I$7,$I$9,$I$10,$I$11,$I$12,$I$13,#REF!,$I$14,D$19))),IF(#REF!&lt;&gt;0,XIRR(CHOOSE({1,2,3},#REF!,$I$14,D$19),CHOOSE({1,2,3},#REF!,$H$14,$C21),IRR(CHOOSE({1,2,3,4,5,6,7,8,9,10},$I$6,$I$7,$I$9,$I$10,$I$11,$I$12,$I$13,#REF!,$I$14,D$19))),IF($I$14&lt;&gt;0,XIRR(CHOOSE({1,2},$I$14,D$19),CHOOSE({1,2},$H$14,$C21)))))))))))&lt;0,"Negative",IF($I$6&lt;&gt;0,XIRR(CHOOSE({1,2,3,4,5,6,7,8,9,10},$I$6,$I$7,$I$9,$I$10,$I$11,$I$12,$I$13,#REF!,$I$14,D$19),CHOOSE({1,2,3,4,5,6,7,8,9,10},$H$6,$H$7,$H$9,$H$10,$H$11,$H$12,$H$13,#REF!,$H$14,$C21),IRR(CHOOSE({1,2,3,4,5,6,7,8,9,10},$I$6,$I$7,$I$9,$I$10,$I$11,$I$12,$I$13,#REF!,$I$14,D$19))),IF($I$7&lt;&gt;0,XIRR(CHOOSE({1,2,3,4,5,6,7,8,9},$I$7,$I$9,$I$10,$I$11,$I$12,$I$13,#REF!,$I$14,D$19),CHOOSE({1,2,3,4,5,6,7,8,9},$H$7,$H$9,$H$10,$H$11,$H$12,$H$13,#REF!,$H$14,$C21),IRR(CHOOSE({1,2,3,4,5,6,7,8,9,10},$I$6,$I$7,$I$9,$I$10,$I$11,$I$12,$I$13,#REF!,$I$14,D$19))),IF($I$9&lt;&gt;0,XIRR(CHOOSE({1,2,3,4,5,6,7,8},$I$9,$I$10,$I$11,$I$12,$I$13,#REF!,$I$14,D$19),CHOOSE({1,2,3,4,5,6,7,8},$H$9,$H$10,$H$11,$H$12,$H$13,#REF!,$H$14,$C21),IRR(CHOOSE({1,2,3,4,5,6,7,8,9,10},$I$6,$I$7,$I$9,$I$10,$I$11,$I$12,$I$13,#REF!,$I$14,D$19))),IF($I$10&lt;&gt;0,XIRR(CHOOSE({1,2,3,4,5,6,7},$I$10,$I$11,$I$12,$I$13,#REF!,$I$14,D$19),CHOOSE({1,2,3,4,5,6,7},$H$10,$H$11,$H$12,$H$13,#REF!,$H$14,$C21),IRR(CHOOSE({1,2,3,4,5,6,7,8,9,10},$I$6,$I$7,$I$9,$I$10,$I$11,$I$12,$I$13,#REF!,$I$14,D$19))),IF($I$11&lt;&gt;0,XIRR(CHOOSE({1,2,3,4,5,6},$I$11,$I$12,$I$13,#REF!,$I$14,D$19),CHOOSE({1,2,3,4,5,6},$H$11,$H$12,$H$13,#REF!,$H$14,$C21),IRR(CHOOSE({1,2,3,4,5,6,7,8,9,10},$I$6,$I$7,$I$9,$I$10,$I$11,$I$12,$I$13,#REF!,$I$14,D$19))),IF($I$12&lt;&gt;0,XIRR(CHOOSE({1,2,3,4,5},$I$12,$I$13,#REF!,$I$14,D$19),CHOOSE({1,2,3,4,5},$H$12,$H$13,#REF!,$H$14,$C21),IRR(CHOOSE({1,2,3,4,5,6,7,8,9,10},$I$6,$I$7,$I$9,$I$10,$I$11,$I$12,$I$13,#REF!,$I$14,D$19))),IF($I$13&lt;&gt;0,XIRR(CHOOSE({1,2,3,4},$I$13,#REF!,$I$14,D$19),CHOOSE({1,2,3,4},$H$13,#REF!,$H$14,$C21),IRR(CHOOSE({1,2,3,4,5,6,7,8,9,10},$I$6,$I$7,$I$9,$I$10,$I$11,$I$12,$I$13,#REF!,$I$14,D$19))),IF(#REF!&lt;&gt;0,XIRR(CHOOSE({1,2,3},#REF!,$I$14,D$19),CHOOSE({1,2,3},#REF!,$H$14,$C21),IRR(CHOOSE({1,2,3,4,5,6,7,8,9,10},$I$6,$I$7,$I$9,$I$10,$I$11,$I$12,$I$13,#REF!,$I$14,D$19))),IF($I$14&lt;&gt;0,XIRR(CHOOSE({1,2},$I$14,D$19),CHOOSE({1,2},$H$14,$C21)))))))))))),"Negative")</f>
        <v>Negative</v>
      </c>
      <c r="E21" s="769" t="str">
        <f>IFERROR(IF(IF($I$6&lt;&gt;0,XIRR(CHOOSE({1,2,3,4,5,6,7,8,9,10},$I$6,$I$7,$I$9,$I$10,$I$11,$I$12,$I$13,#REF!,$I$14,E$19),CHOOSE({1,2,3,4,5,6,7,8,9,10},$H$6,$H$7,$H$9,$H$10,$H$11,$H$12,$H$13,#REF!,$H$14,$C21),IRR(CHOOSE({1,2,3,4,5,6,7,8,9,10},$I$6,$I$7,$I$9,$I$10,$I$11,$I$12,$I$13,#REF!,$I$14,E$19))),IF($I$7&lt;&gt;0,XIRR(CHOOSE({1,2,3,4,5,6,7,8,9},$I$7,$I$9,$I$10,$I$11,$I$12,$I$13,#REF!,$I$14,E$19),CHOOSE({1,2,3,4,5,6,7,8,9},$H$7,$H$9,$H$10,$H$11,$H$12,$H$13,#REF!,$H$14,$C21),IRR(CHOOSE({1,2,3,4,5,6,7,8,9,10},$I$6,$I$7,$I$9,$I$10,$I$11,$I$12,$I$13,#REF!,$I$14,E$19))),IF($I$9&lt;&gt;0,XIRR(CHOOSE({1,2,3,4,5,6,7,8},$I$9,$I$10,$I$11,$I$12,$I$13,#REF!,$I$14,E$19),CHOOSE({1,2,3,4,5,6,7,8},$H$9,$H$10,$H$11,$H$12,$H$13,#REF!,$H$14,$C21),IRR(CHOOSE({1,2,3,4,5,6,7,8,9,10},$I$6,$I$7,$I$9,$I$10,$I$11,$I$12,$I$13,#REF!,$I$14,E$19))),IF($I$10&lt;&gt;0,XIRR(CHOOSE({1,2,3,4,5,6,7},$I$10,$I$11,$I$12,$I$13,#REF!,$I$14,E$19),CHOOSE({1,2,3,4,5,6,7},$H$10,$H$11,$H$12,$H$13,#REF!,$H$14,$C21),IRR(CHOOSE({1,2,3,4,5,6,7,8,9,10},$I$6,$I$7,$I$9,$I$10,$I$11,$I$12,$I$13,#REF!,$I$14,E$19))),IF($I$11&lt;&gt;0,XIRR(CHOOSE({1,2,3,4,5,6},$I$11,$I$12,$I$13,#REF!,$I$14,E$19),CHOOSE({1,2,3,4,5,6},$H$11,$H$12,$H$13,#REF!,$H$14,$C21),IRR(CHOOSE({1,2,3,4,5,6,7,8,9,10},$I$6,$I$7,$I$9,$I$10,$I$11,$I$12,$I$13,#REF!,$I$14,E$19))),IF($I$12&lt;&gt;0,XIRR(CHOOSE({1,2,3,4,5},$I$12,$I$13,#REF!,$I$14,E$19),CHOOSE({1,2,3,4,5},$H$12,$H$13,#REF!,$H$14,$C21),IRR(CHOOSE({1,2,3,4,5,6,7,8,9,10},$I$6,$I$7,$I$9,$I$10,$I$11,$I$12,$I$13,#REF!,$I$14,E$19))),IF($I$13&lt;&gt;0,XIRR(CHOOSE({1,2,3,4},$I$13,#REF!,$I$14,E$19),CHOOSE({1,2,3,4},$H$13,#REF!,$H$14,$C21),IRR(CHOOSE({1,2,3,4,5,6,7,8,9,10},$I$6,$I$7,$I$9,$I$10,$I$11,$I$12,$I$13,#REF!,$I$14,E$19))),IF(#REF!&lt;&gt;0,XIRR(CHOOSE({1,2,3},#REF!,$I$14,E$19),CHOOSE({1,2,3},#REF!,$H$14,$C21),IRR(CHOOSE({1,2,3,4,5,6,7,8,9,10},$I$6,$I$7,$I$9,$I$10,$I$11,$I$12,$I$13,#REF!,$I$14,E$19))),IF($I$14&lt;&gt;0,XIRR(CHOOSE({1,2},$I$14,E$19),CHOOSE({1,2},$H$14,$C21)))))))))))&lt;0,"Negative",IF($I$6&lt;&gt;0,XIRR(CHOOSE({1,2,3,4,5,6,7,8,9,10},$I$6,$I$7,$I$9,$I$10,$I$11,$I$12,$I$13,#REF!,$I$14,E$19),CHOOSE({1,2,3,4,5,6,7,8,9,10},$H$6,$H$7,$H$9,$H$10,$H$11,$H$12,$H$13,#REF!,$H$14,$C21),IRR(CHOOSE({1,2,3,4,5,6,7,8,9,10},$I$6,$I$7,$I$9,$I$10,$I$11,$I$12,$I$13,#REF!,$I$14,E$19))),IF($I$7&lt;&gt;0,XIRR(CHOOSE({1,2,3,4,5,6,7,8,9},$I$7,$I$9,$I$10,$I$11,$I$12,$I$13,#REF!,$I$14,E$19),CHOOSE({1,2,3,4,5,6,7,8,9},$H$7,$H$9,$H$10,$H$11,$H$12,$H$13,#REF!,$H$14,$C21),IRR(CHOOSE({1,2,3,4,5,6,7,8,9,10},$I$6,$I$7,$I$9,$I$10,$I$11,$I$12,$I$13,#REF!,$I$14,E$19))),IF($I$9&lt;&gt;0,XIRR(CHOOSE({1,2,3,4,5,6,7,8},$I$9,$I$10,$I$11,$I$12,$I$13,#REF!,$I$14,E$19),CHOOSE({1,2,3,4,5,6,7,8},$H$9,$H$10,$H$11,$H$12,$H$13,#REF!,$H$14,$C21),IRR(CHOOSE({1,2,3,4,5,6,7,8,9,10},$I$6,$I$7,$I$9,$I$10,$I$11,$I$12,$I$13,#REF!,$I$14,E$19))),IF($I$10&lt;&gt;0,XIRR(CHOOSE({1,2,3,4,5,6,7},$I$10,$I$11,$I$12,$I$13,#REF!,$I$14,E$19),CHOOSE({1,2,3,4,5,6,7},$H$10,$H$11,$H$12,$H$13,#REF!,$H$14,$C21),IRR(CHOOSE({1,2,3,4,5,6,7,8,9,10},$I$6,$I$7,$I$9,$I$10,$I$11,$I$12,$I$13,#REF!,$I$14,E$19))),IF($I$11&lt;&gt;0,XIRR(CHOOSE({1,2,3,4,5,6},$I$11,$I$12,$I$13,#REF!,$I$14,E$19),CHOOSE({1,2,3,4,5,6},$H$11,$H$12,$H$13,#REF!,$H$14,$C21),IRR(CHOOSE({1,2,3,4,5,6,7,8,9,10},$I$6,$I$7,$I$9,$I$10,$I$11,$I$12,$I$13,#REF!,$I$14,E$19))),IF($I$12&lt;&gt;0,XIRR(CHOOSE({1,2,3,4,5},$I$12,$I$13,#REF!,$I$14,E$19),CHOOSE({1,2,3,4,5},$H$12,$H$13,#REF!,$H$14,$C21),IRR(CHOOSE({1,2,3,4,5,6,7,8,9,10},$I$6,$I$7,$I$9,$I$10,$I$11,$I$12,$I$13,#REF!,$I$14,E$19))),IF($I$13&lt;&gt;0,XIRR(CHOOSE({1,2,3,4},$I$13,#REF!,$I$14,E$19),CHOOSE({1,2,3,4},$H$13,#REF!,$H$14,$C21),IRR(CHOOSE({1,2,3,4,5,6,7,8,9,10},$I$6,$I$7,$I$9,$I$10,$I$11,$I$12,$I$13,#REF!,$I$14,E$19))),IF(#REF!&lt;&gt;0,XIRR(CHOOSE({1,2,3},#REF!,$I$14,E$19),CHOOSE({1,2,3},#REF!,$H$14,$C21),IRR(CHOOSE({1,2,3,4,5,6,7,8,9,10},$I$6,$I$7,$I$9,$I$10,$I$11,$I$12,$I$13,#REF!,$I$14,E$19))),IF($I$14&lt;&gt;0,XIRR(CHOOSE({1,2},$I$14,E$19),CHOOSE({1,2},$H$14,$C21)))))))))))),"Negative")</f>
        <v>Negative</v>
      </c>
      <c r="F21" s="769" t="str">
        <f>IFERROR(IF(IF($I$6&lt;&gt;0,XIRR(CHOOSE({1,2,3,4,5,6,7,8,9,10},$I$6,$I$7,$I$9,$I$10,$I$11,$I$12,$I$13,#REF!,$I$14,F$19),CHOOSE({1,2,3,4,5,6,7,8,9,10},$H$6,$H$7,$H$9,$H$10,$H$11,$H$12,$H$13,#REF!,$H$14,$C21),IRR(CHOOSE({1,2,3,4,5,6,7,8,9,10},$I$6,$I$7,$I$9,$I$10,$I$11,$I$12,$I$13,#REF!,$I$14,F$19))),IF($I$7&lt;&gt;0,XIRR(CHOOSE({1,2,3,4,5,6,7,8,9},$I$7,$I$9,$I$10,$I$11,$I$12,$I$13,#REF!,$I$14,F$19),CHOOSE({1,2,3,4,5,6,7,8,9},$H$7,$H$9,$H$10,$H$11,$H$12,$H$13,#REF!,$H$14,$C21),IRR(CHOOSE({1,2,3,4,5,6,7,8,9,10},$I$6,$I$7,$I$9,$I$10,$I$11,$I$12,$I$13,#REF!,$I$14,F$19))),IF($I$9&lt;&gt;0,XIRR(CHOOSE({1,2,3,4,5,6,7,8},$I$9,$I$10,$I$11,$I$12,$I$13,#REF!,$I$14,F$19),CHOOSE({1,2,3,4,5,6,7,8},$H$9,$H$10,$H$11,$H$12,$H$13,#REF!,$H$14,$C21),IRR(CHOOSE({1,2,3,4,5,6,7,8,9,10},$I$6,$I$7,$I$9,$I$10,$I$11,$I$12,$I$13,#REF!,$I$14,F$19))),IF($I$10&lt;&gt;0,XIRR(CHOOSE({1,2,3,4,5,6,7},$I$10,$I$11,$I$12,$I$13,#REF!,$I$14,F$19),CHOOSE({1,2,3,4,5,6,7},$H$10,$H$11,$H$12,$H$13,#REF!,$H$14,$C21),IRR(CHOOSE({1,2,3,4,5,6,7,8,9,10},$I$6,$I$7,$I$9,$I$10,$I$11,$I$12,$I$13,#REF!,$I$14,F$19))),IF($I$11&lt;&gt;0,XIRR(CHOOSE({1,2,3,4,5,6},$I$11,$I$12,$I$13,#REF!,$I$14,F$19),CHOOSE({1,2,3,4,5,6},$H$11,$H$12,$H$13,#REF!,$H$14,$C21),IRR(CHOOSE({1,2,3,4,5,6,7,8,9,10},$I$6,$I$7,$I$9,$I$10,$I$11,$I$12,$I$13,#REF!,$I$14,F$19))),IF($I$12&lt;&gt;0,XIRR(CHOOSE({1,2,3,4,5},$I$12,$I$13,#REF!,$I$14,F$19),CHOOSE({1,2,3,4,5},$H$12,$H$13,#REF!,$H$14,$C21),IRR(CHOOSE({1,2,3,4,5,6,7,8,9,10},$I$6,$I$7,$I$9,$I$10,$I$11,$I$12,$I$13,#REF!,$I$14,F$19))),IF($I$13&lt;&gt;0,XIRR(CHOOSE({1,2,3,4},$I$13,#REF!,$I$14,F$19),CHOOSE({1,2,3,4},$H$13,#REF!,$H$14,$C21),IRR(CHOOSE({1,2,3,4,5,6,7,8,9,10},$I$6,$I$7,$I$9,$I$10,$I$11,$I$12,$I$13,#REF!,$I$14,F$19))),IF(#REF!&lt;&gt;0,XIRR(CHOOSE({1,2,3},#REF!,$I$14,F$19),CHOOSE({1,2,3},#REF!,$H$14,$C21),IRR(CHOOSE({1,2,3,4,5,6,7,8,9,10},$I$6,$I$7,$I$9,$I$10,$I$11,$I$12,$I$13,#REF!,$I$14,F$19))),IF($I$14&lt;&gt;0,XIRR(CHOOSE({1,2},$I$14,F$19),CHOOSE({1,2},$H$14,$C21)))))))))))&lt;0,"Negative",IF($I$6&lt;&gt;0,XIRR(CHOOSE({1,2,3,4,5,6,7,8,9,10},$I$6,$I$7,$I$9,$I$10,$I$11,$I$12,$I$13,#REF!,$I$14,F$19),CHOOSE({1,2,3,4,5,6,7,8,9,10},$H$6,$H$7,$H$9,$H$10,$H$11,$H$12,$H$13,#REF!,$H$14,$C21),IRR(CHOOSE({1,2,3,4,5,6,7,8,9,10},$I$6,$I$7,$I$9,$I$10,$I$11,$I$12,$I$13,#REF!,$I$14,F$19))),IF($I$7&lt;&gt;0,XIRR(CHOOSE({1,2,3,4,5,6,7,8,9},$I$7,$I$9,$I$10,$I$11,$I$12,$I$13,#REF!,$I$14,F$19),CHOOSE({1,2,3,4,5,6,7,8,9},$H$7,$H$9,$H$10,$H$11,$H$12,$H$13,#REF!,$H$14,$C21),IRR(CHOOSE({1,2,3,4,5,6,7,8,9,10},$I$6,$I$7,$I$9,$I$10,$I$11,$I$12,$I$13,#REF!,$I$14,F$19))),IF($I$9&lt;&gt;0,XIRR(CHOOSE({1,2,3,4,5,6,7,8},$I$9,$I$10,$I$11,$I$12,$I$13,#REF!,$I$14,F$19),CHOOSE({1,2,3,4,5,6,7,8},$H$9,$H$10,$H$11,$H$12,$H$13,#REF!,$H$14,$C21),IRR(CHOOSE({1,2,3,4,5,6,7,8,9,10},$I$6,$I$7,$I$9,$I$10,$I$11,$I$12,$I$13,#REF!,$I$14,F$19))),IF($I$10&lt;&gt;0,XIRR(CHOOSE({1,2,3,4,5,6,7},$I$10,$I$11,$I$12,$I$13,#REF!,$I$14,F$19),CHOOSE({1,2,3,4,5,6,7},$H$10,$H$11,$H$12,$H$13,#REF!,$H$14,$C21),IRR(CHOOSE({1,2,3,4,5,6,7,8,9,10},$I$6,$I$7,$I$9,$I$10,$I$11,$I$12,$I$13,#REF!,$I$14,F$19))),IF($I$11&lt;&gt;0,XIRR(CHOOSE({1,2,3,4,5,6},$I$11,$I$12,$I$13,#REF!,$I$14,F$19),CHOOSE({1,2,3,4,5,6},$H$11,$H$12,$H$13,#REF!,$H$14,$C21),IRR(CHOOSE({1,2,3,4,5,6,7,8,9,10},$I$6,$I$7,$I$9,$I$10,$I$11,$I$12,$I$13,#REF!,$I$14,F$19))),IF($I$12&lt;&gt;0,XIRR(CHOOSE({1,2,3,4,5},$I$12,$I$13,#REF!,$I$14,F$19),CHOOSE({1,2,3,4,5},$H$12,$H$13,#REF!,$H$14,$C21),IRR(CHOOSE({1,2,3,4,5,6,7,8,9,10},$I$6,$I$7,$I$9,$I$10,$I$11,$I$12,$I$13,#REF!,$I$14,F$19))),IF($I$13&lt;&gt;0,XIRR(CHOOSE({1,2,3,4},$I$13,#REF!,$I$14,F$19),CHOOSE({1,2,3,4},$H$13,#REF!,$H$14,$C21),IRR(CHOOSE({1,2,3,4,5,6,7,8,9,10},$I$6,$I$7,$I$9,$I$10,$I$11,$I$12,$I$13,#REF!,$I$14,F$19))),IF(#REF!&lt;&gt;0,XIRR(CHOOSE({1,2,3},#REF!,$I$14,F$19),CHOOSE({1,2,3},#REF!,$H$14,$C21),IRR(CHOOSE({1,2,3,4,5,6,7,8,9,10},$I$6,$I$7,$I$9,$I$10,$I$11,$I$12,$I$13,#REF!,$I$14,F$19))),IF($I$14&lt;&gt;0,XIRR(CHOOSE({1,2},$I$14,F$19),CHOOSE({1,2},$H$14,$C21)))))))))))),"Negative")</f>
        <v>Negative</v>
      </c>
      <c r="G21" s="770" t="str">
        <f>IFERROR(IF(IF($I$6&lt;&gt;0,XIRR(CHOOSE({1,2,3,4,5,6,7,8,9,10},$I$6,$I$7,$I$9,$I$10,$I$11,$I$12,$I$13,#REF!,$I$14,G$19),CHOOSE({1,2,3,4,5,6,7,8,9,10},$H$6,$H$7,$H$9,$H$10,$H$11,$H$12,$H$13,#REF!,$H$14,$C21),IRR(CHOOSE({1,2,3,4,5,6,7,8,9,10},$I$6,$I$7,$I$9,$I$10,$I$11,$I$12,$I$13,#REF!,$I$14,G$19))),IF($I$7&lt;&gt;0,XIRR(CHOOSE({1,2,3,4,5,6,7,8,9},$I$7,$I$9,$I$10,$I$11,$I$12,$I$13,#REF!,$I$14,G$19),CHOOSE({1,2,3,4,5,6,7,8,9},$H$7,$H$9,$H$10,$H$11,$H$12,$H$13,#REF!,$H$14,$C21),IRR(CHOOSE({1,2,3,4,5,6,7,8,9,10},$I$6,$I$7,$I$9,$I$10,$I$11,$I$12,$I$13,#REF!,$I$14,G$19))),IF($I$9&lt;&gt;0,XIRR(CHOOSE({1,2,3,4,5,6,7,8},$I$9,$I$10,$I$11,$I$12,$I$13,#REF!,$I$14,G$19),CHOOSE({1,2,3,4,5,6,7,8},$H$9,$H$10,$H$11,$H$12,$H$13,#REF!,$H$14,$C21),IRR(CHOOSE({1,2,3,4,5,6,7,8,9,10},$I$6,$I$7,$I$9,$I$10,$I$11,$I$12,$I$13,#REF!,$I$14,G$19))),IF($I$10&lt;&gt;0,XIRR(CHOOSE({1,2,3,4,5,6,7},$I$10,$I$11,$I$12,$I$13,#REF!,$I$14,G$19),CHOOSE({1,2,3,4,5,6,7},$H$10,$H$11,$H$12,$H$13,#REF!,$H$14,$C21),IRR(CHOOSE({1,2,3,4,5,6,7,8,9,10},$I$6,$I$7,$I$9,$I$10,$I$11,$I$12,$I$13,#REF!,$I$14,G$19))),IF($I$11&lt;&gt;0,XIRR(CHOOSE({1,2,3,4,5,6},$I$11,$I$12,$I$13,#REF!,$I$14,G$19),CHOOSE({1,2,3,4,5,6},$H$11,$H$12,$H$13,#REF!,$H$14,$C21),IRR(CHOOSE({1,2,3,4,5,6,7,8,9,10},$I$6,$I$7,$I$9,$I$10,$I$11,$I$12,$I$13,#REF!,$I$14,G$19))),IF($I$12&lt;&gt;0,XIRR(CHOOSE({1,2,3,4,5},$I$12,$I$13,#REF!,$I$14,G$19),CHOOSE({1,2,3,4,5},$H$12,$H$13,#REF!,$H$14,$C21),IRR(CHOOSE({1,2,3,4,5,6,7,8,9,10},$I$6,$I$7,$I$9,$I$10,$I$11,$I$12,$I$13,#REF!,$I$14,G$19))),IF($I$13&lt;&gt;0,XIRR(CHOOSE({1,2,3,4},$I$13,#REF!,$I$14,G$19),CHOOSE({1,2,3,4},$H$13,#REF!,$H$14,$C21),IRR(CHOOSE({1,2,3,4,5,6,7,8,9,10},$I$6,$I$7,$I$9,$I$10,$I$11,$I$12,$I$13,#REF!,$I$14,G$19))),IF(#REF!&lt;&gt;0,XIRR(CHOOSE({1,2,3},#REF!,$I$14,G$19),CHOOSE({1,2,3},#REF!,$H$14,$C21),IRR(CHOOSE({1,2,3,4,5,6,7,8,9,10},$I$6,$I$7,$I$9,$I$10,$I$11,$I$12,$I$13,#REF!,$I$14,G$19))),IF($I$14&lt;&gt;0,XIRR(CHOOSE({1,2},$I$14,G$19),CHOOSE({1,2},$H$14,$C21)))))))))))&lt;0,"Negative",IF($I$6&lt;&gt;0,XIRR(CHOOSE({1,2,3,4,5,6,7,8,9,10},$I$6,$I$7,$I$9,$I$10,$I$11,$I$12,$I$13,#REF!,$I$14,G$19),CHOOSE({1,2,3,4,5,6,7,8,9,10},$H$6,$H$7,$H$9,$H$10,$H$11,$H$12,$H$13,#REF!,$H$14,$C21),IRR(CHOOSE({1,2,3,4,5,6,7,8,9,10},$I$6,$I$7,$I$9,$I$10,$I$11,$I$12,$I$13,#REF!,$I$14,G$19))),IF($I$7&lt;&gt;0,XIRR(CHOOSE({1,2,3,4,5,6,7,8,9},$I$7,$I$9,$I$10,$I$11,$I$12,$I$13,#REF!,$I$14,G$19),CHOOSE({1,2,3,4,5,6,7,8,9},$H$7,$H$9,$H$10,$H$11,$H$12,$H$13,#REF!,$H$14,$C21),IRR(CHOOSE({1,2,3,4,5,6,7,8,9,10},$I$6,$I$7,$I$9,$I$10,$I$11,$I$12,$I$13,#REF!,$I$14,G$19))),IF($I$9&lt;&gt;0,XIRR(CHOOSE({1,2,3,4,5,6,7,8},$I$9,$I$10,$I$11,$I$12,$I$13,#REF!,$I$14,G$19),CHOOSE({1,2,3,4,5,6,7,8},$H$9,$H$10,$H$11,$H$12,$H$13,#REF!,$H$14,$C21),IRR(CHOOSE({1,2,3,4,5,6,7,8,9,10},$I$6,$I$7,$I$9,$I$10,$I$11,$I$12,$I$13,#REF!,$I$14,G$19))),IF($I$10&lt;&gt;0,XIRR(CHOOSE({1,2,3,4,5,6,7},$I$10,$I$11,$I$12,$I$13,#REF!,$I$14,G$19),CHOOSE({1,2,3,4,5,6,7},$H$10,$H$11,$H$12,$H$13,#REF!,$H$14,$C21),IRR(CHOOSE({1,2,3,4,5,6,7,8,9,10},$I$6,$I$7,$I$9,$I$10,$I$11,$I$12,$I$13,#REF!,$I$14,G$19))),IF($I$11&lt;&gt;0,XIRR(CHOOSE({1,2,3,4,5,6},$I$11,$I$12,$I$13,#REF!,$I$14,G$19),CHOOSE({1,2,3,4,5,6},$H$11,$H$12,$H$13,#REF!,$H$14,$C21),IRR(CHOOSE({1,2,3,4,5,6,7,8,9,10},$I$6,$I$7,$I$9,$I$10,$I$11,$I$12,$I$13,#REF!,$I$14,G$19))),IF($I$12&lt;&gt;0,XIRR(CHOOSE({1,2,3,4,5},$I$12,$I$13,#REF!,$I$14,G$19),CHOOSE({1,2,3,4,5},$H$12,$H$13,#REF!,$H$14,$C21),IRR(CHOOSE({1,2,3,4,5,6,7,8,9,10},$I$6,$I$7,$I$9,$I$10,$I$11,$I$12,$I$13,#REF!,$I$14,G$19))),IF($I$13&lt;&gt;0,XIRR(CHOOSE({1,2,3,4},$I$13,#REF!,$I$14,G$19),CHOOSE({1,2,3,4},$H$13,#REF!,$H$14,$C21),IRR(CHOOSE({1,2,3,4,5,6,7,8,9,10},$I$6,$I$7,$I$9,$I$10,$I$11,$I$12,$I$13,#REF!,$I$14,G$19))),IF(#REF!&lt;&gt;0,XIRR(CHOOSE({1,2,3},#REF!,$I$14,G$19),CHOOSE({1,2,3},#REF!,$H$14,$C21),IRR(CHOOSE({1,2,3,4,5,6,7,8,9,10},$I$6,$I$7,$I$9,$I$10,$I$11,$I$12,$I$13,#REF!,$I$14,G$19))),IF($I$14&lt;&gt;0,XIRR(CHOOSE({1,2},$I$14,G$19),CHOOSE({1,2},$H$14,$C21)))))))))))),"Negative")</f>
        <v>Negative</v>
      </c>
      <c r="H21" s="769" t="str">
        <f>IFERROR(IF(IF($I$6&lt;&gt;0,XIRR(CHOOSE({1,2,3,4,5,6,7,8,9,10},$I$6,$I$7,$I$9,$I$10,$I$11,$I$12,$I$13,#REF!,$I$14,H$19),CHOOSE({1,2,3,4,5,6,7,8,9,10},$H$6,$H$7,$H$9,$H$10,$H$11,$H$12,$H$13,#REF!,$H$14,$C21),IRR(CHOOSE({1,2,3,4,5,6,7,8,9,10},$I$6,$I$7,$I$9,$I$10,$I$11,$I$12,$I$13,#REF!,$I$14,H$19))),IF($I$7&lt;&gt;0,XIRR(CHOOSE({1,2,3,4,5,6,7,8,9},$I$7,$I$9,$I$10,$I$11,$I$12,$I$13,#REF!,$I$14,H$19),CHOOSE({1,2,3,4,5,6,7,8,9},$H$7,$H$9,$H$10,$H$11,$H$12,$H$13,#REF!,$H$14,$C21),IRR(CHOOSE({1,2,3,4,5,6,7,8,9,10},$I$6,$I$7,$I$9,$I$10,$I$11,$I$12,$I$13,#REF!,$I$14,H$19))),IF($I$9&lt;&gt;0,XIRR(CHOOSE({1,2,3,4,5,6,7,8},$I$9,$I$10,$I$11,$I$12,$I$13,#REF!,$I$14,H$19),CHOOSE({1,2,3,4,5,6,7,8},$H$9,$H$10,$H$11,$H$12,$H$13,#REF!,$H$14,$C21),IRR(CHOOSE({1,2,3,4,5,6,7,8,9,10},$I$6,$I$7,$I$9,$I$10,$I$11,$I$12,$I$13,#REF!,$I$14,H$19))),IF($I$10&lt;&gt;0,XIRR(CHOOSE({1,2,3,4,5,6,7},$I$10,$I$11,$I$12,$I$13,#REF!,$I$14,H$19),CHOOSE({1,2,3,4,5,6,7},$H$10,$H$11,$H$12,$H$13,#REF!,$H$14,$C21),IRR(CHOOSE({1,2,3,4,5,6,7,8,9,10},$I$6,$I$7,$I$9,$I$10,$I$11,$I$12,$I$13,#REF!,$I$14,H$19))),IF($I$11&lt;&gt;0,XIRR(CHOOSE({1,2,3,4,5,6},$I$11,$I$12,$I$13,#REF!,$I$14,H$19),CHOOSE({1,2,3,4,5,6},$H$11,$H$12,$H$13,#REF!,$H$14,$C21),IRR(CHOOSE({1,2,3,4,5,6,7,8,9,10},$I$6,$I$7,$I$9,$I$10,$I$11,$I$12,$I$13,#REF!,$I$14,H$19))),IF($I$12&lt;&gt;0,XIRR(CHOOSE({1,2,3,4,5},$I$12,$I$13,#REF!,$I$14,H$19),CHOOSE({1,2,3,4,5},$H$12,$H$13,#REF!,$H$14,$C21),IRR(CHOOSE({1,2,3,4,5,6,7,8,9,10},$I$6,$I$7,$I$9,$I$10,$I$11,$I$12,$I$13,#REF!,$I$14,H$19))),IF($I$13&lt;&gt;0,XIRR(CHOOSE({1,2,3,4},$I$13,#REF!,$I$14,H$19),CHOOSE({1,2,3,4},$H$13,#REF!,$H$14,$C21),IRR(CHOOSE({1,2,3,4,5,6,7,8,9,10},$I$6,$I$7,$I$9,$I$10,$I$11,$I$12,$I$13,#REF!,$I$14,H$19))),IF(#REF!&lt;&gt;0,XIRR(CHOOSE({1,2,3},#REF!,$I$14,H$19),CHOOSE({1,2,3},#REF!,$H$14,$C21),IRR(CHOOSE({1,2,3,4,5,6,7,8,9,10},$I$6,$I$7,$I$9,$I$10,$I$11,$I$12,$I$13,#REF!,$I$14,H$19))),IF($I$14&lt;&gt;0,XIRR(CHOOSE({1,2},$I$14,H$19),CHOOSE({1,2},$H$14,$C21)))))))))))&lt;0,"Negative",IF($I$6&lt;&gt;0,XIRR(CHOOSE({1,2,3,4,5,6,7,8,9,10},$I$6,$I$7,$I$9,$I$10,$I$11,$I$12,$I$13,#REF!,$I$14,H$19),CHOOSE({1,2,3,4,5,6,7,8,9,10},$H$6,$H$7,$H$9,$H$10,$H$11,$H$12,$H$13,#REF!,$H$14,$C21),IRR(CHOOSE({1,2,3,4,5,6,7,8,9,10},$I$6,$I$7,$I$9,$I$10,$I$11,$I$12,$I$13,#REF!,$I$14,H$19))),IF($I$7&lt;&gt;0,XIRR(CHOOSE({1,2,3,4,5,6,7,8,9},$I$7,$I$9,$I$10,$I$11,$I$12,$I$13,#REF!,$I$14,H$19),CHOOSE({1,2,3,4,5,6,7,8,9},$H$7,$H$9,$H$10,$H$11,$H$12,$H$13,#REF!,$H$14,$C21),IRR(CHOOSE({1,2,3,4,5,6,7,8,9,10},$I$6,$I$7,$I$9,$I$10,$I$11,$I$12,$I$13,#REF!,$I$14,H$19))),IF($I$9&lt;&gt;0,XIRR(CHOOSE({1,2,3,4,5,6,7,8},$I$9,$I$10,$I$11,$I$12,$I$13,#REF!,$I$14,H$19),CHOOSE({1,2,3,4,5,6,7,8},$H$9,$H$10,$H$11,$H$12,$H$13,#REF!,$H$14,$C21),IRR(CHOOSE({1,2,3,4,5,6,7,8,9,10},$I$6,$I$7,$I$9,$I$10,$I$11,$I$12,$I$13,#REF!,$I$14,H$19))),IF($I$10&lt;&gt;0,XIRR(CHOOSE({1,2,3,4,5,6,7},$I$10,$I$11,$I$12,$I$13,#REF!,$I$14,H$19),CHOOSE({1,2,3,4,5,6,7},$H$10,$H$11,$H$12,$H$13,#REF!,$H$14,$C21),IRR(CHOOSE({1,2,3,4,5,6,7,8,9,10},$I$6,$I$7,$I$9,$I$10,$I$11,$I$12,$I$13,#REF!,$I$14,H$19))),IF($I$11&lt;&gt;0,XIRR(CHOOSE({1,2,3,4,5,6},$I$11,$I$12,$I$13,#REF!,$I$14,H$19),CHOOSE({1,2,3,4,5,6},$H$11,$H$12,$H$13,#REF!,$H$14,$C21),IRR(CHOOSE({1,2,3,4,5,6,7,8,9,10},$I$6,$I$7,$I$9,$I$10,$I$11,$I$12,$I$13,#REF!,$I$14,H$19))),IF($I$12&lt;&gt;0,XIRR(CHOOSE({1,2,3,4,5},$I$12,$I$13,#REF!,$I$14,H$19),CHOOSE({1,2,3,4,5},$H$12,$H$13,#REF!,$H$14,$C21),IRR(CHOOSE({1,2,3,4,5,6,7,8,9,10},$I$6,$I$7,$I$9,$I$10,$I$11,$I$12,$I$13,#REF!,$I$14,H$19))),IF($I$13&lt;&gt;0,XIRR(CHOOSE({1,2,3,4},$I$13,#REF!,$I$14,H$19),CHOOSE({1,2,3,4},$H$13,#REF!,$H$14,$C21),IRR(CHOOSE({1,2,3,4,5,6,7,8,9,10},$I$6,$I$7,$I$9,$I$10,$I$11,$I$12,$I$13,#REF!,$I$14,H$19))),IF(#REF!&lt;&gt;0,XIRR(CHOOSE({1,2,3},#REF!,$I$14,H$19),CHOOSE({1,2,3},#REF!,$H$14,$C21),IRR(CHOOSE({1,2,3,4,5,6,7,8,9,10},$I$6,$I$7,$I$9,$I$10,$I$11,$I$12,$I$13,#REF!,$I$14,H$19))),IF($I$14&lt;&gt;0,XIRR(CHOOSE({1,2},$I$14,H$19),CHOOSE({1,2},$H$14,$C21)))))))))))),"Negative")</f>
        <v>Negative</v>
      </c>
      <c r="I21" s="772" t="str">
        <f>IFERROR(IF(IF($I$6&lt;&gt;0,XIRR(CHOOSE({1,2,3,4,5,6,7,8,9,10},$I$6,$I$7,$I$9,$I$10,$I$11,$I$12,$I$13,#REF!,$I$14,I$19),CHOOSE({1,2,3,4,5,6,7,8,9,10},$H$6,$H$7,$H$9,$H$10,$H$11,$H$12,$H$13,#REF!,$H$14,$C21),IRR(CHOOSE({1,2,3,4,5,6,7,8,9,10},$I$6,$I$7,$I$9,$I$10,$I$11,$I$12,$I$13,#REF!,$I$14,I$19))),IF($I$7&lt;&gt;0,XIRR(CHOOSE({1,2,3,4,5,6,7,8,9},$I$7,$I$9,$I$10,$I$11,$I$12,$I$13,#REF!,$I$14,I$19),CHOOSE({1,2,3,4,5,6,7,8,9},$H$7,$H$9,$H$10,$H$11,$H$12,$H$13,#REF!,$H$14,$C21),IRR(CHOOSE({1,2,3,4,5,6,7,8,9,10},$I$6,$I$7,$I$9,$I$10,$I$11,$I$12,$I$13,#REF!,$I$14,I$19))),IF($I$9&lt;&gt;0,XIRR(CHOOSE({1,2,3,4,5,6,7,8},$I$9,$I$10,$I$11,$I$12,$I$13,#REF!,$I$14,I$19),CHOOSE({1,2,3,4,5,6,7,8},$H$9,$H$10,$H$11,$H$12,$H$13,#REF!,$H$14,$C21),IRR(CHOOSE({1,2,3,4,5,6,7,8,9,10},$I$6,$I$7,$I$9,$I$10,$I$11,$I$12,$I$13,#REF!,$I$14,I$19))),IF($I$10&lt;&gt;0,XIRR(CHOOSE({1,2,3,4,5,6,7},$I$10,$I$11,$I$12,$I$13,#REF!,$I$14,I$19),CHOOSE({1,2,3,4,5,6,7},$H$10,$H$11,$H$12,$H$13,#REF!,$H$14,$C21),IRR(CHOOSE({1,2,3,4,5,6,7,8,9,10},$I$6,$I$7,$I$9,$I$10,$I$11,$I$12,$I$13,#REF!,$I$14,I$19))),IF($I$11&lt;&gt;0,XIRR(CHOOSE({1,2,3,4,5,6},$I$11,$I$12,$I$13,#REF!,$I$14,I$19),CHOOSE({1,2,3,4,5,6},$H$11,$H$12,$H$13,#REF!,$H$14,$C21),IRR(CHOOSE({1,2,3,4,5,6,7,8,9,10},$I$6,$I$7,$I$9,$I$10,$I$11,$I$12,$I$13,#REF!,$I$14,I$19))),IF($I$12&lt;&gt;0,XIRR(CHOOSE({1,2,3,4,5},$I$12,$I$13,#REF!,$I$14,I$19),CHOOSE({1,2,3,4,5},$H$12,$H$13,#REF!,$H$14,$C21),IRR(CHOOSE({1,2,3,4,5,6,7,8,9,10},$I$6,$I$7,$I$9,$I$10,$I$11,$I$12,$I$13,#REF!,$I$14,I$19))),IF($I$13&lt;&gt;0,XIRR(CHOOSE({1,2,3,4},$I$13,#REF!,$I$14,I$19),CHOOSE({1,2,3,4},$H$13,#REF!,$H$14,$C21),IRR(CHOOSE({1,2,3,4,5,6,7,8,9,10},$I$6,$I$7,$I$9,$I$10,$I$11,$I$12,$I$13,#REF!,$I$14,I$19))),IF(#REF!&lt;&gt;0,XIRR(CHOOSE({1,2,3},#REF!,$I$14,I$19),CHOOSE({1,2,3},#REF!,$H$14,$C21),IRR(CHOOSE({1,2,3,4,5,6,7,8,9,10},$I$6,$I$7,$I$9,$I$10,$I$11,$I$12,$I$13,#REF!,$I$14,I$19))),IF($I$14&lt;&gt;0,XIRR(CHOOSE({1,2},$I$14,I$19),CHOOSE({1,2},$H$14,$C21)))))))))))&lt;0,"Negative",IF($I$6&lt;&gt;0,XIRR(CHOOSE({1,2,3,4,5,6,7,8,9,10},$I$6,$I$7,$I$9,$I$10,$I$11,$I$12,$I$13,#REF!,$I$14,I$19),CHOOSE({1,2,3,4,5,6,7,8,9,10},$H$6,$H$7,$H$9,$H$10,$H$11,$H$12,$H$13,#REF!,$H$14,$C21),IRR(CHOOSE({1,2,3,4,5,6,7,8,9,10},$I$6,$I$7,$I$9,$I$10,$I$11,$I$12,$I$13,#REF!,$I$14,I$19))),IF($I$7&lt;&gt;0,XIRR(CHOOSE({1,2,3,4,5,6,7,8,9},$I$7,$I$9,$I$10,$I$11,$I$12,$I$13,#REF!,$I$14,I$19),CHOOSE({1,2,3,4,5,6,7,8,9},$H$7,$H$9,$H$10,$H$11,$H$12,$H$13,#REF!,$H$14,$C21),IRR(CHOOSE({1,2,3,4,5,6,7,8,9,10},$I$6,$I$7,$I$9,$I$10,$I$11,$I$12,$I$13,#REF!,$I$14,I$19))),IF($I$9&lt;&gt;0,XIRR(CHOOSE({1,2,3,4,5,6,7,8},$I$9,$I$10,$I$11,$I$12,$I$13,#REF!,$I$14,I$19),CHOOSE({1,2,3,4,5,6,7,8},$H$9,$H$10,$H$11,$H$12,$H$13,#REF!,$H$14,$C21),IRR(CHOOSE({1,2,3,4,5,6,7,8,9,10},$I$6,$I$7,$I$9,$I$10,$I$11,$I$12,$I$13,#REF!,$I$14,I$19))),IF($I$10&lt;&gt;0,XIRR(CHOOSE({1,2,3,4,5,6,7},$I$10,$I$11,$I$12,$I$13,#REF!,$I$14,I$19),CHOOSE({1,2,3,4,5,6,7},$H$10,$H$11,$H$12,$H$13,#REF!,$H$14,$C21),IRR(CHOOSE({1,2,3,4,5,6,7,8,9,10},$I$6,$I$7,$I$9,$I$10,$I$11,$I$12,$I$13,#REF!,$I$14,I$19))),IF($I$11&lt;&gt;0,XIRR(CHOOSE({1,2,3,4,5,6},$I$11,$I$12,$I$13,#REF!,$I$14,I$19),CHOOSE({1,2,3,4,5,6},$H$11,$H$12,$H$13,#REF!,$H$14,$C21),IRR(CHOOSE({1,2,3,4,5,6,7,8,9,10},$I$6,$I$7,$I$9,$I$10,$I$11,$I$12,$I$13,#REF!,$I$14,I$19))),IF($I$12&lt;&gt;0,XIRR(CHOOSE({1,2,3,4,5},$I$12,$I$13,#REF!,$I$14,I$19),CHOOSE({1,2,3,4,5},$H$12,$H$13,#REF!,$H$14,$C21),IRR(CHOOSE({1,2,3,4,5,6,7,8,9,10},$I$6,$I$7,$I$9,$I$10,$I$11,$I$12,$I$13,#REF!,$I$14,I$19))),IF($I$13&lt;&gt;0,XIRR(CHOOSE({1,2,3,4},$I$13,#REF!,$I$14,I$19),CHOOSE({1,2,3,4},$H$13,#REF!,$H$14,$C21),IRR(CHOOSE({1,2,3,4,5,6,7,8,9,10},$I$6,$I$7,$I$9,$I$10,$I$11,$I$12,$I$13,#REF!,$I$14,I$19))),IF(#REF!&lt;&gt;0,XIRR(CHOOSE({1,2,3},#REF!,$I$14,I$19),CHOOSE({1,2,3},#REF!,$H$14,$C21),IRR(CHOOSE({1,2,3,4,5,6,7,8,9,10},$I$6,$I$7,$I$9,$I$10,$I$11,$I$12,$I$13,#REF!,$I$14,I$19))),IF($I$14&lt;&gt;0,XIRR(CHOOSE({1,2},$I$14,I$19),CHOOSE({1,2},$H$14,$C21)))))))))))),"Negative")</f>
        <v>Negative</v>
      </c>
      <c r="J21" s="769" t="str">
        <f>IFERROR(IF(IF($I$6&lt;&gt;0,XIRR(CHOOSE({1,2,3,4,5,6,7,8,9,10},$I$6,$I$7,$I$9,$I$10,$I$11,$I$12,$I$13,#REF!,$I$14,J$19),CHOOSE({1,2,3,4,5,6,7,8,9,10},$H$6,$H$7,$H$9,$H$10,$H$11,$H$12,$H$13,#REF!,$H$14,$C21),IRR(CHOOSE({1,2,3,4,5,6,7,8,9,10},$I$6,$I$7,$I$9,$I$10,$I$11,$I$12,$I$13,#REF!,$I$14,J$19))),IF($I$7&lt;&gt;0,XIRR(CHOOSE({1,2,3,4,5,6,7,8,9},$I$7,$I$9,$I$10,$I$11,$I$12,$I$13,#REF!,$I$14,J$19),CHOOSE({1,2,3,4,5,6,7,8,9},$H$7,$H$9,$H$10,$H$11,$H$12,$H$13,#REF!,$H$14,$C21),IRR(CHOOSE({1,2,3,4,5,6,7,8,9,10},$I$6,$I$7,$I$9,$I$10,$I$11,$I$12,$I$13,#REF!,$I$14,J$19))),IF($I$9&lt;&gt;0,XIRR(CHOOSE({1,2,3,4,5,6,7,8},$I$9,$I$10,$I$11,$I$12,$I$13,#REF!,$I$14,J$19),CHOOSE({1,2,3,4,5,6,7,8},$H$9,$H$10,$H$11,$H$12,$H$13,#REF!,$H$14,$C21),IRR(CHOOSE({1,2,3,4,5,6,7,8,9,10},$I$6,$I$7,$I$9,$I$10,$I$11,$I$12,$I$13,#REF!,$I$14,J$19))),IF($I$10&lt;&gt;0,XIRR(CHOOSE({1,2,3,4,5,6,7},$I$10,$I$11,$I$12,$I$13,#REF!,$I$14,J$19),CHOOSE({1,2,3,4,5,6,7},$H$10,$H$11,$H$12,$H$13,#REF!,$H$14,$C21),IRR(CHOOSE({1,2,3,4,5,6,7,8,9,10},$I$6,$I$7,$I$9,$I$10,$I$11,$I$12,$I$13,#REF!,$I$14,J$19))),IF($I$11&lt;&gt;0,XIRR(CHOOSE({1,2,3,4,5,6},$I$11,$I$12,$I$13,#REF!,$I$14,J$19),CHOOSE({1,2,3,4,5,6},$H$11,$H$12,$H$13,#REF!,$H$14,$C21),IRR(CHOOSE({1,2,3,4,5,6,7,8,9,10},$I$6,$I$7,$I$9,$I$10,$I$11,$I$12,$I$13,#REF!,$I$14,J$19))),IF($I$12&lt;&gt;0,XIRR(CHOOSE({1,2,3,4,5},$I$12,$I$13,#REF!,$I$14,J$19),CHOOSE({1,2,3,4,5},$H$12,$H$13,#REF!,$H$14,$C21),IRR(CHOOSE({1,2,3,4,5,6,7,8,9,10},$I$6,$I$7,$I$9,$I$10,$I$11,$I$12,$I$13,#REF!,$I$14,J$19))),IF($I$13&lt;&gt;0,XIRR(CHOOSE({1,2,3,4},$I$13,#REF!,$I$14,J$19),CHOOSE({1,2,3,4},$H$13,#REF!,$H$14,$C21),IRR(CHOOSE({1,2,3,4,5,6,7,8,9,10},$I$6,$I$7,$I$9,$I$10,$I$11,$I$12,$I$13,#REF!,$I$14,J$19))),IF(#REF!&lt;&gt;0,XIRR(CHOOSE({1,2,3},#REF!,$I$14,J$19),CHOOSE({1,2,3},#REF!,$H$14,$C21),IRR(CHOOSE({1,2,3,4,5,6,7,8,9,10},$I$6,$I$7,$I$9,$I$10,$I$11,$I$12,$I$13,#REF!,$I$14,J$19))),IF($I$14&lt;&gt;0,XIRR(CHOOSE({1,2},$I$14,J$19),CHOOSE({1,2},$H$14,$C21)))))))))))&lt;0,"Negative",IF($I$6&lt;&gt;0,XIRR(CHOOSE({1,2,3,4,5,6,7,8,9,10},$I$6,$I$7,$I$9,$I$10,$I$11,$I$12,$I$13,#REF!,$I$14,J$19),CHOOSE({1,2,3,4,5,6,7,8,9,10},$H$6,$H$7,$H$9,$H$10,$H$11,$H$12,$H$13,#REF!,$H$14,$C21),IRR(CHOOSE({1,2,3,4,5,6,7,8,9,10},$I$6,$I$7,$I$9,$I$10,$I$11,$I$12,$I$13,#REF!,$I$14,J$19))),IF($I$7&lt;&gt;0,XIRR(CHOOSE({1,2,3,4,5,6,7,8,9},$I$7,$I$9,$I$10,$I$11,$I$12,$I$13,#REF!,$I$14,J$19),CHOOSE({1,2,3,4,5,6,7,8,9},$H$7,$H$9,$H$10,$H$11,$H$12,$H$13,#REF!,$H$14,$C21),IRR(CHOOSE({1,2,3,4,5,6,7,8,9,10},$I$6,$I$7,$I$9,$I$10,$I$11,$I$12,$I$13,#REF!,$I$14,J$19))),IF($I$9&lt;&gt;0,XIRR(CHOOSE({1,2,3,4,5,6,7,8},$I$9,$I$10,$I$11,$I$12,$I$13,#REF!,$I$14,J$19),CHOOSE({1,2,3,4,5,6,7,8},$H$9,$H$10,$H$11,$H$12,$H$13,#REF!,$H$14,$C21),IRR(CHOOSE({1,2,3,4,5,6,7,8,9,10},$I$6,$I$7,$I$9,$I$10,$I$11,$I$12,$I$13,#REF!,$I$14,J$19))),IF($I$10&lt;&gt;0,XIRR(CHOOSE({1,2,3,4,5,6,7},$I$10,$I$11,$I$12,$I$13,#REF!,$I$14,J$19),CHOOSE({1,2,3,4,5,6,7},$H$10,$H$11,$H$12,$H$13,#REF!,$H$14,$C21),IRR(CHOOSE({1,2,3,4,5,6,7,8,9,10},$I$6,$I$7,$I$9,$I$10,$I$11,$I$12,$I$13,#REF!,$I$14,J$19))),IF($I$11&lt;&gt;0,XIRR(CHOOSE({1,2,3,4,5,6},$I$11,$I$12,$I$13,#REF!,$I$14,J$19),CHOOSE({1,2,3,4,5,6},$H$11,$H$12,$H$13,#REF!,$H$14,$C21),IRR(CHOOSE({1,2,3,4,5,6,7,8,9,10},$I$6,$I$7,$I$9,$I$10,$I$11,$I$12,$I$13,#REF!,$I$14,J$19))),IF($I$12&lt;&gt;0,XIRR(CHOOSE({1,2,3,4,5},$I$12,$I$13,#REF!,$I$14,J$19),CHOOSE({1,2,3,4,5},$H$12,$H$13,#REF!,$H$14,$C21),IRR(CHOOSE({1,2,3,4,5,6,7,8,9,10},$I$6,$I$7,$I$9,$I$10,$I$11,$I$12,$I$13,#REF!,$I$14,J$19))),IF($I$13&lt;&gt;0,XIRR(CHOOSE({1,2,3,4},$I$13,#REF!,$I$14,J$19),CHOOSE({1,2,3,4},$H$13,#REF!,$H$14,$C21),IRR(CHOOSE({1,2,3,4,5,6,7,8,9,10},$I$6,$I$7,$I$9,$I$10,$I$11,$I$12,$I$13,#REF!,$I$14,J$19))),IF(#REF!&lt;&gt;0,XIRR(CHOOSE({1,2,3},#REF!,$I$14,J$19),CHOOSE({1,2,3},#REF!,$H$14,$C21),IRR(CHOOSE({1,2,3,4,5,6,7,8,9,10},$I$6,$I$7,$I$9,$I$10,$I$11,$I$12,$I$13,#REF!,$I$14,J$19))),IF($I$14&lt;&gt;0,XIRR(CHOOSE({1,2},$I$14,J$19),CHOOSE({1,2},$H$14,$C21)))))))))))),"Negative")</f>
        <v>Negative</v>
      </c>
      <c r="K21" s="769" t="str">
        <f>IFERROR(IF(IF($I$6&lt;&gt;0,XIRR(CHOOSE({1,2,3,4,5,6,7,8,9,10},$I$6,$I$7,$I$9,$I$10,$I$11,$I$12,$I$13,#REF!,$I$14,K$19),CHOOSE({1,2,3,4,5,6,7,8,9,10},$H$6,$H$7,$H$9,$H$10,$H$11,$H$12,$H$13,#REF!,$H$14,$C21),IRR(CHOOSE({1,2,3,4,5,6,7,8,9,10},$I$6,$I$7,$I$9,$I$10,$I$11,$I$12,$I$13,#REF!,$I$14,K$19))),IF($I$7&lt;&gt;0,XIRR(CHOOSE({1,2,3,4,5,6,7,8,9},$I$7,$I$9,$I$10,$I$11,$I$12,$I$13,#REF!,$I$14,K$19),CHOOSE({1,2,3,4,5,6,7,8,9},$H$7,$H$9,$H$10,$H$11,$H$12,$H$13,#REF!,$H$14,$C21),IRR(CHOOSE({1,2,3,4,5,6,7,8,9,10},$I$6,$I$7,$I$9,$I$10,$I$11,$I$12,$I$13,#REF!,$I$14,K$19))),IF($I$9&lt;&gt;0,XIRR(CHOOSE({1,2,3,4,5,6,7,8},$I$9,$I$10,$I$11,$I$12,$I$13,#REF!,$I$14,K$19),CHOOSE({1,2,3,4,5,6,7,8},$H$9,$H$10,$H$11,$H$12,$H$13,#REF!,$H$14,$C21),IRR(CHOOSE({1,2,3,4,5,6,7,8,9,10},$I$6,$I$7,$I$9,$I$10,$I$11,$I$12,$I$13,#REF!,$I$14,K$19))),IF($I$10&lt;&gt;0,XIRR(CHOOSE({1,2,3,4,5,6,7},$I$10,$I$11,$I$12,$I$13,#REF!,$I$14,K$19),CHOOSE({1,2,3,4,5,6,7},$H$10,$H$11,$H$12,$H$13,#REF!,$H$14,$C21),IRR(CHOOSE({1,2,3,4,5,6,7,8,9,10},$I$6,$I$7,$I$9,$I$10,$I$11,$I$12,$I$13,#REF!,$I$14,K$19))),IF($I$11&lt;&gt;0,XIRR(CHOOSE({1,2,3,4,5,6},$I$11,$I$12,$I$13,#REF!,$I$14,K$19),CHOOSE({1,2,3,4,5,6},$H$11,$H$12,$H$13,#REF!,$H$14,$C21),IRR(CHOOSE({1,2,3,4,5,6,7,8,9,10},$I$6,$I$7,$I$9,$I$10,$I$11,$I$12,$I$13,#REF!,$I$14,K$19))),IF($I$12&lt;&gt;0,XIRR(CHOOSE({1,2,3,4,5},$I$12,$I$13,#REF!,$I$14,K$19),CHOOSE({1,2,3,4,5},$H$12,$H$13,#REF!,$H$14,$C21),IRR(CHOOSE({1,2,3,4,5,6,7,8,9,10},$I$6,$I$7,$I$9,$I$10,$I$11,$I$12,$I$13,#REF!,$I$14,K$19))),IF($I$13&lt;&gt;0,XIRR(CHOOSE({1,2,3,4},$I$13,#REF!,$I$14,K$19),CHOOSE({1,2,3,4},$H$13,#REF!,$H$14,$C21),IRR(CHOOSE({1,2,3,4,5,6,7,8,9,10},$I$6,$I$7,$I$9,$I$10,$I$11,$I$12,$I$13,#REF!,$I$14,K$19))),IF(#REF!&lt;&gt;0,XIRR(CHOOSE({1,2,3},#REF!,$I$14,K$19),CHOOSE({1,2,3},#REF!,$H$14,$C21),IRR(CHOOSE({1,2,3,4,5,6,7,8,9,10},$I$6,$I$7,$I$9,$I$10,$I$11,$I$12,$I$13,#REF!,$I$14,K$19))),IF($I$14&lt;&gt;0,XIRR(CHOOSE({1,2},$I$14,K$19),CHOOSE({1,2},$H$14,$C21)))))))))))&lt;0,"Negative",IF($I$6&lt;&gt;0,XIRR(CHOOSE({1,2,3,4,5,6,7,8,9,10},$I$6,$I$7,$I$9,$I$10,$I$11,$I$12,$I$13,#REF!,$I$14,K$19),CHOOSE({1,2,3,4,5,6,7,8,9,10},$H$6,$H$7,$H$9,$H$10,$H$11,$H$12,$H$13,#REF!,$H$14,$C21),IRR(CHOOSE({1,2,3,4,5,6,7,8,9,10},$I$6,$I$7,$I$9,$I$10,$I$11,$I$12,$I$13,#REF!,$I$14,K$19))),IF($I$7&lt;&gt;0,XIRR(CHOOSE({1,2,3,4,5,6,7,8,9},$I$7,$I$9,$I$10,$I$11,$I$12,$I$13,#REF!,$I$14,K$19),CHOOSE({1,2,3,4,5,6,7,8,9},$H$7,$H$9,$H$10,$H$11,$H$12,$H$13,#REF!,$H$14,$C21),IRR(CHOOSE({1,2,3,4,5,6,7,8,9,10},$I$6,$I$7,$I$9,$I$10,$I$11,$I$12,$I$13,#REF!,$I$14,K$19))),IF($I$9&lt;&gt;0,XIRR(CHOOSE({1,2,3,4,5,6,7,8},$I$9,$I$10,$I$11,$I$12,$I$13,#REF!,$I$14,K$19),CHOOSE({1,2,3,4,5,6,7,8},$H$9,$H$10,$H$11,$H$12,$H$13,#REF!,$H$14,$C21),IRR(CHOOSE({1,2,3,4,5,6,7,8,9,10},$I$6,$I$7,$I$9,$I$10,$I$11,$I$12,$I$13,#REF!,$I$14,K$19))),IF($I$10&lt;&gt;0,XIRR(CHOOSE({1,2,3,4,5,6,7},$I$10,$I$11,$I$12,$I$13,#REF!,$I$14,K$19),CHOOSE({1,2,3,4,5,6,7},$H$10,$H$11,$H$12,$H$13,#REF!,$H$14,$C21),IRR(CHOOSE({1,2,3,4,5,6,7,8,9,10},$I$6,$I$7,$I$9,$I$10,$I$11,$I$12,$I$13,#REF!,$I$14,K$19))),IF($I$11&lt;&gt;0,XIRR(CHOOSE({1,2,3,4,5,6},$I$11,$I$12,$I$13,#REF!,$I$14,K$19),CHOOSE({1,2,3,4,5,6},$H$11,$H$12,$H$13,#REF!,$H$14,$C21),IRR(CHOOSE({1,2,3,4,5,6,7,8,9,10},$I$6,$I$7,$I$9,$I$10,$I$11,$I$12,$I$13,#REF!,$I$14,K$19))),IF($I$12&lt;&gt;0,XIRR(CHOOSE({1,2,3,4,5},$I$12,$I$13,#REF!,$I$14,K$19),CHOOSE({1,2,3,4,5},$H$12,$H$13,#REF!,$H$14,$C21),IRR(CHOOSE({1,2,3,4,5,6,7,8,9,10},$I$6,$I$7,$I$9,$I$10,$I$11,$I$12,$I$13,#REF!,$I$14,K$19))),IF($I$13&lt;&gt;0,XIRR(CHOOSE({1,2,3,4},$I$13,#REF!,$I$14,K$19),CHOOSE({1,2,3,4},$H$13,#REF!,$H$14,$C21),IRR(CHOOSE({1,2,3,4,5,6,7,8,9,10},$I$6,$I$7,$I$9,$I$10,$I$11,$I$12,$I$13,#REF!,$I$14,K$19))),IF(#REF!&lt;&gt;0,XIRR(CHOOSE({1,2,3},#REF!,$I$14,K$19),CHOOSE({1,2,3},#REF!,$H$14,$C21),IRR(CHOOSE({1,2,3,4,5,6,7,8,9,10},$I$6,$I$7,$I$9,$I$10,$I$11,$I$12,$I$13,#REF!,$I$14,K$19))),IF($I$14&lt;&gt;0,XIRR(CHOOSE({1,2},$I$14,K$19),CHOOSE({1,2},$H$14,$C21)))))))))))),"Negative")</f>
        <v>Negative</v>
      </c>
      <c r="L21" s="769" t="str">
        <f>IFERROR(
IF(
IF($I$6&lt;&gt;0,
XIRR(CHOOSE({1,2,3,4,5,6,7,8,9,10},$I$6,$I$7,$I$9,$I$10,$I$11,$I$12,$I$13,#REF!,$I$14,L$19),
CHOOSE({1,2,3,4,5,6,7,8,9,10},$H$6,$H$7,$H$9,$H$10,$H$11,$H$12,$H$13,#REF!,$H$14,$C21),
IRR(CHOOSE({1,2,3,4,5,6,7,8,9,10},$I$6,$I$7,$I$9,$I$10,$I$11,$I$12,$I$13,#REF!,$I$14,L$19))),
IF($I$7&lt;&gt;0,XIRR(CHOOSE({1,2,3,4,5,6,7,8,9},$I$7,$I$9,$I$10,$I$11,$I$12,$I$13,#REF!,$I$14,L$19),CHOOSE({1,2,3,4,5,6,7,8,9},$H$7,$H$9,$H$10,$H$11,$H$12,$H$13,#REF!,$H$14,$C21),IRR(CHOOSE({1,2,3,4,5,6,7,8,9,10},$I$6,$I$7,$I$9,$I$10,$I$11,$I$12,$I$13,#REF!,$I$14,L$19))),IF($I$9&lt;&gt;0,XIRR(CHOOSE({1,2,3,4,5,6,7,8},$I$9,$I$10,$I$11,$I$12,$I$13,#REF!,$I$14,L$19),CHOOSE({1,2,3,4,5,6,7,8},$H$9,$H$10,$H$11,$H$12,$H$13,#REF!,$H$14,$C21),IRR(CHOOSE({1,2,3,4,5,6,7,8,9,10},$I$6,$I$7,$I$9,$I$10,$I$11,$I$12,$I$13,#REF!,$I$14,L$19))),IF($I$10&lt;&gt;0,XIRR(CHOOSE({1,2,3,4,5,6,7},$I$10,$I$11,$I$12,$I$13,#REF!,$I$14,L$19),CHOOSE({1,2,3,4,5,6,7},$H$10,$H$11,$H$12,$H$13,#REF!,$H$14,$C21),IRR(CHOOSE({1,2,3,4,5,6,7,8,9,10},$I$6,$I$7,$I$9,$I$10,$I$11,$I$12,$I$13,#REF!,$I$14,L$19))),IF($I$11&lt;&gt;0,XIRR(CHOOSE({1,2,3,4,5,6},$I$11,$I$12,$I$13,#REF!,$I$14,L$19),CHOOSE({1,2,3,4,5,6},$H$11,$H$12,$H$13,#REF!,$H$14,$C21),IRR(CHOOSE({1,2,3,4,5,6,7,8,9,10},$I$6,$I$7,$I$9,$I$10,$I$11,$I$12,$I$13,#REF!,$I$14,L$19))),IF($I$12&lt;&gt;0,XIRR(CHOOSE({1,2,3,4,5},$I$12,$I$13,#REF!,$I$14,L$19),CHOOSE({1,2,3,4,5},$H$12,$H$13,#REF!,$H$14,$C21),IRR(CHOOSE({1,2,3,4,5,6,7,8,9,10},$I$6,$I$7,$I$9,$I$10,$I$11,$I$12,$I$13,#REF!,$I$14,L$19))),IF($I$13&lt;&gt;0,XIRR(CHOOSE({1,2,3,4},$I$13,#REF!,$I$14,L$19),CHOOSE({1,2,3,4},$H$13,#REF!,$H$14,$C21),IRR(CHOOSE({1,2,3,4,5,6,7,8,9,10},$I$6,$I$7,$I$9,$I$10,$I$11,$I$12,$I$13,#REF!,$I$14,L$19))),IF(#REF!&lt;&gt;0,XIRR(CHOOSE({1,2,3},#REF!,$I$14,L$19),CHOOSE({1,2,3},#REF!,$H$14,$C21),IRR(CHOOSE({1,2,3,4,5,6,7,8,9,10},$I$6,$I$7,$I$9,$I$10,$I$11,$I$12,$I$13,#REF!,$I$14,L$19))),IF($I$14&lt;&gt;0,XIRR(CHOOSE({1,2},$I$14,L$19),CHOOSE({1,2},$H$14,$C21)))))))))))&lt;0,"Negative",IF($I$6&lt;&gt;0,XIRR(CHOOSE({1,2,3,4,5,6,7,8,9,10},$I$6,$I$7,$I$9,$I$10,$I$11,$I$12,$I$13,#REF!,$I$14,L$19),CHOOSE({1,2,3,4,5,6,7,8,9,10},$H$6,$H$7,$H$9,$H$10,$H$11,$H$12,$H$13,#REF!,$H$14,$C21),IRR(CHOOSE({1,2,3,4,5,6,7,8,9,10},$I$6,$I$7,$I$9,$I$10,$I$11,$I$12,$I$13,#REF!,$I$14,L$19))),IF($I$7&lt;&gt;0,XIRR(CHOOSE({1,2,3,4,5,6,7,8,9},$I$7,$I$9,$I$10,$I$11,$I$12,$I$13,#REF!,$I$14,L$19),CHOOSE({1,2,3,4,5,6,7,8,9},$H$7,$H$9,$H$10,$H$11,$H$12,$H$13,#REF!,$H$14,$C21),IRR(CHOOSE({1,2,3,4,5,6,7,8,9,10},$I$6,$I$7,$I$9,$I$10,$I$11,$I$12,$I$13,#REF!,$I$14,L$19))),IF($I$9&lt;&gt;0,XIRR(CHOOSE({1,2,3,4,5,6,7,8},$I$9,$I$10,$I$11,$I$12,$I$13,#REF!,$I$14,L$19),CHOOSE({1,2,3,4,5,6,7,8},$H$9,$H$10,$H$11,$H$12,$H$13,#REF!,$H$14,$C21),IRR(CHOOSE({1,2,3,4,5,6,7,8,9,10},$I$6,$I$7,$I$9,$I$10,$I$11,$I$12,$I$13,#REF!,$I$14,L$19))),IF($I$10&lt;&gt;0,XIRR(CHOOSE({1,2,3,4,5,6,7},$I$10,$I$11,$I$12,$I$13,#REF!,$I$14,L$19),CHOOSE({1,2,3,4,5,6,7},$H$10,$H$11,$H$12,$H$13,#REF!,$H$14,$C21),IRR(CHOOSE({1,2,3,4,5,6,7,8,9,10},$I$6,$I$7,$I$9,$I$10,$I$11,$I$12,$I$13,#REF!,$I$14,L$19))),IF($I$11&lt;&gt;0,XIRR(CHOOSE({1,2,3,4,5,6},$I$11,$I$12,$I$13,#REF!,$I$14,L$19),CHOOSE({1,2,3,4,5,6},$H$11,$H$12,$H$13,#REF!,$H$14,$C21),IRR(CHOOSE({1,2,3,4,5,6,7,8,9,10},$I$6,$I$7,$I$9,$I$10,$I$11,$I$12,$I$13,#REF!,$I$14,L$19))),IF($I$12&lt;&gt;0,XIRR(CHOOSE({1,2,3,4,5},$I$12,$I$13,#REF!,$I$14,L$19),CHOOSE({1,2,3,4,5},$H$12,$H$13,#REF!,$H$14,$C21),IRR(CHOOSE({1,2,3,4,5,6,7,8,9,10},$I$6,$I$7,$I$9,$I$10,$I$11,$I$12,$I$13,#REF!,$I$14,L$19))),IF($I$13&lt;&gt;0,XIRR(CHOOSE({1,2,3,4},$I$13,#REF!,$I$14,L$19),CHOOSE({1,2,3,4},$H$13,#REF!,$H$14,$C21),IRR(CHOOSE({1,2,3,4,5,6,7,8,9,10},$I$6,$I$7,$I$9,$I$10,$I$11,$I$12,$I$13,#REF!,$I$14,L$19))),IF(#REF!&lt;&gt;0,XIRR(CHOOSE({1,2,3},#REF!,$I$14,L$19),CHOOSE({1,2,3},#REF!,$H$14,$C21),IRR(CHOOSE({1,2,3,4,5,6,7,8,9,10},$I$6,$I$7,$I$9,$I$10,$I$11,$I$12,$I$13,#REF!,$I$14,L$19))),IF($I$14&lt;&gt;0,XIRR(CHOOSE({1,2},$I$14,L$19),CHOOSE({1,2},$H$14,$C21)))))))))))),
"Negative")</f>
        <v>Negative</v>
      </c>
      <c r="M21" s="180"/>
      <c r="N21" s="180"/>
      <c r="O21" s="439"/>
      <c r="P21" s="439"/>
      <c r="T21" s="180"/>
    </row>
    <row r="22" spans="1:25" s="3" customFormat="1" outlineLevel="1" x14ac:dyDescent="0.35">
      <c r="A22" s="2"/>
      <c r="B22" s="2"/>
      <c r="C22" s="438">
        <f ca="1">DATE(YEAR(TODAY())+2,12,31)</f>
        <v>47118</v>
      </c>
      <c r="D22" s="769" t="str">
        <f>IFERROR(IF(IF($I$6&lt;&gt;0,XIRR(CHOOSE({1,2,3,4,5,6,7,8,9,10},$I$6,$I$7,$I$9,$I$10,$I$11,$I$12,$I$13,#REF!,$I$14,D$19),CHOOSE({1,2,3,4,5,6,7,8,9,10},$H$6,$H$7,$H$9,$H$10,$H$11,$H$12,$H$13,#REF!,$H$14,$C22),IRR(CHOOSE({1,2,3,4,5,6,7,8,9,10},$I$6,$I$7,$I$9,$I$10,$I$11,$I$12,$I$13,#REF!,$I$14,D$19))),IF($I$7&lt;&gt;0,XIRR(CHOOSE({1,2,3,4,5,6,7,8,9},$I$7,$I$9,$I$10,$I$11,$I$12,$I$13,#REF!,$I$14,D$19),CHOOSE({1,2,3,4,5,6,7,8,9},$H$7,$H$9,$H$10,$H$11,$H$12,$H$13,#REF!,$H$14,$C22),IRR(CHOOSE({1,2,3,4,5,6,7,8,9,10},$I$6,$I$7,$I$9,$I$10,$I$11,$I$12,$I$13,#REF!,$I$14,D$19))),IF($I$9&lt;&gt;0,XIRR(CHOOSE({1,2,3,4,5,6,7,8},$I$9,$I$10,$I$11,$I$12,$I$13,#REF!,$I$14,D$19),CHOOSE({1,2,3,4,5,6,7,8},$H$9,$H$10,$H$11,$H$12,$H$13,#REF!,$H$14,$C22),IRR(CHOOSE({1,2,3,4,5,6,7,8,9,10},$I$6,$I$7,$I$9,$I$10,$I$11,$I$12,$I$13,#REF!,$I$14,D$19))),IF($I$10&lt;&gt;0,XIRR(CHOOSE({1,2,3,4,5,6,7},$I$10,$I$11,$I$12,$I$13,#REF!,$I$14,D$19),CHOOSE({1,2,3,4,5,6,7},$H$10,$H$11,$H$12,$H$13,#REF!,$H$14,$C22),IRR(CHOOSE({1,2,3,4,5,6,7,8,9,10},$I$6,$I$7,$I$9,$I$10,$I$11,$I$12,$I$13,#REF!,$I$14,D$19))),IF($I$11&lt;&gt;0,XIRR(CHOOSE({1,2,3,4,5,6},$I$11,$I$12,$I$13,#REF!,$I$14,D$19),CHOOSE({1,2,3,4,5,6},$H$11,$H$12,$H$13,#REF!,$H$14,$C22),IRR(CHOOSE({1,2,3,4,5,6,7,8,9,10},$I$6,$I$7,$I$9,$I$10,$I$11,$I$12,$I$13,#REF!,$I$14,D$19))),IF($I$12&lt;&gt;0,XIRR(CHOOSE({1,2,3,4,5},$I$12,$I$13,#REF!,$I$14,D$19),CHOOSE({1,2,3,4,5},$H$12,$H$13,#REF!,$H$14,$C22),IRR(CHOOSE({1,2,3,4,5,6,7,8,9,10},$I$6,$I$7,$I$9,$I$10,$I$11,$I$12,$I$13,#REF!,$I$14,D$19))),IF($I$13&lt;&gt;0,XIRR(CHOOSE({1,2,3,4},$I$13,#REF!,$I$14,D$19),CHOOSE({1,2,3,4},$H$13,#REF!,$H$14,$C22),IRR(CHOOSE({1,2,3,4,5,6,7,8,9,10},$I$6,$I$7,$I$9,$I$10,$I$11,$I$12,$I$13,#REF!,$I$14,D$19))),IF(#REF!&lt;&gt;0,XIRR(CHOOSE({1,2,3},#REF!,$I$14,D$19),CHOOSE({1,2,3},#REF!,$H$14,$C22),IRR(CHOOSE({1,2,3,4,5,6,7,8,9,10},$I$6,$I$7,$I$9,$I$10,$I$11,$I$12,$I$13,#REF!,$I$14,D$19))),IF($I$14&lt;&gt;0,XIRR(CHOOSE({1,2},$I$14,D$19),CHOOSE({1,2},$H$14,$C22)))))))))))&lt;0,"Negative",IF($I$6&lt;&gt;0,XIRR(CHOOSE({1,2,3,4,5,6,7,8,9,10},$I$6,$I$7,$I$9,$I$10,$I$11,$I$12,$I$13,#REF!,$I$14,D$19),CHOOSE({1,2,3,4,5,6,7,8,9,10},$H$6,$H$7,$H$9,$H$10,$H$11,$H$12,$H$13,#REF!,$H$14,$C22),IRR(CHOOSE({1,2,3,4,5,6,7,8,9,10},$I$6,$I$7,$I$9,$I$10,$I$11,$I$12,$I$13,#REF!,$I$14,D$19))),IF($I$7&lt;&gt;0,XIRR(CHOOSE({1,2,3,4,5,6,7,8,9},$I$7,$I$9,$I$10,$I$11,$I$12,$I$13,#REF!,$I$14,D$19),CHOOSE({1,2,3,4,5,6,7,8,9},$H$7,$H$9,$H$10,$H$11,$H$12,$H$13,#REF!,$H$14,$C22),IRR(CHOOSE({1,2,3,4,5,6,7,8,9,10},$I$6,$I$7,$I$9,$I$10,$I$11,$I$12,$I$13,#REF!,$I$14,D$19))),IF($I$9&lt;&gt;0,XIRR(CHOOSE({1,2,3,4,5,6,7,8},$I$9,$I$10,$I$11,$I$12,$I$13,#REF!,$I$14,D$19),CHOOSE({1,2,3,4,5,6,7,8},$H$9,$H$10,$H$11,$H$12,$H$13,#REF!,$H$14,$C22),IRR(CHOOSE({1,2,3,4,5,6,7,8,9,10},$I$6,$I$7,$I$9,$I$10,$I$11,$I$12,$I$13,#REF!,$I$14,D$19))),IF($I$10&lt;&gt;0,XIRR(CHOOSE({1,2,3,4,5,6,7},$I$10,$I$11,$I$12,$I$13,#REF!,$I$14,D$19),CHOOSE({1,2,3,4,5,6,7},$H$10,$H$11,$H$12,$H$13,#REF!,$H$14,$C22),IRR(CHOOSE({1,2,3,4,5,6,7,8,9,10},$I$6,$I$7,$I$9,$I$10,$I$11,$I$12,$I$13,#REF!,$I$14,D$19))),IF($I$11&lt;&gt;0,XIRR(CHOOSE({1,2,3,4,5,6},$I$11,$I$12,$I$13,#REF!,$I$14,D$19),CHOOSE({1,2,3,4,5,6},$H$11,$H$12,$H$13,#REF!,$H$14,$C22),IRR(CHOOSE({1,2,3,4,5,6,7,8,9,10},$I$6,$I$7,$I$9,$I$10,$I$11,$I$12,$I$13,#REF!,$I$14,D$19))),IF($I$12&lt;&gt;0,XIRR(CHOOSE({1,2,3,4,5},$I$12,$I$13,#REF!,$I$14,D$19),CHOOSE({1,2,3,4,5},$H$12,$H$13,#REF!,$H$14,$C22),IRR(CHOOSE({1,2,3,4,5,6,7,8,9,10},$I$6,$I$7,$I$9,$I$10,$I$11,$I$12,$I$13,#REF!,$I$14,D$19))),IF($I$13&lt;&gt;0,XIRR(CHOOSE({1,2,3,4},$I$13,#REF!,$I$14,D$19),CHOOSE({1,2,3,4},$H$13,#REF!,$H$14,$C22),IRR(CHOOSE({1,2,3,4,5,6,7,8,9,10},$I$6,$I$7,$I$9,$I$10,$I$11,$I$12,$I$13,#REF!,$I$14,D$19))),IF(#REF!&lt;&gt;0,XIRR(CHOOSE({1,2,3},#REF!,$I$14,D$19),CHOOSE({1,2,3},#REF!,$H$14,$C22),IRR(CHOOSE({1,2,3,4,5,6,7,8,9,10},$I$6,$I$7,$I$9,$I$10,$I$11,$I$12,$I$13,#REF!,$I$14,D$19))),IF($I$14&lt;&gt;0,XIRR(CHOOSE({1,2},$I$14,D$19),CHOOSE({1,2},$H$14,$C22)))))))))))),"Negative")</f>
        <v>Negative</v>
      </c>
      <c r="E22" s="769" t="str">
        <f>IFERROR(IF(IF($I$6&lt;&gt;0,XIRR(CHOOSE({1,2,3,4,5,6,7,8,9,10},$I$6,$I$7,$I$9,$I$10,$I$11,$I$12,$I$13,#REF!,$I$14,E$19),CHOOSE({1,2,3,4,5,6,7,8,9,10},$H$6,$H$7,$H$9,$H$10,$H$11,$H$12,$H$13,#REF!,$H$14,$C22),IRR(CHOOSE({1,2,3,4,5,6,7,8,9,10},$I$6,$I$7,$I$9,$I$10,$I$11,$I$12,$I$13,#REF!,$I$14,E$19))),IF($I$7&lt;&gt;0,XIRR(CHOOSE({1,2,3,4,5,6,7,8,9},$I$7,$I$9,$I$10,$I$11,$I$12,$I$13,#REF!,$I$14,E$19),CHOOSE({1,2,3,4,5,6,7,8,9},$H$7,$H$9,$H$10,$H$11,$H$12,$H$13,#REF!,$H$14,$C22),IRR(CHOOSE({1,2,3,4,5,6,7,8,9,10},$I$6,$I$7,$I$9,$I$10,$I$11,$I$12,$I$13,#REF!,$I$14,E$19))),IF($I$9&lt;&gt;0,XIRR(CHOOSE({1,2,3,4,5,6,7,8},$I$9,$I$10,$I$11,$I$12,$I$13,#REF!,$I$14,E$19),CHOOSE({1,2,3,4,5,6,7,8},$H$9,$H$10,$H$11,$H$12,$H$13,#REF!,$H$14,$C22),IRR(CHOOSE({1,2,3,4,5,6,7,8,9,10},$I$6,$I$7,$I$9,$I$10,$I$11,$I$12,$I$13,#REF!,$I$14,E$19))),IF($I$10&lt;&gt;0,XIRR(CHOOSE({1,2,3,4,5,6,7},$I$10,$I$11,$I$12,$I$13,#REF!,$I$14,E$19),CHOOSE({1,2,3,4,5,6,7},$H$10,$H$11,$H$12,$H$13,#REF!,$H$14,$C22),IRR(CHOOSE({1,2,3,4,5,6,7,8,9,10},$I$6,$I$7,$I$9,$I$10,$I$11,$I$12,$I$13,#REF!,$I$14,E$19))),IF($I$11&lt;&gt;0,XIRR(CHOOSE({1,2,3,4,5,6},$I$11,$I$12,$I$13,#REF!,$I$14,E$19),CHOOSE({1,2,3,4,5,6},$H$11,$H$12,$H$13,#REF!,$H$14,$C22),IRR(CHOOSE({1,2,3,4,5,6,7,8,9,10},$I$6,$I$7,$I$9,$I$10,$I$11,$I$12,$I$13,#REF!,$I$14,E$19))),IF($I$12&lt;&gt;0,XIRR(CHOOSE({1,2,3,4,5},$I$12,$I$13,#REF!,$I$14,E$19),CHOOSE({1,2,3,4,5},$H$12,$H$13,#REF!,$H$14,$C22),IRR(CHOOSE({1,2,3,4,5,6,7,8,9,10},$I$6,$I$7,$I$9,$I$10,$I$11,$I$12,$I$13,#REF!,$I$14,E$19))),IF($I$13&lt;&gt;0,XIRR(CHOOSE({1,2,3,4},$I$13,#REF!,$I$14,E$19),CHOOSE({1,2,3,4},$H$13,#REF!,$H$14,$C22),IRR(CHOOSE({1,2,3,4,5,6,7,8,9,10},$I$6,$I$7,$I$9,$I$10,$I$11,$I$12,$I$13,#REF!,$I$14,E$19))),IF(#REF!&lt;&gt;0,XIRR(CHOOSE({1,2,3},#REF!,$I$14,E$19),CHOOSE({1,2,3},#REF!,$H$14,$C22),IRR(CHOOSE({1,2,3,4,5,6,7,8,9,10},$I$6,$I$7,$I$9,$I$10,$I$11,$I$12,$I$13,#REF!,$I$14,E$19))),IF($I$14&lt;&gt;0,XIRR(CHOOSE({1,2},$I$14,E$19),CHOOSE({1,2},$H$14,$C22)))))))))))&lt;0,"Negative",IF($I$6&lt;&gt;0,XIRR(CHOOSE({1,2,3,4,5,6,7,8,9,10},$I$6,$I$7,$I$9,$I$10,$I$11,$I$12,$I$13,#REF!,$I$14,E$19),CHOOSE({1,2,3,4,5,6,7,8,9,10},$H$6,$H$7,$H$9,$H$10,$H$11,$H$12,$H$13,#REF!,$H$14,$C22),IRR(CHOOSE({1,2,3,4,5,6,7,8,9,10},$I$6,$I$7,$I$9,$I$10,$I$11,$I$12,$I$13,#REF!,$I$14,E$19))),IF($I$7&lt;&gt;0,XIRR(CHOOSE({1,2,3,4,5,6,7,8,9},$I$7,$I$9,$I$10,$I$11,$I$12,$I$13,#REF!,$I$14,E$19),CHOOSE({1,2,3,4,5,6,7,8,9},$H$7,$H$9,$H$10,$H$11,$H$12,$H$13,#REF!,$H$14,$C22),IRR(CHOOSE({1,2,3,4,5,6,7,8,9,10},$I$6,$I$7,$I$9,$I$10,$I$11,$I$12,$I$13,#REF!,$I$14,E$19))),IF($I$9&lt;&gt;0,XIRR(CHOOSE({1,2,3,4,5,6,7,8},$I$9,$I$10,$I$11,$I$12,$I$13,#REF!,$I$14,E$19),CHOOSE({1,2,3,4,5,6,7,8},$H$9,$H$10,$H$11,$H$12,$H$13,#REF!,$H$14,$C22),IRR(CHOOSE({1,2,3,4,5,6,7,8,9,10},$I$6,$I$7,$I$9,$I$10,$I$11,$I$12,$I$13,#REF!,$I$14,E$19))),IF($I$10&lt;&gt;0,XIRR(CHOOSE({1,2,3,4,5,6,7},$I$10,$I$11,$I$12,$I$13,#REF!,$I$14,E$19),CHOOSE({1,2,3,4,5,6,7},$H$10,$H$11,$H$12,$H$13,#REF!,$H$14,$C22),IRR(CHOOSE({1,2,3,4,5,6,7,8,9,10},$I$6,$I$7,$I$9,$I$10,$I$11,$I$12,$I$13,#REF!,$I$14,E$19))),IF($I$11&lt;&gt;0,XIRR(CHOOSE({1,2,3,4,5,6},$I$11,$I$12,$I$13,#REF!,$I$14,E$19),CHOOSE({1,2,3,4,5,6},$H$11,$H$12,$H$13,#REF!,$H$14,$C22),IRR(CHOOSE({1,2,3,4,5,6,7,8,9,10},$I$6,$I$7,$I$9,$I$10,$I$11,$I$12,$I$13,#REF!,$I$14,E$19))),IF($I$12&lt;&gt;0,XIRR(CHOOSE({1,2,3,4,5},$I$12,$I$13,#REF!,$I$14,E$19),CHOOSE({1,2,3,4,5},$H$12,$H$13,#REF!,$H$14,$C22),IRR(CHOOSE({1,2,3,4,5,6,7,8,9,10},$I$6,$I$7,$I$9,$I$10,$I$11,$I$12,$I$13,#REF!,$I$14,E$19))),IF($I$13&lt;&gt;0,XIRR(CHOOSE({1,2,3,4},$I$13,#REF!,$I$14,E$19),CHOOSE({1,2,3,4},$H$13,#REF!,$H$14,$C22),IRR(CHOOSE({1,2,3,4,5,6,7,8,9,10},$I$6,$I$7,$I$9,$I$10,$I$11,$I$12,$I$13,#REF!,$I$14,E$19))),IF(#REF!&lt;&gt;0,XIRR(CHOOSE({1,2,3},#REF!,$I$14,E$19),CHOOSE({1,2,3},#REF!,$H$14,$C22),IRR(CHOOSE({1,2,3,4,5,6,7,8,9,10},$I$6,$I$7,$I$9,$I$10,$I$11,$I$12,$I$13,#REF!,$I$14,E$19))),IF($I$14&lt;&gt;0,XIRR(CHOOSE({1,2},$I$14,E$19),CHOOSE({1,2},$H$14,$C22)))))))))))),"Negative")</f>
        <v>Negative</v>
      </c>
      <c r="F22" s="769" t="str">
        <f>IFERROR(IF(IF($I$6&lt;&gt;0,XIRR(CHOOSE({1,2,3,4,5,6,7,8,9,10},$I$6,$I$7,$I$9,$I$10,$I$11,$I$12,$I$13,#REF!,$I$14,F$19),CHOOSE({1,2,3,4,5,6,7,8,9,10},$H$6,$H$7,$H$9,$H$10,$H$11,$H$12,$H$13,#REF!,$H$14,$C22),IRR(CHOOSE({1,2,3,4,5,6,7,8,9,10},$I$6,$I$7,$I$9,$I$10,$I$11,$I$12,$I$13,#REF!,$I$14,F$19))),IF($I$7&lt;&gt;0,XIRR(CHOOSE({1,2,3,4,5,6,7,8,9},$I$7,$I$9,$I$10,$I$11,$I$12,$I$13,#REF!,$I$14,F$19),CHOOSE({1,2,3,4,5,6,7,8,9},$H$7,$H$9,$H$10,$H$11,$H$12,$H$13,#REF!,$H$14,$C22),IRR(CHOOSE({1,2,3,4,5,6,7,8,9,10},$I$6,$I$7,$I$9,$I$10,$I$11,$I$12,$I$13,#REF!,$I$14,F$19))),IF($I$9&lt;&gt;0,XIRR(CHOOSE({1,2,3,4,5,6,7,8},$I$9,$I$10,$I$11,$I$12,$I$13,#REF!,$I$14,F$19),CHOOSE({1,2,3,4,5,6,7,8},$H$9,$H$10,$H$11,$H$12,$H$13,#REF!,$H$14,$C22),IRR(CHOOSE({1,2,3,4,5,6,7,8,9,10},$I$6,$I$7,$I$9,$I$10,$I$11,$I$12,$I$13,#REF!,$I$14,F$19))),IF($I$10&lt;&gt;0,XIRR(CHOOSE({1,2,3,4,5,6,7},$I$10,$I$11,$I$12,$I$13,#REF!,$I$14,F$19),CHOOSE({1,2,3,4,5,6,7},$H$10,$H$11,$H$12,$H$13,#REF!,$H$14,$C22),IRR(CHOOSE({1,2,3,4,5,6,7,8,9,10},$I$6,$I$7,$I$9,$I$10,$I$11,$I$12,$I$13,#REF!,$I$14,F$19))),IF($I$11&lt;&gt;0,XIRR(CHOOSE({1,2,3,4,5,6},$I$11,$I$12,$I$13,#REF!,$I$14,F$19),CHOOSE({1,2,3,4,5,6},$H$11,$H$12,$H$13,#REF!,$H$14,$C22),IRR(CHOOSE({1,2,3,4,5,6,7,8,9,10},$I$6,$I$7,$I$9,$I$10,$I$11,$I$12,$I$13,#REF!,$I$14,F$19))),IF($I$12&lt;&gt;0,XIRR(CHOOSE({1,2,3,4,5},$I$12,$I$13,#REF!,$I$14,F$19),CHOOSE({1,2,3,4,5},$H$12,$H$13,#REF!,$H$14,$C22),IRR(CHOOSE({1,2,3,4,5,6,7,8,9,10},$I$6,$I$7,$I$9,$I$10,$I$11,$I$12,$I$13,#REF!,$I$14,F$19))),IF($I$13&lt;&gt;0,XIRR(CHOOSE({1,2,3,4},$I$13,#REF!,$I$14,F$19),CHOOSE({1,2,3,4},$H$13,#REF!,$H$14,$C22),IRR(CHOOSE({1,2,3,4,5,6,7,8,9,10},$I$6,$I$7,$I$9,$I$10,$I$11,$I$12,$I$13,#REF!,$I$14,F$19))),IF(#REF!&lt;&gt;0,XIRR(CHOOSE({1,2,3},#REF!,$I$14,F$19),CHOOSE({1,2,3},#REF!,$H$14,$C22),IRR(CHOOSE({1,2,3,4,5,6,7,8,9,10},$I$6,$I$7,$I$9,$I$10,$I$11,$I$12,$I$13,#REF!,$I$14,F$19))),IF($I$14&lt;&gt;0,XIRR(CHOOSE({1,2},$I$14,F$19),CHOOSE({1,2},$H$14,$C22)))))))))))&lt;0,"Negative",IF($I$6&lt;&gt;0,XIRR(CHOOSE({1,2,3,4,5,6,7,8,9,10},$I$6,$I$7,$I$9,$I$10,$I$11,$I$12,$I$13,#REF!,$I$14,F$19),CHOOSE({1,2,3,4,5,6,7,8,9,10},$H$6,$H$7,$H$9,$H$10,$H$11,$H$12,$H$13,#REF!,$H$14,$C22),IRR(CHOOSE({1,2,3,4,5,6,7,8,9,10},$I$6,$I$7,$I$9,$I$10,$I$11,$I$12,$I$13,#REF!,$I$14,F$19))),IF($I$7&lt;&gt;0,XIRR(CHOOSE({1,2,3,4,5,6,7,8,9},$I$7,$I$9,$I$10,$I$11,$I$12,$I$13,#REF!,$I$14,F$19),CHOOSE({1,2,3,4,5,6,7,8,9},$H$7,$H$9,$H$10,$H$11,$H$12,$H$13,#REF!,$H$14,$C22),IRR(CHOOSE({1,2,3,4,5,6,7,8,9,10},$I$6,$I$7,$I$9,$I$10,$I$11,$I$12,$I$13,#REF!,$I$14,F$19))),IF($I$9&lt;&gt;0,XIRR(CHOOSE({1,2,3,4,5,6,7,8},$I$9,$I$10,$I$11,$I$12,$I$13,#REF!,$I$14,F$19),CHOOSE({1,2,3,4,5,6,7,8},$H$9,$H$10,$H$11,$H$12,$H$13,#REF!,$H$14,$C22),IRR(CHOOSE({1,2,3,4,5,6,7,8,9,10},$I$6,$I$7,$I$9,$I$10,$I$11,$I$12,$I$13,#REF!,$I$14,F$19))),IF($I$10&lt;&gt;0,XIRR(CHOOSE({1,2,3,4,5,6,7},$I$10,$I$11,$I$12,$I$13,#REF!,$I$14,F$19),CHOOSE({1,2,3,4,5,6,7},$H$10,$H$11,$H$12,$H$13,#REF!,$H$14,$C22),IRR(CHOOSE({1,2,3,4,5,6,7,8,9,10},$I$6,$I$7,$I$9,$I$10,$I$11,$I$12,$I$13,#REF!,$I$14,F$19))),IF($I$11&lt;&gt;0,XIRR(CHOOSE({1,2,3,4,5,6},$I$11,$I$12,$I$13,#REF!,$I$14,F$19),CHOOSE({1,2,3,4,5,6},$H$11,$H$12,$H$13,#REF!,$H$14,$C22),IRR(CHOOSE({1,2,3,4,5,6,7,8,9,10},$I$6,$I$7,$I$9,$I$10,$I$11,$I$12,$I$13,#REF!,$I$14,F$19))),IF($I$12&lt;&gt;0,XIRR(CHOOSE({1,2,3,4,5},$I$12,$I$13,#REF!,$I$14,F$19),CHOOSE({1,2,3,4,5},$H$12,$H$13,#REF!,$H$14,$C22),IRR(CHOOSE({1,2,3,4,5,6,7,8,9,10},$I$6,$I$7,$I$9,$I$10,$I$11,$I$12,$I$13,#REF!,$I$14,F$19))),IF($I$13&lt;&gt;0,XIRR(CHOOSE({1,2,3,4},$I$13,#REF!,$I$14,F$19),CHOOSE({1,2,3,4},$H$13,#REF!,$H$14,$C22),IRR(CHOOSE({1,2,3,4,5,6,7,8,9,10},$I$6,$I$7,$I$9,$I$10,$I$11,$I$12,$I$13,#REF!,$I$14,F$19))),IF(#REF!&lt;&gt;0,XIRR(CHOOSE({1,2,3},#REF!,$I$14,F$19),CHOOSE({1,2,3},#REF!,$H$14,$C22),IRR(CHOOSE({1,2,3,4,5,6,7,8,9,10},$I$6,$I$7,$I$9,$I$10,$I$11,$I$12,$I$13,#REF!,$I$14,F$19))),IF($I$14&lt;&gt;0,XIRR(CHOOSE({1,2},$I$14,F$19),CHOOSE({1,2},$H$14,$C22)))))))))))),"Negative")</f>
        <v>Negative</v>
      </c>
      <c r="G22" s="770" t="str">
        <f>IFERROR(IF(IF($I$6&lt;&gt;0,XIRR(CHOOSE({1,2,3,4,5,6,7,8,9,10},$I$6,$I$7,$I$9,$I$10,$I$11,$I$12,$I$13,#REF!,$I$14,G$19),CHOOSE({1,2,3,4,5,6,7,8,9,10},$H$6,$H$7,$H$9,$H$10,$H$11,$H$12,$H$13,#REF!,$H$14,$C22),IRR(CHOOSE({1,2,3,4,5,6,7,8,9,10},$I$6,$I$7,$I$9,$I$10,$I$11,$I$12,$I$13,#REF!,$I$14,G$19))),IF($I$7&lt;&gt;0,XIRR(CHOOSE({1,2,3,4,5,6,7,8,9},$I$7,$I$9,$I$10,$I$11,$I$12,$I$13,#REF!,$I$14,G$19),CHOOSE({1,2,3,4,5,6,7,8,9},$H$7,$H$9,$H$10,$H$11,$H$12,$H$13,#REF!,$H$14,$C22),IRR(CHOOSE({1,2,3,4,5,6,7,8,9,10},$I$6,$I$7,$I$9,$I$10,$I$11,$I$12,$I$13,#REF!,$I$14,G$19))),IF($I$9&lt;&gt;0,XIRR(CHOOSE({1,2,3,4,5,6,7,8},$I$9,$I$10,$I$11,$I$12,$I$13,#REF!,$I$14,G$19),CHOOSE({1,2,3,4,5,6,7,8},$H$9,$H$10,$H$11,$H$12,$H$13,#REF!,$H$14,$C22),IRR(CHOOSE({1,2,3,4,5,6,7,8,9,10},$I$6,$I$7,$I$9,$I$10,$I$11,$I$12,$I$13,#REF!,$I$14,G$19))),IF($I$10&lt;&gt;0,XIRR(CHOOSE({1,2,3,4,5,6,7},$I$10,$I$11,$I$12,$I$13,#REF!,$I$14,G$19),CHOOSE({1,2,3,4,5,6,7},$H$10,$H$11,$H$12,$H$13,#REF!,$H$14,$C22),IRR(CHOOSE({1,2,3,4,5,6,7,8,9,10},$I$6,$I$7,$I$9,$I$10,$I$11,$I$12,$I$13,#REF!,$I$14,G$19))),IF($I$11&lt;&gt;0,XIRR(CHOOSE({1,2,3,4,5,6},$I$11,$I$12,$I$13,#REF!,$I$14,G$19),CHOOSE({1,2,3,4,5,6},$H$11,$H$12,$H$13,#REF!,$H$14,$C22),IRR(CHOOSE({1,2,3,4,5,6,7,8,9,10},$I$6,$I$7,$I$9,$I$10,$I$11,$I$12,$I$13,#REF!,$I$14,G$19))),IF($I$12&lt;&gt;0,XIRR(CHOOSE({1,2,3,4,5},$I$12,$I$13,#REF!,$I$14,G$19),CHOOSE({1,2,3,4,5},$H$12,$H$13,#REF!,$H$14,$C22),IRR(CHOOSE({1,2,3,4,5,6,7,8,9,10},$I$6,$I$7,$I$9,$I$10,$I$11,$I$12,$I$13,#REF!,$I$14,G$19))),IF($I$13&lt;&gt;0,XIRR(CHOOSE({1,2,3,4},$I$13,#REF!,$I$14,G$19),CHOOSE({1,2,3,4},$H$13,#REF!,$H$14,$C22),IRR(CHOOSE({1,2,3,4,5,6,7,8,9,10},$I$6,$I$7,$I$9,$I$10,$I$11,$I$12,$I$13,#REF!,$I$14,G$19))),IF(#REF!&lt;&gt;0,XIRR(CHOOSE({1,2,3},#REF!,$I$14,G$19),CHOOSE({1,2,3},#REF!,$H$14,$C22),IRR(CHOOSE({1,2,3,4,5,6,7,8,9,10},$I$6,$I$7,$I$9,$I$10,$I$11,$I$12,$I$13,#REF!,$I$14,G$19))),IF($I$14&lt;&gt;0,XIRR(CHOOSE({1,2},$I$14,G$19),CHOOSE({1,2},$H$14,$C22)))))))))))&lt;0,"Negative",IF($I$6&lt;&gt;0,XIRR(CHOOSE({1,2,3,4,5,6,7,8,9,10},$I$6,$I$7,$I$9,$I$10,$I$11,$I$12,$I$13,#REF!,$I$14,G$19),CHOOSE({1,2,3,4,5,6,7,8,9,10},$H$6,$H$7,$H$9,$H$10,$H$11,$H$12,$H$13,#REF!,$H$14,$C22),IRR(CHOOSE({1,2,3,4,5,6,7,8,9,10},$I$6,$I$7,$I$9,$I$10,$I$11,$I$12,$I$13,#REF!,$I$14,G$19))),IF($I$7&lt;&gt;0,XIRR(CHOOSE({1,2,3,4,5,6,7,8,9},$I$7,$I$9,$I$10,$I$11,$I$12,$I$13,#REF!,$I$14,G$19),CHOOSE({1,2,3,4,5,6,7,8,9},$H$7,$H$9,$H$10,$H$11,$H$12,$H$13,#REF!,$H$14,$C22),IRR(CHOOSE({1,2,3,4,5,6,7,8,9,10},$I$6,$I$7,$I$9,$I$10,$I$11,$I$12,$I$13,#REF!,$I$14,G$19))),IF($I$9&lt;&gt;0,XIRR(CHOOSE({1,2,3,4,5,6,7,8},$I$9,$I$10,$I$11,$I$12,$I$13,#REF!,$I$14,G$19),CHOOSE({1,2,3,4,5,6,7,8},$H$9,$H$10,$H$11,$H$12,$H$13,#REF!,$H$14,$C22),IRR(CHOOSE({1,2,3,4,5,6,7,8,9,10},$I$6,$I$7,$I$9,$I$10,$I$11,$I$12,$I$13,#REF!,$I$14,G$19))),IF($I$10&lt;&gt;0,XIRR(CHOOSE({1,2,3,4,5,6,7},$I$10,$I$11,$I$12,$I$13,#REF!,$I$14,G$19),CHOOSE({1,2,3,4,5,6,7},$H$10,$H$11,$H$12,$H$13,#REF!,$H$14,$C22),IRR(CHOOSE({1,2,3,4,5,6,7,8,9,10},$I$6,$I$7,$I$9,$I$10,$I$11,$I$12,$I$13,#REF!,$I$14,G$19))),IF($I$11&lt;&gt;0,XIRR(CHOOSE({1,2,3,4,5,6},$I$11,$I$12,$I$13,#REF!,$I$14,G$19),CHOOSE({1,2,3,4,5,6},$H$11,$H$12,$H$13,#REF!,$H$14,$C22),IRR(CHOOSE({1,2,3,4,5,6,7,8,9,10},$I$6,$I$7,$I$9,$I$10,$I$11,$I$12,$I$13,#REF!,$I$14,G$19))),IF($I$12&lt;&gt;0,XIRR(CHOOSE({1,2,3,4,5},$I$12,$I$13,#REF!,$I$14,G$19),CHOOSE({1,2,3,4,5},$H$12,$H$13,#REF!,$H$14,$C22),IRR(CHOOSE({1,2,3,4,5,6,7,8,9,10},$I$6,$I$7,$I$9,$I$10,$I$11,$I$12,$I$13,#REF!,$I$14,G$19))),IF($I$13&lt;&gt;0,XIRR(CHOOSE({1,2,3,4},$I$13,#REF!,$I$14,G$19),CHOOSE({1,2,3,4},$H$13,#REF!,$H$14,$C22),IRR(CHOOSE({1,2,3,4,5,6,7,8,9,10},$I$6,$I$7,$I$9,$I$10,$I$11,$I$12,$I$13,#REF!,$I$14,G$19))),IF(#REF!&lt;&gt;0,XIRR(CHOOSE({1,2,3},#REF!,$I$14,G$19),CHOOSE({1,2,3},#REF!,$H$14,$C22),IRR(CHOOSE({1,2,3,4,5,6,7,8,9,10},$I$6,$I$7,$I$9,$I$10,$I$11,$I$12,$I$13,#REF!,$I$14,G$19))),IF($I$14&lt;&gt;0,XIRR(CHOOSE({1,2},$I$14,G$19),CHOOSE({1,2},$H$14,$C22)))))))))))),"Negative")</f>
        <v>Negative</v>
      </c>
      <c r="H22" s="769" t="str">
        <f>IFERROR(IF(IF($I$6&lt;&gt;0,XIRR(CHOOSE({1,2,3,4,5,6,7,8,9,10},$I$6,$I$7,$I$9,$I$10,$I$11,$I$12,$I$13,#REF!,$I$14,H$19),CHOOSE({1,2,3,4,5,6,7,8,9,10},$H$6,$H$7,$H$9,$H$10,$H$11,$H$12,$H$13,#REF!,$H$14,$C22),IRR(CHOOSE({1,2,3,4,5,6,7,8,9,10},$I$6,$I$7,$I$9,$I$10,$I$11,$I$12,$I$13,#REF!,$I$14,H$19))),IF($I$7&lt;&gt;0,XIRR(CHOOSE({1,2,3,4,5,6,7,8,9},$I$7,$I$9,$I$10,$I$11,$I$12,$I$13,#REF!,$I$14,H$19),CHOOSE({1,2,3,4,5,6,7,8,9},$H$7,$H$9,$H$10,$H$11,$H$12,$H$13,#REF!,$H$14,$C22),IRR(CHOOSE({1,2,3,4,5,6,7,8,9,10},$I$6,$I$7,$I$9,$I$10,$I$11,$I$12,$I$13,#REF!,$I$14,H$19))),IF($I$9&lt;&gt;0,XIRR(CHOOSE({1,2,3,4,5,6,7,8},$I$9,$I$10,$I$11,$I$12,$I$13,#REF!,$I$14,H$19),CHOOSE({1,2,3,4,5,6,7,8},$H$9,$H$10,$H$11,$H$12,$H$13,#REF!,$H$14,$C22),IRR(CHOOSE({1,2,3,4,5,6,7,8,9,10},$I$6,$I$7,$I$9,$I$10,$I$11,$I$12,$I$13,#REF!,$I$14,H$19))),IF($I$10&lt;&gt;0,XIRR(CHOOSE({1,2,3,4,5,6,7},$I$10,$I$11,$I$12,$I$13,#REF!,$I$14,H$19),CHOOSE({1,2,3,4,5,6,7},$H$10,$H$11,$H$12,$H$13,#REF!,$H$14,$C22),IRR(CHOOSE({1,2,3,4,5,6,7,8,9,10},$I$6,$I$7,$I$9,$I$10,$I$11,$I$12,$I$13,#REF!,$I$14,H$19))),IF($I$11&lt;&gt;0,XIRR(CHOOSE({1,2,3,4,5,6},$I$11,$I$12,$I$13,#REF!,$I$14,H$19),CHOOSE({1,2,3,4,5,6},$H$11,$H$12,$H$13,#REF!,$H$14,$C22),IRR(CHOOSE({1,2,3,4,5,6,7,8,9,10},$I$6,$I$7,$I$9,$I$10,$I$11,$I$12,$I$13,#REF!,$I$14,H$19))),IF($I$12&lt;&gt;0,XIRR(CHOOSE({1,2,3,4,5},$I$12,$I$13,#REF!,$I$14,H$19),CHOOSE({1,2,3,4,5},$H$12,$H$13,#REF!,$H$14,$C22),IRR(CHOOSE({1,2,3,4,5,6,7,8,9,10},$I$6,$I$7,$I$9,$I$10,$I$11,$I$12,$I$13,#REF!,$I$14,H$19))),IF($I$13&lt;&gt;0,XIRR(CHOOSE({1,2,3,4},$I$13,#REF!,$I$14,H$19),CHOOSE({1,2,3,4},$H$13,#REF!,$H$14,$C22),IRR(CHOOSE({1,2,3,4,5,6,7,8,9,10},$I$6,$I$7,$I$9,$I$10,$I$11,$I$12,$I$13,#REF!,$I$14,H$19))),IF(#REF!&lt;&gt;0,XIRR(CHOOSE({1,2,3},#REF!,$I$14,H$19),CHOOSE({1,2,3},#REF!,$H$14,$C22),IRR(CHOOSE({1,2,3,4,5,6,7,8,9,10},$I$6,$I$7,$I$9,$I$10,$I$11,$I$12,$I$13,#REF!,$I$14,H$19))),IF($I$14&lt;&gt;0,XIRR(CHOOSE({1,2},$I$14,H$19),CHOOSE({1,2},$H$14,$C22)))))))))))&lt;0,"Negative",IF($I$6&lt;&gt;0,XIRR(CHOOSE({1,2,3,4,5,6,7,8,9,10},$I$6,$I$7,$I$9,$I$10,$I$11,$I$12,$I$13,#REF!,$I$14,H$19),CHOOSE({1,2,3,4,5,6,7,8,9,10},$H$6,$H$7,$H$9,$H$10,$H$11,$H$12,$H$13,#REF!,$H$14,$C22),IRR(CHOOSE({1,2,3,4,5,6,7,8,9,10},$I$6,$I$7,$I$9,$I$10,$I$11,$I$12,$I$13,#REF!,$I$14,H$19))),IF($I$7&lt;&gt;0,XIRR(CHOOSE({1,2,3,4,5,6,7,8,9},$I$7,$I$9,$I$10,$I$11,$I$12,$I$13,#REF!,$I$14,H$19),CHOOSE({1,2,3,4,5,6,7,8,9},$H$7,$H$9,$H$10,$H$11,$H$12,$H$13,#REF!,$H$14,$C22),IRR(CHOOSE({1,2,3,4,5,6,7,8,9,10},$I$6,$I$7,$I$9,$I$10,$I$11,$I$12,$I$13,#REF!,$I$14,H$19))),IF($I$9&lt;&gt;0,XIRR(CHOOSE({1,2,3,4,5,6,7,8},$I$9,$I$10,$I$11,$I$12,$I$13,#REF!,$I$14,H$19),CHOOSE({1,2,3,4,5,6,7,8},$H$9,$H$10,$H$11,$H$12,$H$13,#REF!,$H$14,$C22),IRR(CHOOSE({1,2,3,4,5,6,7,8,9,10},$I$6,$I$7,$I$9,$I$10,$I$11,$I$12,$I$13,#REF!,$I$14,H$19))),IF($I$10&lt;&gt;0,XIRR(CHOOSE({1,2,3,4,5,6,7},$I$10,$I$11,$I$12,$I$13,#REF!,$I$14,H$19),CHOOSE({1,2,3,4,5,6,7},$H$10,$H$11,$H$12,$H$13,#REF!,$H$14,$C22),IRR(CHOOSE({1,2,3,4,5,6,7,8,9,10},$I$6,$I$7,$I$9,$I$10,$I$11,$I$12,$I$13,#REF!,$I$14,H$19))),IF($I$11&lt;&gt;0,XIRR(CHOOSE({1,2,3,4,5,6},$I$11,$I$12,$I$13,#REF!,$I$14,H$19),CHOOSE({1,2,3,4,5,6},$H$11,$H$12,$H$13,#REF!,$H$14,$C22),IRR(CHOOSE({1,2,3,4,5,6,7,8,9,10},$I$6,$I$7,$I$9,$I$10,$I$11,$I$12,$I$13,#REF!,$I$14,H$19))),IF($I$12&lt;&gt;0,XIRR(CHOOSE({1,2,3,4,5},$I$12,$I$13,#REF!,$I$14,H$19),CHOOSE({1,2,3,4,5},$H$12,$H$13,#REF!,$H$14,$C22),IRR(CHOOSE({1,2,3,4,5,6,7,8,9,10},$I$6,$I$7,$I$9,$I$10,$I$11,$I$12,$I$13,#REF!,$I$14,H$19))),IF($I$13&lt;&gt;0,XIRR(CHOOSE({1,2,3,4},$I$13,#REF!,$I$14,H$19),CHOOSE({1,2,3,4},$H$13,#REF!,$H$14,$C22),IRR(CHOOSE({1,2,3,4,5,6,7,8,9,10},$I$6,$I$7,$I$9,$I$10,$I$11,$I$12,$I$13,#REF!,$I$14,H$19))),IF(#REF!&lt;&gt;0,XIRR(CHOOSE({1,2,3},#REF!,$I$14,H$19),CHOOSE({1,2,3},#REF!,$H$14,$C22),IRR(CHOOSE({1,2,3,4,5,6,7,8,9,10},$I$6,$I$7,$I$9,$I$10,$I$11,$I$12,$I$13,#REF!,$I$14,H$19))),IF($I$14&lt;&gt;0,XIRR(CHOOSE({1,2},$I$14,H$19),CHOOSE({1,2},$H$14,$C22)))))))))))),"Negative")</f>
        <v>Negative</v>
      </c>
      <c r="I22" s="772" t="str">
        <f>IFERROR(IF(IF($I$6&lt;&gt;0,XIRR(CHOOSE({1,2,3,4,5,6,7,8,9,10},$I$6,$I$7,$I$9,$I$10,$I$11,$I$12,$I$13,#REF!,$I$14,I$19),CHOOSE({1,2,3,4,5,6,7,8,9,10},$H$6,$H$7,$H$9,$H$10,$H$11,$H$12,$H$13,#REF!,$H$14,$C22),IRR(CHOOSE({1,2,3,4,5,6,7,8,9,10},$I$6,$I$7,$I$9,$I$10,$I$11,$I$12,$I$13,#REF!,$I$14,I$19))),IF($I$7&lt;&gt;0,XIRR(CHOOSE({1,2,3,4,5,6,7,8,9},$I$7,$I$9,$I$10,$I$11,$I$12,$I$13,#REF!,$I$14,I$19),CHOOSE({1,2,3,4,5,6,7,8,9},$H$7,$H$9,$H$10,$H$11,$H$12,$H$13,#REF!,$H$14,$C22),IRR(CHOOSE({1,2,3,4,5,6,7,8,9,10},$I$6,$I$7,$I$9,$I$10,$I$11,$I$12,$I$13,#REF!,$I$14,I$19))),IF($I$9&lt;&gt;0,XIRR(CHOOSE({1,2,3,4,5,6,7,8},$I$9,$I$10,$I$11,$I$12,$I$13,#REF!,$I$14,I$19),CHOOSE({1,2,3,4,5,6,7,8},$H$9,$H$10,$H$11,$H$12,$H$13,#REF!,$H$14,$C22),IRR(CHOOSE({1,2,3,4,5,6,7,8,9,10},$I$6,$I$7,$I$9,$I$10,$I$11,$I$12,$I$13,#REF!,$I$14,I$19))),IF($I$10&lt;&gt;0,XIRR(CHOOSE({1,2,3,4,5,6,7},$I$10,$I$11,$I$12,$I$13,#REF!,$I$14,I$19),CHOOSE({1,2,3,4,5,6,7},$H$10,$H$11,$H$12,$H$13,#REF!,$H$14,$C22),IRR(CHOOSE({1,2,3,4,5,6,7,8,9,10},$I$6,$I$7,$I$9,$I$10,$I$11,$I$12,$I$13,#REF!,$I$14,I$19))),IF($I$11&lt;&gt;0,XIRR(CHOOSE({1,2,3,4,5,6},$I$11,$I$12,$I$13,#REF!,$I$14,I$19),CHOOSE({1,2,3,4,5,6},$H$11,$H$12,$H$13,#REF!,$H$14,$C22),IRR(CHOOSE({1,2,3,4,5,6,7,8,9,10},$I$6,$I$7,$I$9,$I$10,$I$11,$I$12,$I$13,#REF!,$I$14,I$19))),IF($I$12&lt;&gt;0,XIRR(CHOOSE({1,2,3,4,5},$I$12,$I$13,#REF!,$I$14,I$19),CHOOSE({1,2,3,4,5},$H$12,$H$13,#REF!,$H$14,$C22),IRR(CHOOSE({1,2,3,4,5,6,7,8,9,10},$I$6,$I$7,$I$9,$I$10,$I$11,$I$12,$I$13,#REF!,$I$14,I$19))),IF($I$13&lt;&gt;0,XIRR(CHOOSE({1,2,3,4},$I$13,#REF!,$I$14,I$19),CHOOSE({1,2,3,4},$H$13,#REF!,$H$14,$C22),IRR(CHOOSE({1,2,3,4,5,6,7,8,9,10},$I$6,$I$7,$I$9,$I$10,$I$11,$I$12,$I$13,#REF!,$I$14,I$19))),IF(#REF!&lt;&gt;0,XIRR(CHOOSE({1,2,3},#REF!,$I$14,I$19),CHOOSE({1,2,3},#REF!,$H$14,$C22),IRR(CHOOSE({1,2,3,4,5,6,7,8,9,10},$I$6,$I$7,$I$9,$I$10,$I$11,$I$12,$I$13,#REF!,$I$14,I$19))),IF($I$14&lt;&gt;0,XIRR(CHOOSE({1,2},$I$14,I$19),CHOOSE({1,2},$H$14,$C22)))))))))))&lt;0,"Negative",IF($I$6&lt;&gt;0,XIRR(CHOOSE({1,2,3,4,5,6,7,8,9,10},$I$6,$I$7,$I$9,$I$10,$I$11,$I$12,$I$13,#REF!,$I$14,I$19),CHOOSE({1,2,3,4,5,6,7,8,9,10},$H$6,$H$7,$H$9,$H$10,$H$11,$H$12,$H$13,#REF!,$H$14,$C22),IRR(CHOOSE({1,2,3,4,5,6,7,8,9,10},$I$6,$I$7,$I$9,$I$10,$I$11,$I$12,$I$13,#REF!,$I$14,I$19))),IF($I$7&lt;&gt;0,XIRR(CHOOSE({1,2,3,4,5,6,7,8,9},$I$7,$I$9,$I$10,$I$11,$I$12,$I$13,#REF!,$I$14,I$19),CHOOSE({1,2,3,4,5,6,7,8,9},$H$7,$H$9,$H$10,$H$11,$H$12,$H$13,#REF!,$H$14,$C22),IRR(CHOOSE({1,2,3,4,5,6,7,8,9,10},$I$6,$I$7,$I$9,$I$10,$I$11,$I$12,$I$13,#REF!,$I$14,I$19))),IF($I$9&lt;&gt;0,XIRR(CHOOSE({1,2,3,4,5,6,7,8},$I$9,$I$10,$I$11,$I$12,$I$13,#REF!,$I$14,I$19),CHOOSE({1,2,3,4,5,6,7,8},$H$9,$H$10,$H$11,$H$12,$H$13,#REF!,$H$14,$C22),IRR(CHOOSE({1,2,3,4,5,6,7,8,9,10},$I$6,$I$7,$I$9,$I$10,$I$11,$I$12,$I$13,#REF!,$I$14,I$19))),IF($I$10&lt;&gt;0,XIRR(CHOOSE({1,2,3,4,5,6,7},$I$10,$I$11,$I$12,$I$13,#REF!,$I$14,I$19),CHOOSE({1,2,3,4,5,6,7},$H$10,$H$11,$H$12,$H$13,#REF!,$H$14,$C22),IRR(CHOOSE({1,2,3,4,5,6,7,8,9,10},$I$6,$I$7,$I$9,$I$10,$I$11,$I$12,$I$13,#REF!,$I$14,I$19))),IF($I$11&lt;&gt;0,XIRR(CHOOSE({1,2,3,4,5,6},$I$11,$I$12,$I$13,#REF!,$I$14,I$19),CHOOSE({1,2,3,4,5,6},$H$11,$H$12,$H$13,#REF!,$H$14,$C22),IRR(CHOOSE({1,2,3,4,5,6,7,8,9,10},$I$6,$I$7,$I$9,$I$10,$I$11,$I$12,$I$13,#REF!,$I$14,I$19))),IF($I$12&lt;&gt;0,XIRR(CHOOSE({1,2,3,4,5},$I$12,$I$13,#REF!,$I$14,I$19),CHOOSE({1,2,3,4,5},$H$12,$H$13,#REF!,$H$14,$C22),IRR(CHOOSE({1,2,3,4,5,6,7,8,9,10},$I$6,$I$7,$I$9,$I$10,$I$11,$I$12,$I$13,#REF!,$I$14,I$19))),IF($I$13&lt;&gt;0,XIRR(CHOOSE({1,2,3,4},$I$13,#REF!,$I$14,I$19),CHOOSE({1,2,3,4},$H$13,#REF!,$H$14,$C22),IRR(CHOOSE({1,2,3,4,5,6,7,8,9,10},$I$6,$I$7,$I$9,$I$10,$I$11,$I$12,$I$13,#REF!,$I$14,I$19))),IF(#REF!&lt;&gt;0,XIRR(CHOOSE({1,2,3},#REF!,$I$14,I$19),CHOOSE({1,2,3},#REF!,$H$14,$C22),IRR(CHOOSE({1,2,3,4,5,6,7,8,9,10},$I$6,$I$7,$I$9,$I$10,$I$11,$I$12,$I$13,#REF!,$I$14,I$19))),IF($I$14&lt;&gt;0,XIRR(CHOOSE({1,2},$I$14,I$19),CHOOSE({1,2},$H$14,$C22)))))))))))),"Negative")</f>
        <v>Negative</v>
      </c>
      <c r="J22" s="769" t="str">
        <f>IFERROR(IF(IF($I$6&lt;&gt;0,XIRR(CHOOSE({1,2,3,4,5,6,7,8,9,10},$I$6,$I$7,$I$9,$I$10,$I$11,$I$12,$I$13,#REF!,$I$14,J$19),CHOOSE({1,2,3,4,5,6,7,8,9,10},$H$6,$H$7,$H$9,$H$10,$H$11,$H$12,$H$13,#REF!,$H$14,$C22),IRR(CHOOSE({1,2,3,4,5,6,7,8,9,10},$I$6,$I$7,$I$9,$I$10,$I$11,$I$12,$I$13,#REF!,$I$14,J$19))),IF($I$7&lt;&gt;0,XIRR(CHOOSE({1,2,3,4,5,6,7,8,9},$I$7,$I$9,$I$10,$I$11,$I$12,$I$13,#REF!,$I$14,J$19),CHOOSE({1,2,3,4,5,6,7,8,9},$H$7,$H$9,$H$10,$H$11,$H$12,$H$13,#REF!,$H$14,$C22),IRR(CHOOSE({1,2,3,4,5,6,7,8,9,10},$I$6,$I$7,$I$9,$I$10,$I$11,$I$12,$I$13,#REF!,$I$14,J$19))),IF($I$9&lt;&gt;0,XIRR(CHOOSE({1,2,3,4,5,6,7,8},$I$9,$I$10,$I$11,$I$12,$I$13,#REF!,$I$14,J$19),CHOOSE({1,2,3,4,5,6,7,8},$H$9,$H$10,$H$11,$H$12,$H$13,#REF!,$H$14,$C22),IRR(CHOOSE({1,2,3,4,5,6,7,8,9,10},$I$6,$I$7,$I$9,$I$10,$I$11,$I$12,$I$13,#REF!,$I$14,J$19))),IF($I$10&lt;&gt;0,XIRR(CHOOSE({1,2,3,4,5,6,7},$I$10,$I$11,$I$12,$I$13,#REF!,$I$14,J$19),CHOOSE({1,2,3,4,5,6,7},$H$10,$H$11,$H$12,$H$13,#REF!,$H$14,$C22),IRR(CHOOSE({1,2,3,4,5,6,7,8,9,10},$I$6,$I$7,$I$9,$I$10,$I$11,$I$12,$I$13,#REF!,$I$14,J$19))),IF($I$11&lt;&gt;0,XIRR(CHOOSE({1,2,3,4,5,6},$I$11,$I$12,$I$13,#REF!,$I$14,J$19),CHOOSE({1,2,3,4,5,6},$H$11,$H$12,$H$13,#REF!,$H$14,$C22),IRR(CHOOSE({1,2,3,4,5,6,7,8,9,10},$I$6,$I$7,$I$9,$I$10,$I$11,$I$12,$I$13,#REF!,$I$14,J$19))),IF($I$12&lt;&gt;0,XIRR(CHOOSE({1,2,3,4,5},$I$12,$I$13,#REF!,$I$14,J$19),CHOOSE({1,2,3,4,5},$H$12,$H$13,#REF!,$H$14,$C22),IRR(CHOOSE({1,2,3,4,5,6,7,8,9,10},$I$6,$I$7,$I$9,$I$10,$I$11,$I$12,$I$13,#REF!,$I$14,J$19))),IF($I$13&lt;&gt;0,XIRR(CHOOSE({1,2,3,4},$I$13,#REF!,$I$14,J$19),CHOOSE({1,2,3,4},$H$13,#REF!,$H$14,$C22),IRR(CHOOSE({1,2,3,4,5,6,7,8,9,10},$I$6,$I$7,$I$9,$I$10,$I$11,$I$12,$I$13,#REF!,$I$14,J$19))),IF(#REF!&lt;&gt;0,XIRR(CHOOSE({1,2,3},#REF!,$I$14,J$19),CHOOSE({1,2,3},#REF!,$H$14,$C22),IRR(CHOOSE({1,2,3,4,5,6,7,8,9,10},$I$6,$I$7,$I$9,$I$10,$I$11,$I$12,$I$13,#REF!,$I$14,J$19))),IF($I$14&lt;&gt;0,XIRR(CHOOSE({1,2},$I$14,J$19),CHOOSE({1,2},$H$14,$C22)))))))))))&lt;0,"Negative",IF($I$6&lt;&gt;0,XIRR(CHOOSE({1,2,3,4,5,6,7,8,9,10},$I$6,$I$7,$I$9,$I$10,$I$11,$I$12,$I$13,#REF!,$I$14,J$19),CHOOSE({1,2,3,4,5,6,7,8,9,10},$H$6,$H$7,$H$9,$H$10,$H$11,$H$12,$H$13,#REF!,$H$14,$C22),IRR(CHOOSE({1,2,3,4,5,6,7,8,9,10},$I$6,$I$7,$I$9,$I$10,$I$11,$I$12,$I$13,#REF!,$I$14,J$19))),IF($I$7&lt;&gt;0,XIRR(CHOOSE({1,2,3,4,5,6,7,8,9},$I$7,$I$9,$I$10,$I$11,$I$12,$I$13,#REF!,$I$14,J$19),CHOOSE({1,2,3,4,5,6,7,8,9},$H$7,$H$9,$H$10,$H$11,$H$12,$H$13,#REF!,$H$14,$C22),IRR(CHOOSE({1,2,3,4,5,6,7,8,9,10},$I$6,$I$7,$I$9,$I$10,$I$11,$I$12,$I$13,#REF!,$I$14,J$19))),IF($I$9&lt;&gt;0,XIRR(CHOOSE({1,2,3,4,5,6,7,8},$I$9,$I$10,$I$11,$I$12,$I$13,#REF!,$I$14,J$19),CHOOSE({1,2,3,4,5,6,7,8},$H$9,$H$10,$H$11,$H$12,$H$13,#REF!,$H$14,$C22),IRR(CHOOSE({1,2,3,4,5,6,7,8,9,10},$I$6,$I$7,$I$9,$I$10,$I$11,$I$12,$I$13,#REF!,$I$14,J$19))),IF($I$10&lt;&gt;0,XIRR(CHOOSE({1,2,3,4,5,6,7},$I$10,$I$11,$I$12,$I$13,#REF!,$I$14,J$19),CHOOSE({1,2,3,4,5,6,7},$H$10,$H$11,$H$12,$H$13,#REF!,$H$14,$C22),IRR(CHOOSE({1,2,3,4,5,6,7,8,9,10},$I$6,$I$7,$I$9,$I$10,$I$11,$I$12,$I$13,#REF!,$I$14,J$19))),IF($I$11&lt;&gt;0,XIRR(CHOOSE({1,2,3,4,5,6},$I$11,$I$12,$I$13,#REF!,$I$14,J$19),CHOOSE({1,2,3,4,5,6},$H$11,$H$12,$H$13,#REF!,$H$14,$C22),IRR(CHOOSE({1,2,3,4,5,6,7,8,9,10},$I$6,$I$7,$I$9,$I$10,$I$11,$I$12,$I$13,#REF!,$I$14,J$19))),IF($I$12&lt;&gt;0,XIRR(CHOOSE({1,2,3,4,5},$I$12,$I$13,#REF!,$I$14,J$19),CHOOSE({1,2,3,4,5},$H$12,$H$13,#REF!,$H$14,$C22),IRR(CHOOSE({1,2,3,4,5,6,7,8,9,10},$I$6,$I$7,$I$9,$I$10,$I$11,$I$12,$I$13,#REF!,$I$14,J$19))),IF($I$13&lt;&gt;0,XIRR(CHOOSE({1,2,3,4},$I$13,#REF!,$I$14,J$19),CHOOSE({1,2,3,4},$H$13,#REF!,$H$14,$C22),IRR(CHOOSE({1,2,3,4,5,6,7,8,9,10},$I$6,$I$7,$I$9,$I$10,$I$11,$I$12,$I$13,#REF!,$I$14,J$19))),IF(#REF!&lt;&gt;0,XIRR(CHOOSE({1,2,3},#REF!,$I$14,J$19),CHOOSE({1,2,3},#REF!,$H$14,$C22),IRR(CHOOSE({1,2,3,4,5,6,7,8,9,10},$I$6,$I$7,$I$9,$I$10,$I$11,$I$12,$I$13,#REF!,$I$14,J$19))),IF($I$14&lt;&gt;0,XIRR(CHOOSE({1,2},$I$14,J$19),CHOOSE({1,2},$H$14,$C22)))))))))))),"Negative")</f>
        <v>Negative</v>
      </c>
      <c r="K22" s="769" t="str">
        <f>IFERROR(IF(IF($I$6&lt;&gt;0,XIRR(CHOOSE({1,2,3,4,5,6,7,8,9,10},$I$6,$I$7,$I$9,$I$10,$I$11,$I$12,$I$13,#REF!,$I$14,K$19),CHOOSE({1,2,3,4,5,6,7,8,9,10},$H$6,$H$7,$H$9,$H$10,$H$11,$H$12,$H$13,#REF!,$H$14,$C22),IRR(CHOOSE({1,2,3,4,5,6,7,8,9,10},$I$6,$I$7,$I$9,$I$10,$I$11,$I$12,$I$13,#REF!,$I$14,K$19))),IF($I$7&lt;&gt;0,XIRR(CHOOSE({1,2,3,4,5,6,7,8,9},$I$7,$I$9,$I$10,$I$11,$I$12,$I$13,#REF!,$I$14,K$19),CHOOSE({1,2,3,4,5,6,7,8,9},$H$7,$H$9,$H$10,$H$11,$H$12,$H$13,#REF!,$H$14,$C22),IRR(CHOOSE({1,2,3,4,5,6,7,8,9,10},$I$6,$I$7,$I$9,$I$10,$I$11,$I$12,$I$13,#REF!,$I$14,K$19))),IF($I$9&lt;&gt;0,XIRR(CHOOSE({1,2,3,4,5,6,7,8},$I$9,$I$10,$I$11,$I$12,$I$13,#REF!,$I$14,K$19),CHOOSE({1,2,3,4,5,6,7,8},$H$9,$H$10,$H$11,$H$12,$H$13,#REF!,$H$14,$C22),IRR(CHOOSE({1,2,3,4,5,6,7,8,9,10},$I$6,$I$7,$I$9,$I$10,$I$11,$I$12,$I$13,#REF!,$I$14,K$19))),IF($I$10&lt;&gt;0,XIRR(CHOOSE({1,2,3,4,5,6,7},$I$10,$I$11,$I$12,$I$13,#REF!,$I$14,K$19),CHOOSE({1,2,3,4,5,6,7},$H$10,$H$11,$H$12,$H$13,#REF!,$H$14,$C22),IRR(CHOOSE({1,2,3,4,5,6,7,8,9,10},$I$6,$I$7,$I$9,$I$10,$I$11,$I$12,$I$13,#REF!,$I$14,K$19))),IF($I$11&lt;&gt;0,XIRR(CHOOSE({1,2,3,4,5,6},$I$11,$I$12,$I$13,#REF!,$I$14,K$19),CHOOSE({1,2,3,4,5,6},$H$11,$H$12,$H$13,#REF!,$H$14,$C22),IRR(CHOOSE({1,2,3,4,5,6,7,8,9,10},$I$6,$I$7,$I$9,$I$10,$I$11,$I$12,$I$13,#REF!,$I$14,K$19))),IF($I$12&lt;&gt;0,XIRR(CHOOSE({1,2,3,4,5},$I$12,$I$13,#REF!,$I$14,K$19),CHOOSE({1,2,3,4,5},$H$12,$H$13,#REF!,$H$14,$C22),IRR(CHOOSE({1,2,3,4,5,6,7,8,9,10},$I$6,$I$7,$I$9,$I$10,$I$11,$I$12,$I$13,#REF!,$I$14,K$19))),IF($I$13&lt;&gt;0,XIRR(CHOOSE({1,2,3,4},$I$13,#REF!,$I$14,K$19),CHOOSE({1,2,3,4},$H$13,#REF!,$H$14,$C22),IRR(CHOOSE({1,2,3,4,5,6,7,8,9,10},$I$6,$I$7,$I$9,$I$10,$I$11,$I$12,$I$13,#REF!,$I$14,K$19))),IF(#REF!&lt;&gt;0,XIRR(CHOOSE({1,2,3},#REF!,$I$14,K$19),CHOOSE({1,2,3},#REF!,$H$14,$C22),IRR(CHOOSE({1,2,3,4,5,6,7,8,9,10},$I$6,$I$7,$I$9,$I$10,$I$11,$I$12,$I$13,#REF!,$I$14,K$19))),IF($I$14&lt;&gt;0,XIRR(CHOOSE({1,2},$I$14,K$19),CHOOSE({1,2},$H$14,$C22)))))))))))&lt;0,"Negative",IF($I$6&lt;&gt;0,XIRR(CHOOSE({1,2,3,4,5,6,7,8,9,10},$I$6,$I$7,$I$9,$I$10,$I$11,$I$12,$I$13,#REF!,$I$14,K$19),CHOOSE({1,2,3,4,5,6,7,8,9,10},$H$6,$H$7,$H$9,$H$10,$H$11,$H$12,$H$13,#REF!,$H$14,$C22),IRR(CHOOSE({1,2,3,4,5,6,7,8,9,10},$I$6,$I$7,$I$9,$I$10,$I$11,$I$12,$I$13,#REF!,$I$14,K$19))),IF($I$7&lt;&gt;0,XIRR(CHOOSE({1,2,3,4,5,6,7,8,9},$I$7,$I$9,$I$10,$I$11,$I$12,$I$13,#REF!,$I$14,K$19),CHOOSE({1,2,3,4,5,6,7,8,9},$H$7,$H$9,$H$10,$H$11,$H$12,$H$13,#REF!,$H$14,$C22),IRR(CHOOSE({1,2,3,4,5,6,7,8,9,10},$I$6,$I$7,$I$9,$I$10,$I$11,$I$12,$I$13,#REF!,$I$14,K$19))),IF($I$9&lt;&gt;0,XIRR(CHOOSE({1,2,3,4,5,6,7,8},$I$9,$I$10,$I$11,$I$12,$I$13,#REF!,$I$14,K$19),CHOOSE({1,2,3,4,5,6,7,8},$H$9,$H$10,$H$11,$H$12,$H$13,#REF!,$H$14,$C22),IRR(CHOOSE({1,2,3,4,5,6,7,8,9,10},$I$6,$I$7,$I$9,$I$10,$I$11,$I$12,$I$13,#REF!,$I$14,K$19))),IF($I$10&lt;&gt;0,XIRR(CHOOSE({1,2,3,4,5,6,7},$I$10,$I$11,$I$12,$I$13,#REF!,$I$14,K$19),CHOOSE({1,2,3,4,5,6,7},$H$10,$H$11,$H$12,$H$13,#REF!,$H$14,$C22),IRR(CHOOSE({1,2,3,4,5,6,7,8,9,10},$I$6,$I$7,$I$9,$I$10,$I$11,$I$12,$I$13,#REF!,$I$14,K$19))),IF($I$11&lt;&gt;0,XIRR(CHOOSE({1,2,3,4,5,6},$I$11,$I$12,$I$13,#REF!,$I$14,K$19),CHOOSE({1,2,3,4,5,6},$H$11,$H$12,$H$13,#REF!,$H$14,$C22),IRR(CHOOSE({1,2,3,4,5,6,7,8,9,10},$I$6,$I$7,$I$9,$I$10,$I$11,$I$12,$I$13,#REF!,$I$14,K$19))),IF($I$12&lt;&gt;0,XIRR(CHOOSE({1,2,3,4,5},$I$12,$I$13,#REF!,$I$14,K$19),CHOOSE({1,2,3,4,5},$H$12,$H$13,#REF!,$H$14,$C22),IRR(CHOOSE({1,2,3,4,5,6,7,8,9,10},$I$6,$I$7,$I$9,$I$10,$I$11,$I$12,$I$13,#REF!,$I$14,K$19))),IF($I$13&lt;&gt;0,XIRR(CHOOSE({1,2,3,4},$I$13,#REF!,$I$14,K$19),CHOOSE({1,2,3,4},$H$13,#REF!,$H$14,$C22),IRR(CHOOSE({1,2,3,4,5,6,7,8,9,10},$I$6,$I$7,$I$9,$I$10,$I$11,$I$12,$I$13,#REF!,$I$14,K$19))),IF(#REF!&lt;&gt;0,XIRR(CHOOSE({1,2,3},#REF!,$I$14,K$19),CHOOSE({1,2,3},#REF!,$H$14,$C22),IRR(CHOOSE({1,2,3,4,5,6,7,8,9,10},$I$6,$I$7,$I$9,$I$10,$I$11,$I$12,$I$13,#REF!,$I$14,K$19))),IF($I$14&lt;&gt;0,XIRR(CHOOSE({1,2},$I$14,K$19),CHOOSE({1,2},$H$14,$C22)))))))))))),"Negative")</f>
        <v>Negative</v>
      </c>
      <c r="L22" s="769" t="str">
        <f>IFERROR(IF(IF($I$6&lt;&gt;0,XIRR(CHOOSE({1,2,3,4,5,6,7,8,9,10},$I$6,$I$7,$I$9,$I$10,$I$11,$I$12,$I$13,#REF!,$I$14,L$19),CHOOSE({1,2,3,4,5,6,7,8,9,10},$H$6,$H$7,$H$9,$H$10,$H$11,$H$12,$H$13,#REF!,$H$14,$C22),IRR(CHOOSE({1,2,3,4,5,6,7,8,9,10},$I$6,$I$7,$I$9,$I$10,$I$11,$I$12,$I$13,#REF!,$I$14,L$19))),IF($I$7&lt;&gt;0,XIRR(CHOOSE({1,2,3,4,5,6,7,8,9},$I$7,$I$9,$I$10,$I$11,$I$12,$I$13,#REF!,$I$14,L$19),CHOOSE({1,2,3,4,5,6,7,8,9},$H$7,$H$9,$H$10,$H$11,$H$12,$H$13,#REF!,$H$14,$C22),IRR(CHOOSE({1,2,3,4,5,6,7,8,9,10},$I$6,$I$7,$I$9,$I$10,$I$11,$I$12,$I$13,#REF!,$I$14,L$19))),IF($I$9&lt;&gt;0,XIRR(CHOOSE({1,2,3,4,5,6,7,8},$I$9,$I$10,$I$11,$I$12,$I$13,#REF!,$I$14,L$19),CHOOSE({1,2,3,4,5,6,7,8},$H$9,$H$10,$H$11,$H$12,$H$13,#REF!,$H$14,$C22),IRR(CHOOSE({1,2,3,4,5,6,7,8,9,10},$I$6,$I$7,$I$9,$I$10,$I$11,$I$12,$I$13,#REF!,$I$14,L$19))),IF($I$10&lt;&gt;0,XIRR(CHOOSE({1,2,3,4,5,6,7},$I$10,$I$11,$I$12,$I$13,#REF!,$I$14,L$19),CHOOSE({1,2,3,4,5,6,7},$H$10,$H$11,$H$12,$H$13,#REF!,$H$14,$C22),IRR(CHOOSE({1,2,3,4,5,6,7,8,9,10},$I$6,$I$7,$I$9,$I$10,$I$11,$I$12,$I$13,#REF!,$I$14,L$19))),IF($I$11&lt;&gt;0,XIRR(CHOOSE({1,2,3,4,5,6},$I$11,$I$12,$I$13,#REF!,$I$14,L$19),CHOOSE({1,2,3,4,5,6},$H$11,$H$12,$H$13,#REF!,$H$14,$C22),IRR(CHOOSE({1,2,3,4,5,6,7,8,9,10},$I$6,$I$7,$I$9,$I$10,$I$11,$I$12,$I$13,#REF!,$I$14,L$19))),IF($I$12&lt;&gt;0,XIRR(CHOOSE({1,2,3,4,5},$I$12,$I$13,#REF!,$I$14,L$19),CHOOSE({1,2,3,4,5},$H$12,$H$13,#REF!,$H$14,$C22),IRR(CHOOSE({1,2,3,4,5,6,7,8,9,10},$I$6,$I$7,$I$9,$I$10,$I$11,$I$12,$I$13,#REF!,$I$14,L$19))),IF($I$13&lt;&gt;0,XIRR(CHOOSE({1,2,3,4},$I$13,#REF!,$I$14,L$19),CHOOSE({1,2,3,4},$H$13,#REF!,$H$14,$C22),IRR(CHOOSE({1,2,3,4,5,6,7,8,9,10},$I$6,$I$7,$I$9,$I$10,$I$11,$I$12,$I$13,#REF!,$I$14,L$19))),IF(#REF!&lt;&gt;0,XIRR(CHOOSE({1,2,3},#REF!,$I$14,L$19),CHOOSE({1,2,3},#REF!,$H$14,$C22),IRR(CHOOSE({1,2,3,4,5,6,7,8,9,10},$I$6,$I$7,$I$9,$I$10,$I$11,$I$12,$I$13,#REF!,$I$14,L$19))),IF($I$14&lt;&gt;0,XIRR(CHOOSE({1,2},$I$14,L$19),CHOOSE({1,2},$H$14,$C22)))))))))))&lt;0,"Negative",IF($I$6&lt;&gt;0,XIRR(CHOOSE({1,2,3,4,5,6,7,8,9,10},$I$6,$I$7,$I$9,$I$10,$I$11,$I$12,$I$13,#REF!,$I$14,L$19),CHOOSE({1,2,3,4,5,6,7,8,9,10},$H$6,$H$7,$H$9,$H$10,$H$11,$H$12,$H$13,#REF!,$H$14,$C22),IRR(CHOOSE({1,2,3,4,5,6,7,8,9,10},$I$6,$I$7,$I$9,$I$10,$I$11,$I$12,$I$13,#REF!,$I$14,L$19))),IF($I$7&lt;&gt;0,XIRR(CHOOSE({1,2,3,4,5,6,7,8,9},$I$7,$I$9,$I$10,$I$11,$I$12,$I$13,#REF!,$I$14,L$19),CHOOSE({1,2,3,4,5,6,7,8,9},$H$7,$H$9,$H$10,$H$11,$H$12,$H$13,#REF!,$H$14,$C22),IRR(CHOOSE({1,2,3,4,5,6,7,8,9,10},$I$6,$I$7,$I$9,$I$10,$I$11,$I$12,$I$13,#REF!,$I$14,L$19))),IF($I$9&lt;&gt;0,XIRR(CHOOSE({1,2,3,4,5,6,7,8},$I$9,$I$10,$I$11,$I$12,$I$13,#REF!,$I$14,L$19),CHOOSE({1,2,3,4,5,6,7,8},$H$9,$H$10,$H$11,$H$12,$H$13,#REF!,$H$14,$C22),IRR(CHOOSE({1,2,3,4,5,6,7,8,9,10},$I$6,$I$7,$I$9,$I$10,$I$11,$I$12,$I$13,#REF!,$I$14,L$19))),IF($I$10&lt;&gt;0,XIRR(CHOOSE({1,2,3,4,5,6,7},$I$10,$I$11,$I$12,$I$13,#REF!,$I$14,L$19),CHOOSE({1,2,3,4,5,6,7},$H$10,$H$11,$H$12,$H$13,#REF!,$H$14,$C22),IRR(CHOOSE({1,2,3,4,5,6,7,8,9,10},$I$6,$I$7,$I$9,$I$10,$I$11,$I$12,$I$13,#REF!,$I$14,L$19))),IF($I$11&lt;&gt;0,XIRR(CHOOSE({1,2,3,4,5,6},$I$11,$I$12,$I$13,#REF!,$I$14,L$19),CHOOSE({1,2,3,4,5,6},$H$11,$H$12,$H$13,#REF!,$H$14,$C22),IRR(CHOOSE({1,2,3,4,5,6,7,8,9,10},$I$6,$I$7,$I$9,$I$10,$I$11,$I$12,$I$13,#REF!,$I$14,L$19))),IF($I$12&lt;&gt;0,XIRR(CHOOSE({1,2,3,4,5},$I$12,$I$13,#REF!,$I$14,L$19),CHOOSE({1,2,3,4,5},$H$12,$H$13,#REF!,$H$14,$C22),IRR(CHOOSE({1,2,3,4,5,6,7,8,9,10},$I$6,$I$7,$I$9,$I$10,$I$11,$I$12,$I$13,#REF!,$I$14,L$19))),IF($I$13&lt;&gt;0,XIRR(CHOOSE({1,2,3,4},$I$13,#REF!,$I$14,L$19),CHOOSE({1,2,3,4},$H$13,#REF!,$H$14,$C22),IRR(CHOOSE({1,2,3,4,5,6,7,8,9,10},$I$6,$I$7,$I$9,$I$10,$I$11,$I$12,$I$13,#REF!,$I$14,L$19))),IF(#REF!&lt;&gt;0,XIRR(CHOOSE({1,2,3},#REF!,$I$14,L$19),CHOOSE({1,2,3},#REF!,$H$14,$C22),IRR(CHOOSE({1,2,3,4,5,6,7,8,9,10},$I$6,$I$7,$I$9,$I$10,$I$11,$I$12,$I$13,#REF!,$I$14,L$19))),IF($I$14&lt;&gt;0,XIRR(CHOOSE({1,2},$I$14,L$19),CHOOSE({1,2},$H$14,$C22)))))))))))),"Negative")</f>
        <v>Negative</v>
      </c>
      <c r="M22" s="180"/>
      <c r="N22" s="180"/>
      <c r="O22" s="440"/>
      <c r="P22" s="440"/>
      <c r="T22" s="180"/>
    </row>
    <row r="23" spans="1:25" s="3" customFormat="1" outlineLevel="1" x14ac:dyDescent="0.35">
      <c r="A23" s="2"/>
      <c r="B23" s="2"/>
      <c r="C23" s="438">
        <f ca="1">DATE(YEAR(TODAY())+3,12,31)</f>
        <v>47483</v>
      </c>
      <c r="D23" s="769" t="str">
        <f>IFERROR(IF(IF($I$6&lt;&gt;0,XIRR(CHOOSE({1,2,3,4,5,6,7,8,9,10},$I$6,$I$7,$I$9,$I$10,$I$11,$I$12,$I$13,#REF!,$I$14,D$19),CHOOSE({1,2,3,4,5,6,7,8,9,10},$H$6,$H$7,$H$9,$H$10,$H$11,$H$12,$H$13,#REF!,$H$14,$C23),IRR(CHOOSE({1,2,3,4,5,6,7,8,9,10},$I$6,$I$7,$I$9,$I$10,$I$11,$I$12,$I$13,#REF!,$I$14,D$19))),IF($I$7&lt;&gt;0,XIRR(CHOOSE({1,2,3,4,5,6,7,8,9},$I$7,$I$9,$I$10,$I$11,$I$12,$I$13,#REF!,$I$14,D$19),CHOOSE({1,2,3,4,5,6,7,8,9},$H$7,$H$9,$H$10,$H$11,$H$12,$H$13,#REF!,$H$14,$C23),IRR(CHOOSE({1,2,3,4,5,6,7,8,9,10},$I$6,$I$7,$I$9,$I$10,$I$11,$I$12,$I$13,#REF!,$I$14,D$19))),IF($I$9&lt;&gt;0,XIRR(CHOOSE({1,2,3,4,5,6,7,8},$I$9,$I$10,$I$11,$I$12,$I$13,#REF!,$I$14,D$19),CHOOSE({1,2,3,4,5,6,7,8},$H$9,$H$10,$H$11,$H$12,$H$13,#REF!,$H$14,$C23),IRR(CHOOSE({1,2,3,4,5,6,7,8,9,10},$I$6,$I$7,$I$9,$I$10,$I$11,$I$12,$I$13,#REF!,$I$14,D$19))),IF($I$10&lt;&gt;0,XIRR(CHOOSE({1,2,3,4,5,6,7},$I$10,$I$11,$I$12,$I$13,#REF!,$I$14,D$19),CHOOSE({1,2,3,4,5,6,7},$H$10,$H$11,$H$12,$H$13,#REF!,$H$14,$C23),IRR(CHOOSE({1,2,3,4,5,6,7,8,9,10},$I$6,$I$7,$I$9,$I$10,$I$11,$I$12,$I$13,#REF!,$I$14,D$19))),IF($I$11&lt;&gt;0,XIRR(CHOOSE({1,2,3,4,5,6},$I$11,$I$12,$I$13,#REF!,$I$14,D$19),CHOOSE({1,2,3,4,5,6},$H$11,$H$12,$H$13,#REF!,$H$14,$C23),IRR(CHOOSE({1,2,3,4,5,6,7,8,9,10},$I$6,$I$7,$I$9,$I$10,$I$11,$I$12,$I$13,#REF!,$I$14,D$19))),IF($I$12&lt;&gt;0,XIRR(CHOOSE({1,2,3,4,5},$I$12,$I$13,#REF!,$I$14,D$19),CHOOSE({1,2,3,4,5},$H$12,$H$13,#REF!,$H$14,$C23),IRR(CHOOSE({1,2,3,4,5,6,7,8,9,10},$I$6,$I$7,$I$9,$I$10,$I$11,$I$12,$I$13,#REF!,$I$14,D$19))),IF($I$13&lt;&gt;0,XIRR(CHOOSE({1,2,3,4},$I$13,#REF!,$I$14,D$19),CHOOSE({1,2,3,4},$H$13,#REF!,$H$14,$C23),IRR(CHOOSE({1,2,3,4,5,6,7,8,9,10},$I$6,$I$7,$I$9,$I$10,$I$11,$I$12,$I$13,#REF!,$I$14,D$19))),IF(#REF!&lt;&gt;0,XIRR(CHOOSE({1,2,3},#REF!,$I$14,D$19),CHOOSE({1,2,3},#REF!,$H$14,$C23),IRR(CHOOSE({1,2,3,4,5,6,7,8,9,10},$I$6,$I$7,$I$9,$I$10,$I$11,$I$12,$I$13,#REF!,$I$14,D$19))),IF($I$14&lt;&gt;0,XIRR(CHOOSE({1,2},$I$14,D$19),CHOOSE({1,2},$H$14,$C23)))))))))))&lt;0,"Negative",IF($I$6&lt;&gt;0,XIRR(CHOOSE({1,2,3,4,5,6,7,8,9,10},$I$6,$I$7,$I$9,$I$10,$I$11,$I$12,$I$13,#REF!,$I$14,D$19),CHOOSE({1,2,3,4,5,6,7,8,9,10},$H$6,$H$7,$H$9,$H$10,$H$11,$H$12,$H$13,#REF!,$H$14,$C23),IRR(CHOOSE({1,2,3,4,5,6,7,8,9,10},$I$6,$I$7,$I$9,$I$10,$I$11,$I$12,$I$13,#REF!,$I$14,D$19))),IF($I$7&lt;&gt;0,XIRR(CHOOSE({1,2,3,4,5,6,7,8,9},$I$7,$I$9,$I$10,$I$11,$I$12,$I$13,#REF!,$I$14,D$19),CHOOSE({1,2,3,4,5,6,7,8,9},$H$7,$H$9,$H$10,$H$11,$H$12,$H$13,#REF!,$H$14,$C23),IRR(CHOOSE({1,2,3,4,5,6,7,8,9,10},$I$6,$I$7,$I$9,$I$10,$I$11,$I$12,$I$13,#REF!,$I$14,D$19))),IF($I$9&lt;&gt;0,XIRR(CHOOSE({1,2,3,4,5,6,7,8},$I$9,$I$10,$I$11,$I$12,$I$13,#REF!,$I$14,D$19),CHOOSE({1,2,3,4,5,6,7,8},$H$9,$H$10,$H$11,$H$12,$H$13,#REF!,$H$14,$C23),IRR(CHOOSE({1,2,3,4,5,6,7,8,9,10},$I$6,$I$7,$I$9,$I$10,$I$11,$I$12,$I$13,#REF!,$I$14,D$19))),IF($I$10&lt;&gt;0,XIRR(CHOOSE({1,2,3,4,5,6,7},$I$10,$I$11,$I$12,$I$13,#REF!,$I$14,D$19),CHOOSE({1,2,3,4,5,6,7},$H$10,$H$11,$H$12,$H$13,#REF!,$H$14,$C23),IRR(CHOOSE({1,2,3,4,5,6,7,8,9,10},$I$6,$I$7,$I$9,$I$10,$I$11,$I$12,$I$13,#REF!,$I$14,D$19))),IF($I$11&lt;&gt;0,XIRR(CHOOSE({1,2,3,4,5,6},$I$11,$I$12,$I$13,#REF!,$I$14,D$19),CHOOSE({1,2,3,4,5,6},$H$11,$H$12,$H$13,#REF!,$H$14,$C23),IRR(CHOOSE({1,2,3,4,5,6,7,8,9,10},$I$6,$I$7,$I$9,$I$10,$I$11,$I$12,$I$13,#REF!,$I$14,D$19))),IF($I$12&lt;&gt;0,XIRR(CHOOSE({1,2,3,4,5},$I$12,$I$13,#REF!,$I$14,D$19),CHOOSE({1,2,3,4,5},$H$12,$H$13,#REF!,$H$14,$C23),IRR(CHOOSE({1,2,3,4,5,6,7,8,9,10},$I$6,$I$7,$I$9,$I$10,$I$11,$I$12,$I$13,#REF!,$I$14,D$19))),IF($I$13&lt;&gt;0,XIRR(CHOOSE({1,2,3,4},$I$13,#REF!,$I$14,D$19),CHOOSE({1,2,3,4},$H$13,#REF!,$H$14,$C23),IRR(CHOOSE({1,2,3,4,5,6,7,8,9,10},$I$6,$I$7,$I$9,$I$10,$I$11,$I$12,$I$13,#REF!,$I$14,D$19))),IF(#REF!&lt;&gt;0,XIRR(CHOOSE({1,2,3},#REF!,$I$14,D$19),CHOOSE({1,2,3},#REF!,$H$14,$C23),IRR(CHOOSE({1,2,3,4,5,6,7,8,9,10},$I$6,$I$7,$I$9,$I$10,$I$11,$I$12,$I$13,#REF!,$I$14,D$19))),IF($I$14&lt;&gt;0,XIRR(CHOOSE({1,2},$I$14,D$19),CHOOSE({1,2},$H$14,$C23)))))))))))),"Negative")</f>
        <v>Negative</v>
      </c>
      <c r="E23" s="769" t="str">
        <f>IFERROR(IF(IF($I$6&lt;&gt;0,XIRR(CHOOSE({1,2,3,4,5,6,7,8,9,10},$I$6,$I$7,$I$9,$I$10,$I$11,$I$12,$I$13,#REF!,$I$14,E$19),CHOOSE({1,2,3,4,5,6,7,8,9,10},$H$6,$H$7,$H$9,$H$10,$H$11,$H$12,$H$13,#REF!,$H$14,$C23),IRR(CHOOSE({1,2,3,4,5,6,7,8,9,10},$I$6,$I$7,$I$9,$I$10,$I$11,$I$12,$I$13,#REF!,$I$14,E$19))),IF($I$7&lt;&gt;0,XIRR(CHOOSE({1,2,3,4,5,6,7,8,9},$I$7,$I$9,$I$10,$I$11,$I$12,$I$13,#REF!,$I$14,E$19),CHOOSE({1,2,3,4,5,6,7,8,9},$H$7,$H$9,$H$10,$H$11,$H$12,$H$13,#REF!,$H$14,$C23),IRR(CHOOSE({1,2,3,4,5,6,7,8,9,10},$I$6,$I$7,$I$9,$I$10,$I$11,$I$12,$I$13,#REF!,$I$14,E$19))),IF($I$9&lt;&gt;0,XIRR(CHOOSE({1,2,3,4,5,6,7,8},$I$9,$I$10,$I$11,$I$12,$I$13,#REF!,$I$14,E$19),CHOOSE({1,2,3,4,5,6,7,8},$H$9,$H$10,$H$11,$H$12,$H$13,#REF!,$H$14,$C23),IRR(CHOOSE({1,2,3,4,5,6,7,8,9,10},$I$6,$I$7,$I$9,$I$10,$I$11,$I$12,$I$13,#REF!,$I$14,E$19))),IF($I$10&lt;&gt;0,XIRR(CHOOSE({1,2,3,4,5,6,7},$I$10,$I$11,$I$12,$I$13,#REF!,$I$14,E$19),CHOOSE({1,2,3,4,5,6,7},$H$10,$H$11,$H$12,$H$13,#REF!,$H$14,$C23),IRR(CHOOSE({1,2,3,4,5,6,7,8,9,10},$I$6,$I$7,$I$9,$I$10,$I$11,$I$12,$I$13,#REF!,$I$14,E$19))),IF($I$11&lt;&gt;0,XIRR(CHOOSE({1,2,3,4,5,6},$I$11,$I$12,$I$13,#REF!,$I$14,E$19),CHOOSE({1,2,3,4,5,6},$H$11,$H$12,$H$13,#REF!,$H$14,$C23),IRR(CHOOSE({1,2,3,4,5,6,7,8,9,10},$I$6,$I$7,$I$9,$I$10,$I$11,$I$12,$I$13,#REF!,$I$14,E$19))),IF($I$12&lt;&gt;0,XIRR(CHOOSE({1,2,3,4,5},$I$12,$I$13,#REF!,$I$14,E$19),CHOOSE({1,2,3,4,5},$H$12,$H$13,#REF!,$H$14,$C23),IRR(CHOOSE({1,2,3,4,5,6,7,8,9,10},$I$6,$I$7,$I$9,$I$10,$I$11,$I$12,$I$13,#REF!,$I$14,E$19))),IF($I$13&lt;&gt;0,XIRR(CHOOSE({1,2,3,4},$I$13,#REF!,$I$14,E$19),CHOOSE({1,2,3,4},$H$13,#REF!,$H$14,$C23),IRR(CHOOSE({1,2,3,4,5,6,7,8,9,10},$I$6,$I$7,$I$9,$I$10,$I$11,$I$12,$I$13,#REF!,$I$14,E$19))),IF(#REF!&lt;&gt;0,XIRR(CHOOSE({1,2,3},#REF!,$I$14,E$19),CHOOSE({1,2,3},#REF!,$H$14,$C23),IRR(CHOOSE({1,2,3,4,5,6,7,8,9,10},$I$6,$I$7,$I$9,$I$10,$I$11,$I$12,$I$13,#REF!,$I$14,E$19))),IF($I$14&lt;&gt;0,XIRR(CHOOSE({1,2},$I$14,E$19),CHOOSE({1,2},$H$14,$C23)))))))))))&lt;0,"Negative",IF($I$6&lt;&gt;0,XIRR(CHOOSE({1,2,3,4,5,6,7,8,9,10},$I$6,$I$7,$I$9,$I$10,$I$11,$I$12,$I$13,#REF!,$I$14,E$19),CHOOSE({1,2,3,4,5,6,7,8,9,10},$H$6,$H$7,$H$9,$H$10,$H$11,$H$12,$H$13,#REF!,$H$14,$C23),IRR(CHOOSE({1,2,3,4,5,6,7,8,9,10},$I$6,$I$7,$I$9,$I$10,$I$11,$I$12,$I$13,#REF!,$I$14,E$19))),IF($I$7&lt;&gt;0,XIRR(CHOOSE({1,2,3,4,5,6,7,8,9},$I$7,$I$9,$I$10,$I$11,$I$12,$I$13,#REF!,$I$14,E$19),CHOOSE({1,2,3,4,5,6,7,8,9},$H$7,$H$9,$H$10,$H$11,$H$12,$H$13,#REF!,$H$14,$C23),IRR(CHOOSE({1,2,3,4,5,6,7,8,9,10},$I$6,$I$7,$I$9,$I$10,$I$11,$I$12,$I$13,#REF!,$I$14,E$19))),IF($I$9&lt;&gt;0,XIRR(CHOOSE({1,2,3,4,5,6,7,8},$I$9,$I$10,$I$11,$I$12,$I$13,#REF!,$I$14,E$19),CHOOSE({1,2,3,4,5,6,7,8},$H$9,$H$10,$H$11,$H$12,$H$13,#REF!,$H$14,$C23),IRR(CHOOSE({1,2,3,4,5,6,7,8,9,10},$I$6,$I$7,$I$9,$I$10,$I$11,$I$12,$I$13,#REF!,$I$14,E$19))),IF($I$10&lt;&gt;0,XIRR(CHOOSE({1,2,3,4,5,6,7},$I$10,$I$11,$I$12,$I$13,#REF!,$I$14,E$19),CHOOSE({1,2,3,4,5,6,7},$H$10,$H$11,$H$12,$H$13,#REF!,$H$14,$C23),IRR(CHOOSE({1,2,3,4,5,6,7,8,9,10},$I$6,$I$7,$I$9,$I$10,$I$11,$I$12,$I$13,#REF!,$I$14,E$19))),IF($I$11&lt;&gt;0,XIRR(CHOOSE({1,2,3,4,5,6},$I$11,$I$12,$I$13,#REF!,$I$14,E$19),CHOOSE({1,2,3,4,5,6},$H$11,$H$12,$H$13,#REF!,$H$14,$C23),IRR(CHOOSE({1,2,3,4,5,6,7,8,9,10},$I$6,$I$7,$I$9,$I$10,$I$11,$I$12,$I$13,#REF!,$I$14,E$19))),IF($I$12&lt;&gt;0,XIRR(CHOOSE({1,2,3,4,5},$I$12,$I$13,#REF!,$I$14,E$19),CHOOSE({1,2,3,4,5},$H$12,$H$13,#REF!,$H$14,$C23),IRR(CHOOSE({1,2,3,4,5,6,7,8,9,10},$I$6,$I$7,$I$9,$I$10,$I$11,$I$12,$I$13,#REF!,$I$14,E$19))),IF($I$13&lt;&gt;0,XIRR(CHOOSE({1,2,3,4},$I$13,#REF!,$I$14,E$19),CHOOSE({1,2,3,4},$H$13,#REF!,$H$14,$C23),IRR(CHOOSE({1,2,3,4,5,6,7,8,9,10},$I$6,$I$7,$I$9,$I$10,$I$11,$I$12,$I$13,#REF!,$I$14,E$19))),IF(#REF!&lt;&gt;0,XIRR(CHOOSE({1,2,3},#REF!,$I$14,E$19),CHOOSE({1,2,3},#REF!,$H$14,$C23),IRR(CHOOSE({1,2,3,4,5,6,7,8,9,10},$I$6,$I$7,$I$9,$I$10,$I$11,$I$12,$I$13,#REF!,$I$14,E$19))),IF($I$14&lt;&gt;0,XIRR(CHOOSE({1,2},$I$14,E$19),CHOOSE({1,2},$H$14,$C23)))))))))))),"Negative")</f>
        <v>Negative</v>
      </c>
      <c r="F23" s="769" t="str">
        <f>IFERROR(IF(IF($I$6&lt;&gt;0,XIRR(CHOOSE({1,2,3,4,5,6,7,8,9,10},$I$6,$I$7,$I$9,$I$10,$I$11,$I$12,$I$13,#REF!,$I$14,F$19),CHOOSE({1,2,3,4,5,6,7,8,9,10},$H$6,$H$7,$H$9,$H$10,$H$11,$H$12,$H$13,#REF!,$H$14,$C23),IRR(CHOOSE({1,2,3,4,5,6,7,8,9,10},$I$6,$I$7,$I$9,$I$10,$I$11,$I$12,$I$13,#REF!,$I$14,F$19))),IF($I$7&lt;&gt;0,XIRR(CHOOSE({1,2,3,4,5,6,7,8,9},$I$7,$I$9,$I$10,$I$11,$I$12,$I$13,#REF!,$I$14,F$19),CHOOSE({1,2,3,4,5,6,7,8,9},$H$7,$H$9,$H$10,$H$11,$H$12,$H$13,#REF!,$H$14,$C23),IRR(CHOOSE({1,2,3,4,5,6,7,8,9,10},$I$6,$I$7,$I$9,$I$10,$I$11,$I$12,$I$13,#REF!,$I$14,F$19))),IF($I$9&lt;&gt;0,XIRR(CHOOSE({1,2,3,4,5,6,7,8},$I$9,$I$10,$I$11,$I$12,$I$13,#REF!,$I$14,F$19),CHOOSE({1,2,3,4,5,6,7,8},$H$9,$H$10,$H$11,$H$12,$H$13,#REF!,$H$14,$C23),IRR(CHOOSE({1,2,3,4,5,6,7,8,9,10},$I$6,$I$7,$I$9,$I$10,$I$11,$I$12,$I$13,#REF!,$I$14,F$19))),IF($I$10&lt;&gt;0,XIRR(CHOOSE({1,2,3,4,5,6,7},$I$10,$I$11,$I$12,$I$13,#REF!,$I$14,F$19),CHOOSE({1,2,3,4,5,6,7},$H$10,$H$11,$H$12,$H$13,#REF!,$H$14,$C23),IRR(CHOOSE({1,2,3,4,5,6,7,8,9,10},$I$6,$I$7,$I$9,$I$10,$I$11,$I$12,$I$13,#REF!,$I$14,F$19))),IF($I$11&lt;&gt;0,XIRR(CHOOSE({1,2,3,4,5,6},$I$11,$I$12,$I$13,#REF!,$I$14,F$19),CHOOSE({1,2,3,4,5,6},$H$11,$H$12,$H$13,#REF!,$H$14,$C23),IRR(CHOOSE({1,2,3,4,5,6,7,8,9,10},$I$6,$I$7,$I$9,$I$10,$I$11,$I$12,$I$13,#REF!,$I$14,F$19))),IF($I$12&lt;&gt;0,XIRR(CHOOSE({1,2,3,4,5},$I$12,$I$13,#REF!,$I$14,F$19),CHOOSE({1,2,3,4,5},$H$12,$H$13,#REF!,$H$14,$C23),IRR(CHOOSE({1,2,3,4,5,6,7,8,9,10},$I$6,$I$7,$I$9,$I$10,$I$11,$I$12,$I$13,#REF!,$I$14,F$19))),IF($I$13&lt;&gt;0,XIRR(CHOOSE({1,2,3,4},$I$13,#REF!,$I$14,F$19),CHOOSE({1,2,3,4},$H$13,#REF!,$H$14,$C23),IRR(CHOOSE({1,2,3,4,5,6,7,8,9,10},$I$6,$I$7,$I$9,$I$10,$I$11,$I$12,$I$13,#REF!,$I$14,F$19))),IF(#REF!&lt;&gt;0,XIRR(CHOOSE({1,2,3},#REF!,$I$14,F$19),CHOOSE({1,2,3},#REF!,$H$14,$C23),IRR(CHOOSE({1,2,3,4,5,6,7,8,9,10},$I$6,$I$7,$I$9,$I$10,$I$11,$I$12,$I$13,#REF!,$I$14,F$19))),IF($I$14&lt;&gt;0,XIRR(CHOOSE({1,2},$I$14,F$19),CHOOSE({1,2},$H$14,$C23)))))))))))&lt;0,"Negative",IF($I$6&lt;&gt;0,XIRR(CHOOSE({1,2,3,4,5,6,7,8,9,10},$I$6,$I$7,$I$9,$I$10,$I$11,$I$12,$I$13,#REF!,$I$14,F$19),CHOOSE({1,2,3,4,5,6,7,8,9,10},$H$6,$H$7,$H$9,$H$10,$H$11,$H$12,$H$13,#REF!,$H$14,$C23),IRR(CHOOSE({1,2,3,4,5,6,7,8,9,10},$I$6,$I$7,$I$9,$I$10,$I$11,$I$12,$I$13,#REF!,$I$14,F$19))),IF($I$7&lt;&gt;0,XIRR(CHOOSE({1,2,3,4,5,6,7,8,9},$I$7,$I$9,$I$10,$I$11,$I$12,$I$13,#REF!,$I$14,F$19),CHOOSE({1,2,3,4,5,6,7,8,9},$H$7,$H$9,$H$10,$H$11,$H$12,$H$13,#REF!,$H$14,$C23),IRR(CHOOSE({1,2,3,4,5,6,7,8,9,10},$I$6,$I$7,$I$9,$I$10,$I$11,$I$12,$I$13,#REF!,$I$14,F$19))),IF($I$9&lt;&gt;0,XIRR(CHOOSE({1,2,3,4,5,6,7,8},$I$9,$I$10,$I$11,$I$12,$I$13,#REF!,$I$14,F$19),CHOOSE({1,2,3,4,5,6,7,8},$H$9,$H$10,$H$11,$H$12,$H$13,#REF!,$H$14,$C23),IRR(CHOOSE({1,2,3,4,5,6,7,8,9,10},$I$6,$I$7,$I$9,$I$10,$I$11,$I$12,$I$13,#REF!,$I$14,F$19))),IF($I$10&lt;&gt;0,XIRR(CHOOSE({1,2,3,4,5,6,7},$I$10,$I$11,$I$12,$I$13,#REF!,$I$14,F$19),CHOOSE({1,2,3,4,5,6,7},$H$10,$H$11,$H$12,$H$13,#REF!,$H$14,$C23),IRR(CHOOSE({1,2,3,4,5,6,7,8,9,10},$I$6,$I$7,$I$9,$I$10,$I$11,$I$12,$I$13,#REF!,$I$14,F$19))),IF($I$11&lt;&gt;0,XIRR(CHOOSE({1,2,3,4,5,6},$I$11,$I$12,$I$13,#REF!,$I$14,F$19),CHOOSE({1,2,3,4,5,6},$H$11,$H$12,$H$13,#REF!,$H$14,$C23),IRR(CHOOSE({1,2,3,4,5,6,7,8,9,10},$I$6,$I$7,$I$9,$I$10,$I$11,$I$12,$I$13,#REF!,$I$14,F$19))),IF($I$12&lt;&gt;0,XIRR(CHOOSE({1,2,3,4,5},$I$12,$I$13,#REF!,$I$14,F$19),CHOOSE({1,2,3,4,5},$H$12,$H$13,#REF!,$H$14,$C23),IRR(CHOOSE({1,2,3,4,5,6,7,8,9,10},$I$6,$I$7,$I$9,$I$10,$I$11,$I$12,$I$13,#REF!,$I$14,F$19))),IF($I$13&lt;&gt;0,XIRR(CHOOSE({1,2,3,4},$I$13,#REF!,$I$14,F$19),CHOOSE({1,2,3,4},$H$13,#REF!,$H$14,$C23),IRR(CHOOSE({1,2,3,4,5,6,7,8,9,10},$I$6,$I$7,$I$9,$I$10,$I$11,$I$12,$I$13,#REF!,$I$14,F$19))),IF(#REF!&lt;&gt;0,XIRR(CHOOSE({1,2,3},#REF!,$I$14,F$19),CHOOSE({1,2,3},#REF!,$H$14,$C23),IRR(CHOOSE({1,2,3,4,5,6,7,8,9,10},$I$6,$I$7,$I$9,$I$10,$I$11,$I$12,$I$13,#REF!,$I$14,F$19))),IF($I$14&lt;&gt;0,XIRR(CHOOSE({1,2},$I$14,F$19),CHOOSE({1,2},$H$14,$C23)))))))))))),"Negative")</f>
        <v>Negative</v>
      </c>
      <c r="G23" s="770" t="str">
        <f>IFERROR(IF(IF($I$6&lt;&gt;0,XIRR(CHOOSE({1,2,3,4,5,6,7,8,9,10},$I$6,$I$7,$I$9,$I$10,$I$11,$I$12,$I$13,#REF!,$I$14,G$19),CHOOSE({1,2,3,4,5,6,7,8,9,10},$H$6,$H$7,$H$9,$H$10,$H$11,$H$12,$H$13,#REF!,$H$14,$C23),IRR(CHOOSE({1,2,3,4,5,6,7,8,9,10},$I$6,$I$7,$I$9,$I$10,$I$11,$I$12,$I$13,#REF!,$I$14,G$19))),IF($I$7&lt;&gt;0,XIRR(CHOOSE({1,2,3,4,5,6,7,8,9},$I$7,$I$9,$I$10,$I$11,$I$12,$I$13,#REF!,$I$14,G$19),CHOOSE({1,2,3,4,5,6,7,8,9},$H$7,$H$9,$H$10,$H$11,$H$12,$H$13,#REF!,$H$14,$C23),IRR(CHOOSE({1,2,3,4,5,6,7,8,9,10},$I$6,$I$7,$I$9,$I$10,$I$11,$I$12,$I$13,#REF!,$I$14,G$19))),IF($I$9&lt;&gt;0,XIRR(CHOOSE({1,2,3,4,5,6,7,8},$I$9,$I$10,$I$11,$I$12,$I$13,#REF!,$I$14,G$19),CHOOSE({1,2,3,4,5,6,7,8},$H$9,$H$10,$H$11,$H$12,$H$13,#REF!,$H$14,$C23),IRR(CHOOSE({1,2,3,4,5,6,7,8,9,10},$I$6,$I$7,$I$9,$I$10,$I$11,$I$12,$I$13,#REF!,$I$14,G$19))),IF($I$10&lt;&gt;0,XIRR(CHOOSE({1,2,3,4,5,6,7},$I$10,$I$11,$I$12,$I$13,#REF!,$I$14,G$19),CHOOSE({1,2,3,4,5,6,7},$H$10,$H$11,$H$12,$H$13,#REF!,$H$14,$C23),IRR(CHOOSE({1,2,3,4,5,6,7,8,9,10},$I$6,$I$7,$I$9,$I$10,$I$11,$I$12,$I$13,#REF!,$I$14,G$19))),IF($I$11&lt;&gt;0,XIRR(CHOOSE({1,2,3,4,5,6},$I$11,$I$12,$I$13,#REF!,$I$14,G$19),CHOOSE({1,2,3,4,5,6},$H$11,$H$12,$H$13,#REF!,$H$14,$C23),IRR(CHOOSE({1,2,3,4,5,6,7,8,9,10},$I$6,$I$7,$I$9,$I$10,$I$11,$I$12,$I$13,#REF!,$I$14,G$19))),IF($I$12&lt;&gt;0,XIRR(CHOOSE({1,2,3,4,5},$I$12,$I$13,#REF!,$I$14,G$19),CHOOSE({1,2,3,4,5},$H$12,$H$13,#REF!,$H$14,$C23),IRR(CHOOSE({1,2,3,4,5,6,7,8,9,10},$I$6,$I$7,$I$9,$I$10,$I$11,$I$12,$I$13,#REF!,$I$14,G$19))),IF($I$13&lt;&gt;0,XIRR(CHOOSE({1,2,3,4},$I$13,#REF!,$I$14,G$19),CHOOSE({1,2,3,4},$H$13,#REF!,$H$14,$C23),IRR(CHOOSE({1,2,3,4,5,6,7,8,9,10},$I$6,$I$7,$I$9,$I$10,$I$11,$I$12,$I$13,#REF!,$I$14,G$19))),IF(#REF!&lt;&gt;0,XIRR(CHOOSE({1,2,3},#REF!,$I$14,G$19),CHOOSE({1,2,3},#REF!,$H$14,$C23),IRR(CHOOSE({1,2,3,4,5,6,7,8,9,10},$I$6,$I$7,$I$9,$I$10,$I$11,$I$12,$I$13,#REF!,$I$14,G$19))),IF($I$14&lt;&gt;0,XIRR(CHOOSE({1,2},$I$14,G$19),CHOOSE({1,2},$H$14,$C23)))))))))))&lt;0,"Negative",IF($I$6&lt;&gt;0,XIRR(CHOOSE({1,2,3,4,5,6,7,8,9,10},$I$6,$I$7,$I$9,$I$10,$I$11,$I$12,$I$13,#REF!,$I$14,G$19),CHOOSE({1,2,3,4,5,6,7,8,9,10},$H$6,$H$7,$H$9,$H$10,$H$11,$H$12,$H$13,#REF!,$H$14,$C23),IRR(CHOOSE({1,2,3,4,5,6,7,8,9,10},$I$6,$I$7,$I$9,$I$10,$I$11,$I$12,$I$13,#REF!,$I$14,G$19))),IF($I$7&lt;&gt;0,XIRR(CHOOSE({1,2,3,4,5,6,7,8,9},$I$7,$I$9,$I$10,$I$11,$I$12,$I$13,#REF!,$I$14,G$19),CHOOSE({1,2,3,4,5,6,7,8,9},$H$7,$H$9,$H$10,$H$11,$H$12,$H$13,#REF!,$H$14,$C23),IRR(CHOOSE({1,2,3,4,5,6,7,8,9,10},$I$6,$I$7,$I$9,$I$10,$I$11,$I$12,$I$13,#REF!,$I$14,G$19))),IF($I$9&lt;&gt;0,XIRR(CHOOSE({1,2,3,4,5,6,7,8},$I$9,$I$10,$I$11,$I$12,$I$13,#REF!,$I$14,G$19),CHOOSE({1,2,3,4,5,6,7,8},$H$9,$H$10,$H$11,$H$12,$H$13,#REF!,$H$14,$C23),IRR(CHOOSE({1,2,3,4,5,6,7,8,9,10},$I$6,$I$7,$I$9,$I$10,$I$11,$I$12,$I$13,#REF!,$I$14,G$19))),IF($I$10&lt;&gt;0,XIRR(CHOOSE({1,2,3,4,5,6,7},$I$10,$I$11,$I$12,$I$13,#REF!,$I$14,G$19),CHOOSE({1,2,3,4,5,6,7},$H$10,$H$11,$H$12,$H$13,#REF!,$H$14,$C23),IRR(CHOOSE({1,2,3,4,5,6,7,8,9,10},$I$6,$I$7,$I$9,$I$10,$I$11,$I$12,$I$13,#REF!,$I$14,G$19))),IF($I$11&lt;&gt;0,XIRR(CHOOSE({1,2,3,4,5,6},$I$11,$I$12,$I$13,#REF!,$I$14,G$19),CHOOSE({1,2,3,4,5,6},$H$11,$H$12,$H$13,#REF!,$H$14,$C23),IRR(CHOOSE({1,2,3,4,5,6,7,8,9,10},$I$6,$I$7,$I$9,$I$10,$I$11,$I$12,$I$13,#REF!,$I$14,G$19))),IF($I$12&lt;&gt;0,XIRR(CHOOSE({1,2,3,4,5},$I$12,$I$13,#REF!,$I$14,G$19),CHOOSE({1,2,3,4,5},$H$12,$H$13,#REF!,$H$14,$C23),IRR(CHOOSE({1,2,3,4,5,6,7,8,9,10},$I$6,$I$7,$I$9,$I$10,$I$11,$I$12,$I$13,#REF!,$I$14,G$19))),IF($I$13&lt;&gt;0,XIRR(CHOOSE({1,2,3,4},$I$13,#REF!,$I$14,G$19),CHOOSE({1,2,3,4},$H$13,#REF!,$H$14,$C23),IRR(CHOOSE({1,2,3,4,5,6,7,8,9,10},$I$6,$I$7,$I$9,$I$10,$I$11,$I$12,$I$13,#REF!,$I$14,G$19))),IF(#REF!&lt;&gt;0,XIRR(CHOOSE({1,2,3},#REF!,$I$14,G$19),CHOOSE({1,2,3},#REF!,$H$14,$C23),IRR(CHOOSE({1,2,3,4,5,6,7,8,9,10},$I$6,$I$7,$I$9,$I$10,$I$11,$I$12,$I$13,#REF!,$I$14,G$19))),IF($I$14&lt;&gt;0,XIRR(CHOOSE({1,2},$I$14,G$19),CHOOSE({1,2},$H$14,$C23)))))))))))),"Negative")</f>
        <v>Negative</v>
      </c>
      <c r="H23" s="769" t="str">
        <f>IFERROR(IF(IF($I$6&lt;&gt;0,XIRR(CHOOSE({1,2,3,4,5,6,7,8,9,10},$I$6,$I$7,$I$9,$I$10,$I$11,$I$12,$I$13,#REF!,$I$14,H$19),CHOOSE({1,2,3,4,5,6,7,8,9,10},$H$6,$H$7,$H$9,$H$10,$H$11,$H$12,$H$13,#REF!,$H$14,$C23),IRR(CHOOSE({1,2,3,4,5,6,7,8,9,10},$I$6,$I$7,$I$9,$I$10,$I$11,$I$12,$I$13,#REF!,$I$14,H$19))),IF($I$7&lt;&gt;0,XIRR(CHOOSE({1,2,3,4,5,6,7,8,9},$I$7,$I$9,$I$10,$I$11,$I$12,$I$13,#REF!,$I$14,H$19),CHOOSE({1,2,3,4,5,6,7,8,9},$H$7,$H$9,$H$10,$H$11,$H$12,$H$13,#REF!,$H$14,$C23),IRR(CHOOSE({1,2,3,4,5,6,7,8,9,10},$I$6,$I$7,$I$9,$I$10,$I$11,$I$12,$I$13,#REF!,$I$14,H$19))),IF($I$9&lt;&gt;0,XIRR(CHOOSE({1,2,3,4,5,6,7,8},$I$9,$I$10,$I$11,$I$12,$I$13,#REF!,$I$14,H$19),CHOOSE({1,2,3,4,5,6,7,8},$H$9,$H$10,$H$11,$H$12,$H$13,#REF!,$H$14,$C23),IRR(CHOOSE({1,2,3,4,5,6,7,8,9,10},$I$6,$I$7,$I$9,$I$10,$I$11,$I$12,$I$13,#REF!,$I$14,H$19))),IF($I$10&lt;&gt;0,XIRR(CHOOSE({1,2,3,4,5,6,7},$I$10,$I$11,$I$12,$I$13,#REF!,$I$14,H$19),CHOOSE({1,2,3,4,5,6,7},$H$10,$H$11,$H$12,$H$13,#REF!,$H$14,$C23),IRR(CHOOSE({1,2,3,4,5,6,7,8,9,10},$I$6,$I$7,$I$9,$I$10,$I$11,$I$12,$I$13,#REF!,$I$14,H$19))),IF($I$11&lt;&gt;0,XIRR(CHOOSE({1,2,3,4,5,6},$I$11,$I$12,$I$13,#REF!,$I$14,H$19),CHOOSE({1,2,3,4,5,6},$H$11,$H$12,$H$13,#REF!,$H$14,$C23),IRR(CHOOSE({1,2,3,4,5,6,7,8,9,10},$I$6,$I$7,$I$9,$I$10,$I$11,$I$12,$I$13,#REF!,$I$14,H$19))),IF($I$12&lt;&gt;0,XIRR(CHOOSE({1,2,3,4,5},$I$12,$I$13,#REF!,$I$14,H$19),CHOOSE({1,2,3,4,5},$H$12,$H$13,#REF!,$H$14,$C23),IRR(CHOOSE({1,2,3,4,5,6,7,8,9,10},$I$6,$I$7,$I$9,$I$10,$I$11,$I$12,$I$13,#REF!,$I$14,H$19))),IF($I$13&lt;&gt;0,XIRR(CHOOSE({1,2,3,4},$I$13,#REF!,$I$14,H$19),CHOOSE({1,2,3,4},$H$13,#REF!,$H$14,$C23),IRR(CHOOSE({1,2,3,4,5,6,7,8,9,10},$I$6,$I$7,$I$9,$I$10,$I$11,$I$12,$I$13,#REF!,$I$14,H$19))),IF(#REF!&lt;&gt;0,XIRR(CHOOSE({1,2,3},#REF!,$I$14,H$19),CHOOSE({1,2,3},#REF!,$H$14,$C23),IRR(CHOOSE({1,2,3,4,5,6,7,8,9,10},$I$6,$I$7,$I$9,$I$10,$I$11,$I$12,$I$13,#REF!,$I$14,H$19))),IF($I$14&lt;&gt;0,XIRR(CHOOSE({1,2},$I$14,H$19),CHOOSE({1,2},$H$14,$C23)))))))))))&lt;0,"Negative",IF($I$6&lt;&gt;0,XIRR(CHOOSE({1,2,3,4,5,6,7,8,9,10},$I$6,$I$7,$I$9,$I$10,$I$11,$I$12,$I$13,#REF!,$I$14,H$19),CHOOSE({1,2,3,4,5,6,7,8,9,10},$H$6,$H$7,$H$9,$H$10,$H$11,$H$12,$H$13,#REF!,$H$14,$C23),IRR(CHOOSE({1,2,3,4,5,6,7,8,9,10},$I$6,$I$7,$I$9,$I$10,$I$11,$I$12,$I$13,#REF!,$I$14,H$19))),IF($I$7&lt;&gt;0,XIRR(CHOOSE({1,2,3,4,5,6,7,8,9},$I$7,$I$9,$I$10,$I$11,$I$12,$I$13,#REF!,$I$14,H$19),CHOOSE({1,2,3,4,5,6,7,8,9},$H$7,$H$9,$H$10,$H$11,$H$12,$H$13,#REF!,$H$14,$C23),IRR(CHOOSE({1,2,3,4,5,6,7,8,9,10},$I$6,$I$7,$I$9,$I$10,$I$11,$I$12,$I$13,#REF!,$I$14,H$19))),IF($I$9&lt;&gt;0,XIRR(CHOOSE({1,2,3,4,5,6,7,8},$I$9,$I$10,$I$11,$I$12,$I$13,#REF!,$I$14,H$19),CHOOSE({1,2,3,4,5,6,7,8},$H$9,$H$10,$H$11,$H$12,$H$13,#REF!,$H$14,$C23),IRR(CHOOSE({1,2,3,4,5,6,7,8,9,10},$I$6,$I$7,$I$9,$I$10,$I$11,$I$12,$I$13,#REF!,$I$14,H$19))),IF($I$10&lt;&gt;0,XIRR(CHOOSE({1,2,3,4,5,6,7},$I$10,$I$11,$I$12,$I$13,#REF!,$I$14,H$19),CHOOSE({1,2,3,4,5,6,7},$H$10,$H$11,$H$12,$H$13,#REF!,$H$14,$C23),IRR(CHOOSE({1,2,3,4,5,6,7,8,9,10},$I$6,$I$7,$I$9,$I$10,$I$11,$I$12,$I$13,#REF!,$I$14,H$19))),IF($I$11&lt;&gt;0,XIRR(CHOOSE({1,2,3,4,5,6},$I$11,$I$12,$I$13,#REF!,$I$14,H$19),CHOOSE({1,2,3,4,5,6},$H$11,$H$12,$H$13,#REF!,$H$14,$C23),IRR(CHOOSE({1,2,3,4,5,6,7,8,9,10},$I$6,$I$7,$I$9,$I$10,$I$11,$I$12,$I$13,#REF!,$I$14,H$19))),IF($I$12&lt;&gt;0,XIRR(CHOOSE({1,2,3,4,5},$I$12,$I$13,#REF!,$I$14,H$19),CHOOSE({1,2,3,4,5},$H$12,$H$13,#REF!,$H$14,$C23),IRR(CHOOSE({1,2,3,4,5,6,7,8,9,10},$I$6,$I$7,$I$9,$I$10,$I$11,$I$12,$I$13,#REF!,$I$14,H$19))),IF($I$13&lt;&gt;0,XIRR(CHOOSE({1,2,3,4},$I$13,#REF!,$I$14,H$19),CHOOSE({1,2,3,4},$H$13,#REF!,$H$14,$C23),IRR(CHOOSE({1,2,3,4,5,6,7,8,9,10},$I$6,$I$7,$I$9,$I$10,$I$11,$I$12,$I$13,#REF!,$I$14,H$19))),IF(#REF!&lt;&gt;0,XIRR(CHOOSE({1,2,3},#REF!,$I$14,H$19),CHOOSE({1,2,3},#REF!,$H$14,$C23),IRR(CHOOSE({1,2,3,4,5,6,7,8,9,10},$I$6,$I$7,$I$9,$I$10,$I$11,$I$12,$I$13,#REF!,$I$14,H$19))),IF($I$14&lt;&gt;0,XIRR(CHOOSE({1,2},$I$14,H$19),CHOOSE({1,2},$H$14,$C23)))))))))))),"Negative")</f>
        <v>Negative</v>
      </c>
      <c r="I23" s="772" t="str">
        <f>IFERROR(IF(IF($I$6&lt;&gt;0,XIRR(CHOOSE({1,2,3,4,5,6,7,8,9,10},$I$6,$I$7,$I$9,$I$10,$I$11,$I$12,$I$13,#REF!,$I$14,I$19),CHOOSE({1,2,3,4,5,6,7,8,9,10},$H$6,$H$7,$H$9,$H$10,$H$11,$H$12,$H$13,#REF!,$H$14,$C23),IRR(CHOOSE({1,2,3,4,5,6,7,8,9,10},$I$6,$I$7,$I$9,$I$10,$I$11,$I$12,$I$13,#REF!,$I$14,I$19))),IF($I$7&lt;&gt;0,XIRR(CHOOSE({1,2,3,4,5,6,7,8,9},$I$7,$I$9,$I$10,$I$11,$I$12,$I$13,#REF!,$I$14,I$19),CHOOSE({1,2,3,4,5,6,7,8,9},$H$7,$H$9,$H$10,$H$11,$H$12,$H$13,#REF!,$H$14,$C23),IRR(CHOOSE({1,2,3,4,5,6,7,8,9,10},$I$6,$I$7,$I$9,$I$10,$I$11,$I$12,$I$13,#REF!,$I$14,I$19))),IF($I$9&lt;&gt;0,XIRR(CHOOSE({1,2,3,4,5,6,7,8},$I$9,$I$10,$I$11,$I$12,$I$13,#REF!,$I$14,I$19),CHOOSE({1,2,3,4,5,6,7,8},$H$9,$H$10,$H$11,$H$12,$H$13,#REF!,$H$14,$C23),IRR(CHOOSE({1,2,3,4,5,6,7,8,9,10},$I$6,$I$7,$I$9,$I$10,$I$11,$I$12,$I$13,#REF!,$I$14,I$19))),IF($I$10&lt;&gt;0,XIRR(CHOOSE({1,2,3,4,5,6,7},$I$10,$I$11,$I$12,$I$13,#REF!,$I$14,I$19),CHOOSE({1,2,3,4,5,6,7},$H$10,$H$11,$H$12,$H$13,#REF!,$H$14,$C23),IRR(CHOOSE({1,2,3,4,5,6,7,8,9,10},$I$6,$I$7,$I$9,$I$10,$I$11,$I$12,$I$13,#REF!,$I$14,I$19))),IF($I$11&lt;&gt;0,XIRR(CHOOSE({1,2,3,4,5,6},$I$11,$I$12,$I$13,#REF!,$I$14,I$19),CHOOSE({1,2,3,4,5,6},$H$11,$H$12,$H$13,#REF!,$H$14,$C23),IRR(CHOOSE({1,2,3,4,5,6,7,8,9,10},$I$6,$I$7,$I$9,$I$10,$I$11,$I$12,$I$13,#REF!,$I$14,I$19))),IF($I$12&lt;&gt;0,XIRR(CHOOSE({1,2,3,4,5},$I$12,$I$13,#REF!,$I$14,I$19),CHOOSE({1,2,3,4,5},$H$12,$H$13,#REF!,$H$14,$C23),IRR(CHOOSE({1,2,3,4,5,6,7,8,9,10},$I$6,$I$7,$I$9,$I$10,$I$11,$I$12,$I$13,#REF!,$I$14,I$19))),IF($I$13&lt;&gt;0,XIRR(CHOOSE({1,2,3,4},$I$13,#REF!,$I$14,I$19),CHOOSE({1,2,3,4},$H$13,#REF!,$H$14,$C23),IRR(CHOOSE({1,2,3,4,5,6,7,8,9,10},$I$6,$I$7,$I$9,$I$10,$I$11,$I$12,$I$13,#REF!,$I$14,I$19))),IF(#REF!&lt;&gt;0,XIRR(CHOOSE({1,2,3},#REF!,$I$14,I$19),CHOOSE({1,2,3},#REF!,$H$14,$C23),IRR(CHOOSE({1,2,3,4,5,6,7,8,9,10},$I$6,$I$7,$I$9,$I$10,$I$11,$I$12,$I$13,#REF!,$I$14,I$19))),IF($I$14&lt;&gt;0,XIRR(CHOOSE({1,2},$I$14,I$19),CHOOSE({1,2},$H$14,$C23)))))))))))&lt;0,"Negative",IF($I$6&lt;&gt;0,XIRR(CHOOSE({1,2,3,4,5,6,7,8,9,10},$I$6,$I$7,$I$9,$I$10,$I$11,$I$12,$I$13,#REF!,$I$14,I$19),CHOOSE({1,2,3,4,5,6,7,8,9,10},$H$6,$H$7,$H$9,$H$10,$H$11,$H$12,$H$13,#REF!,$H$14,$C23),IRR(CHOOSE({1,2,3,4,5,6,7,8,9,10},$I$6,$I$7,$I$9,$I$10,$I$11,$I$12,$I$13,#REF!,$I$14,I$19))),IF($I$7&lt;&gt;0,XIRR(CHOOSE({1,2,3,4,5,6,7,8,9},$I$7,$I$9,$I$10,$I$11,$I$12,$I$13,#REF!,$I$14,I$19),CHOOSE({1,2,3,4,5,6,7,8,9},$H$7,$H$9,$H$10,$H$11,$H$12,$H$13,#REF!,$H$14,$C23),IRR(CHOOSE({1,2,3,4,5,6,7,8,9,10},$I$6,$I$7,$I$9,$I$10,$I$11,$I$12,$I$13,#REF!,$I$14,I$19))),IF($I$9&lt;&gt;0,XIRR(CHOOSE({1,2,3,4,5,6,7,8},$I$9,$I$10,$I$11,$I$12,$I$13,#REF!,$I$14,I$19),CHOOSE({1,2,3,4,5,6,7,8},$H$9,$H$10,$H$11,$H$12,$H$13,#REF!,$H$14,$C23),IRR(CHOOSE({1,2,3,4,5,6,7,8,9,10},$I$6,$I$7,$I$9,$I$10,$I$11,$I$12,$I$13,#REF!,$I$14,I$19))),IF($I$10&lt;&gt;0,XIRR(CHOOSE({1,2,3,4,5,6,7},$I$10,$I$11,$I$12,$I$13,#REF!,$I$14,I$19),CHOOSE({1,2,3,4,5,6,7},$H$10,$H$11,$H$12,$H$13,#REF!,$H$14,$C23),IRR(CHOOSE({1,2,3,4,5,6,7,8,9,10},$I$6,$I$7,$I$9,$I$10,$I$11,$I$12,$I$13,#REF!,$I$14,I$19))),IF($I$11&lt;&gt;0,XIRR(CHOOSE({1,2,3,4,5,6},$I$11,$I$12,$I$13,#REF!,$I$14,I$19),CHOOSE({1,2,3,4,5,6},$H$11,$H$12,$H$13,#REF!,$H$14,$C23),IRR(CHOOSE({1,2,3,4,5,6,7,8,9,10},$I$6,$I$7,$I$9,$I$10,$I$11,$I$12,$I$13,#REF!,$I$14,I$19))),IF($I$12&lt;&gt;0,XIRR(CHOOSE({1,2,3,4,5},$I$12,$I$13,#REF!,$I$14,I$19),CHOOSE({1,2,3,4,5},$H$12,$H$13,#REF!,$H$14,$C23),IRR(CHOOSE({1,2,3,4,5,6,7,8,9,10},$I$6,$I$7,$I$9,$I$10,$I$11,$I$12,$I$13,#REF!,$I$14,I$19))),IF($I$13&lt;&gt;0,XIRR(CHOOSE({1,2,3,4},$I$13,#REF!,$I$14,I$19),CHOOSE({1,2,3,4},$H$13,#REF!,$H$14,$C23),IRR(CHOOSE({1,2,3,4,5,6,7,8,9,10},$I$6,$I$7,$I$9,$I$10,$I$11,$I$12,$I$13,#REF!,$I$14,I$19))),IF(#REF!&lt;&gt;0,XIRR(CHOOSE({1,2,3},#REF!,$I$14,I$19),CHOOSE({1,2,3},#REF!,$H$14,$C23),IRR(CHOOSE({1,2,3,4,5,6,7,8,9,10},$I$6,$I$7,$I$9,$I$10,$I$11,$I$12,$I$13,#REF!,$I$14,I$19))),IF($I$14&lt;&gt;0,XIRR(CHOOSE({1,2},$I$14,I$19),CHOOSE({1,2},$H$14,$C23)))))))))))),"Negative")</f>
        <v>Negative</v>
      </c>
      <c r="J23" s="769" t="str">
        <f>IFERROR(IF(IF($I$6&lt;&gt;0,XIRR(CHOOSE({1,2,3,4,5,6,7,8,9,10},$I$6,$I$7,$I$9,$I$10,$I$11,$I$12,$I$13,#REF!,$I$14,J$19),CHOOSE({1,2,3,4,5,6,7,8,9,10},$H$6,$H$7,$H$9,$H$10,$H$11,$H$12,$H$13,#REF!,$H$14,$C23),IRR(CHOOSE({1,2,3,4,5,6,7,8,9,10},$I$6,$I$7,$I$9,$I$10,$I$11,$I$12,$I$13,#REF!,$I$14,J$19))),IF($I$7&lt;&gt;0,XIRR(CHOOSE({1,2,3,4,5,6,7,8,9},$I$7,$I$9,$I$10,$I$11,$I$12,$I$13,#REF!,$I$14,J$19),CHOOSE({1,2,3,4,5,6,7,8,9},$H$7,$H$9,$H$10,$H$11,$H$12,$H$13,#REF!,$H$14,$C23),IRR(CHOOSE({1,2,3,4,5,6,7,8,9,10},$I$6,$I$7,$I$9,$I$10,$I$11,$I$12,$I$13,#REF!,$I$14,J$19))),IF($I$9&lt;&gt;0,XIRR(CHOOSE({1,2,3,4,5,6,7,8},$I$9,$I$10,$I$11,$I$12,$I$13,#REF!,$I$14,J$19),CHOOSE({1,2,3,4,5,6,7,8},$H$9,$H$10,$H$11,$H$12,$H$13,#REF!,$H$14,$C23),IRR(CHOOSE({1,2,3,4,5,6,7,8,9,10},$I$6,$I$7,$I$9,$I$10,$I$11,$I$12,$I$13,#REF!,$I$14,J$19))),IF($I$10&lt;&gt;0,XIRR(CHOOSE({1,2,3,4,5,6,7},$I$10,$I$11,$I$12,$I$13,#REF!,$I$14,J$19),CHOOSE({1,2,3,4,5,6,7},$H$10,$H$11,$H$12,$H$13,#REF!,$H$14,$C23),IRR(CHOOSE({1,2,3,4,5,6,7,8,9,10},$I$6,$I$7,$I$9,$I$10,$I$11,$I$12,$I$13,#REF!,$I$14,J$19))),IF($I$11&lt;&gt;0,XIRR(CHOOSE({1,2,3,4,5,6},$I$11,$I$12,$I$13,#REF!,$I$14,J$19),CHOOSE({1,2,3,4,5,6},$H$11,$H$12,$H$13,#REF!,$H$14,$C23),IRR(CHOOSE({1,2,3,4,5,6,7,8,9,10},$I$6,$I$7,$I$9,$I$10,$I$11,$I$12,$I$13,#REF!,$I$14,J$19))),IF($I$12&lt;&gt;0,XIRR(CHOOSE({1,2,3,4,5},$I$12,$I$13,#REF!,$I$14,J$19),CHOOSE({1,2,3,4,5},$H$12,$H$13,#REF!,$H$14,$C23),IRR(CHOOSE({1,2,3,4,5,6,7,8,9,10},$I$6,$I$7,$I$9,$I$10,$I$11,$I$12,$I$13,#REF!,$I$14,J$19))),IF($I$13&lt;&gt;0,XIRR(CHOOSE({1,2,3,4},$I$13,#REF!,$I$14,J$19),CHOOSE({1,2,3,4},$H$13,#REF!,$H$14,$C23),IRR(CHOOSE({1,2,3,4,5,6,7,8,9,10},$I$6,$I$7,$I$9,$I$10,$I$11,$I$12,$I$13,#REF!,$I$14,J$19))),IF(#REF!&lt;&gt;0,XIRR(CHOOSE({1,2,3},#REF!,$I$14,J$19),CHOOSE({1,2,3},#REF!,$H$14,$C23),IRR(CHOOSE({1,2,3,4,5,6,7,8,9,10},$I$6,$I$7,$I$9,$I$10,$I$11,$I$12,$I$13,#REF!,$I$14,J$19))),IF($I$14&lt;&gt;0,XIRR(CHOOSE({1,2},$I$14,J$19),CHOOSE({1,2},$H$14,$C23)))))))))))&lt;0,"Negative",IF($I$6&lt;&gt;0,XIRR(CHOOSE({1,2,3,4,5,6,7,8,9,10},$I$6,$I$7,$I$9,$I$10,$I$11,$I$12,$I$13,#REF!,$I$14,J$19),CHOOSE({1,2,3,4,5,6,7,8,9,10},$H$6,$H$7,$H$9,$H$10,$H$11,$H$12,$H$13,#REF!,$H$14,$C23),IRR(CHOOSE({1,2,3,4,5,6,7,8,9,10},$I$6,$I$7,$I$9,$I$10,$I$11,$I$12,$I$13,#REF!,$I$14,J$19))),IF($I$7&lt;&gt;0,XIRR(CHOOSE({1,2,3,4,5,6,7,8,9},$I$7,$I$9,$I$10,$I$11,$I$12,$I$13,#REF!,$I$14,J$19),CHOOSE({1,2,3,4,5,6,7,8,9},$H$7,$H$9,$H$10,$H$11,$H$12,$H$13,#REF!,$H$14,$C23),IRR(CHOOSE({1,2,3,4,5,6,7,8,9,10},$I$6,$I$7,$I$9,$I$10,$I$11,$I$12,$I$13,#REF!,$I$14,J$19))),IF($I$9&lt;&gt;0,XIRR(CHOOSE({1,2,3,4,5,6,7,8},$I$9,$I$10,$I$11,$I$12,$I$13,#REF!,$I$14,J$19),CHOOSE({1,2,3,4,5,6,7,8},$H$9,$H$10,$H$11,$H$12,$H$13,#REF!,$H$14,$C23),IRR(CHOOSE({1,2,3,4,5,6,7,8,9,10},$I$6,$I$7,$I$9,$I$10,$I$11,$I$12,$I$13,#REF!,$I$14,J$19))),IF($I$10&lt;&gt;0,XIRR(CHOOSE({1,2,3,4,5,6,7},$I$10,$I$11,$I$12,$I$13,#REF!,$I$14,J$19),CHOOSE({1,2,3,4,5,6,7},$H$10,$H$11,$H$12,$H$13,#REF!,$H$14,$C23),IRR(CHOOSE({1,2,3,4,5,6,7,8,9,10},$I$6,$I$7,$I$9,$I$10,$I$11,$I$12,$I$13,#REF!,$I$14,J$19))),IF($I$11&lt;&gt;0,XIRR(CHOOSE({1,2,3,4,5,6},$I$11,$I$12,$I$13,#REF!,$I$14,J$19),CHOOSE({1,2,3,4,5,6},$H$11,$H$12,$H$13,#REF!,$H$14,$C23),IRR(CHOOSE({1,2,3,4,5,6,7,8,9,10},$I$6,$I$7,$I$9,$I$10,$I$11,$I$12,$I$13,#REF!,$I$14,J$19))),IF($I$12&lt;&gt;0,XIRR(CHOOSE({1,2,3,4,5},$I$12,$I$13,#REF!,$I$14,J$19),CHOOSE({1,2,3,4,5},$H$12,$H$13,#REF!,$H$14,$C23),IRR(CHOOSE({1,2,3,4,5,6,7,8,9,10},$I$6,$I$7,$I$9,$I$10,$I$11,$I$12,$I$13,#REF!,$I$14,J$19))),IF($I$13&lt;&gt;0,XIRR(CHOOSE({1,2,3,4},$I$13,#REF!,$I$14,J$19),CHOOSE({1,2,3,4},$H$13,#REF!,$H$14,$C23),IRR(CHOOSE({1,2,3,4,5,6,7,8,9,10},$I$6,$I$7,$I$9,$I$10,$I$11,$I$12,$I$13,#REF!,$I$14,J$19))),IF(#REF!&lt;&gt;0,XIRR(CHOOSE({1,2,3},#REF!,$I$14,J$19),CHOOSE({1,2,3},#REF!,$H$14,$C23),IRR(CHOOSE({1,2,3,4,5,6,7,8,9,10},$I$6,$I$7,$I$9,$I$10,$I$11,$I$12,$I$13,#REF!,$I$14,J$19))),IF($I$14&lt;&gt;0,XIRR(CHOOSE({1,2},$I$14,J$19),CHOOSE({1,2},$H$14,$C23)))))))))))),"Negative")</f>
        <v>Negative</v>
      </c>
      <c r="K23" s="769" t="str">
        <f>IFERROR(IF(IF($I$6&lt;&gt;0,XIRR(CHOOSE({1,2,3,4,5,6,7,8,9,10},$I$6,$I$7,$I$9,$I$10,$I$11,$I$12,$I$13,#REF!,$I$14,K$19),CHOOSE({1,2,3,4,5,6,7,8,9,10},$H$6,$H$7,$H$9,$H$10,$H$11,$H$12,$H$13,#REF!,$H$14,$C23),IRR(CHOOSE({1,2,3,4,5,6,7,8,9,10},$I$6,$I$7,$I$9,$I$10,$I$11,$I$12,$I$13,#REF!,$I$14,K$19))),IF($I$7&lt;&gt;0,XIRR(CHOOSE({1,2,3,4,5,6,7,8,9},$I$7,$I$9,$I$10,$I$11,$I$12,$I$13,#REF!,$I$14,K$19),CHOOSE({1,2,3,4,5,6,7,8,9},$H$7,$H$9,$H$10,$H$11,$H$12,$H$13,#REF!,$H$14,$C23),IRR(CHOOSE({1,2,3,4,5,6,7,8,9,10},$I$6,$I$7,$I$9,$I$10,$I$11,$I$12,$I$13,#REF!,$I$14,K$19))),IF($I$9&lt;&gt;0,XIRR(CHOOSE({1,2,3,4,5,6,7,8},$I$9,$I$10,$I$11,$I$12,$I$13,#REF!,$I$14,K$19),CHOOSE({1,2,3,4,5,6,7,8},$H$9,$H$10,$H$11,$H$12,$H$13,#REF!,$H$14,$C23),IRR(CHOOSE({1,2,3,4,5,6,7,8,9,10},$I$6,$I$7,$I$9,$I$10,$I$11,$I$12,$I$13,#REF!,$I$14,K$19))),IF($I$10&lt;&gt;0,XIRR(CHOOSE({1,2,3,4,5,6,7},$I$10,$I$11,$I$12,$I$13,#REF!,$I$14,K$19),CHOOSE({1,2,3,4,5,6,7},$H$10,$H$11,$H$12,$H$13,#REF!,$H$14,$C23),IRR(CHOOSE({1,2,3,4,5,6,7,8,9,10},$I$6,$I$7,$I$9,$I$10,$I$11,$I$12,$I$13,#REF!,$I$14,K$19))),IF($I$11&lt;&gt;0,XIRR(CHOOSE({1,2,3,4,5,6},$I$11,$I$12,$I$13,#REF!,$I$14,K$19),CHOOSE({1,2,3,4,5,6},$H$11,$H$12,$H$13,#REF!,$H$14,$C23),IRR(CHOOSE({1,2,3,4,5,6,7,8,9,10},$I$6,$I$7,$I$9,$I$10,$I$11,$I$12,$I$13,#REF!,$I$14,K$19))),IF($I$12&lt;&gt;0,XIRR(CHOOSE({1,2,3,4,5},$I$12,$I$13,#REF!,$I$14,K$19),CHOOSE({1,2,3,4,5},$H$12,$H$13,#REF!,$H$14,$C23),IRR(CHOOSE({1,2,3,4,5,6,7,8,9,10},$I$6,$I$7,$I$9,$I$10,$I$11,$I$12,$I$13,#REF!,$I$14,K$19))),IF($I$13&lt;&gt;0,XIRR(CHOOSE({1,2,3,4},$I$13,#REF!,$I$14,K$19),CHOOSE({1,2,3,4},$H$13,#REF!,$H$14,$C23),IRR(CHOOSE({1,2,3,4,5,6,7,8,9,10},$I$6,$I$7,$I$9,$I$10,$I$11,$I$12,$I$13,#REF!,$I$14,K$19))),IF(#REF!&lt;&gt;0,XIRR(CHOOSE({1,2,3},#REF!,$I$14,K$19),CHOOSE({1,2,3},#REF!,$H$14,$C23),IRR(CHOOSE({1,2,3,4,5,6,7,8,9,10},$I$6,$I$7,$I$9,$I$10,$I$11,$I$12,$I$13,#REF!,$I$14,K$19))),IF($I$14&lt;&gt;0,XIRR(CHOOSE({1,2},$I$14,K$19),CHOOSE({1,2},$H$14,$C23)))))))))))&lt;0,"Negative",IF($I$6&lt;&gt;0,XIRR(CHOOSE({1,2,3,4,5,6,7,8,9,10},$I$6,$I$7,$I$9,$I$10,$I$11,$I$12,$I$13,#REF!,$I$14,K$19),CHOOSE({1,2,3,4,5,6,7,8,9,10},$H$6,$H$7,$H$9,$H$10,$H$11,$H$12,$H$13,#REF!,$H$14,$C23),IRR(CHOOSE({1,2,3,4,5,6,7,8,9,10},$I$6,$I$7,$I$9,$I$10,$I$11,$I$12,$I$13,#REF!,$I$14,K$19))),IF($I$7&lt;&gt;0,XIRR(CHOOSE({1,2,3,4,5,6,7,8,9},$I$7,$I$9,$I$10,$I$11,$I$12,$I$13,#REF!,$I$14,K$19),CHOOSE({1,2,3,4,5,6,7,8,9},$H$7,$H$9,$H$10,$H$11,$H$12,$H$13,#REF!,$H$14,$C23),IRR(CHOOSE({1,2,3,4,5,6,7,8,9,10},$I$6,$I$7,$I$9,$I$10,$I$11,$I$12,$I$13,#REF!,$I$14,K$19))),IF($I$9&lt;&gt;0,XIRR(CHOOSE({1,2,3,4,5,6,7,8},$I$9,$I$10,$I$11,$I$12,$I$13,#REF!,$I$14,K$19),CHOOSE({1,2,3,4,5,6,7,8},$H$9,$H$10,$H$11,$H$12,$H$13,#REF!,$H$14,$C23),IRR(CHOOSE({1,2,3,4,5,6,7,8,9,10},$I$6,$I$7,$I$9,$I$10,$I$11,$I$12,$I$13,#REF!,$I$14,K$19))),IF($I$10&lt;&gt;0,XIRR(CHOOSE({1,2,3,4,5,6,7},$I$10,$I$11,$I$12,$I$13,#REF!,$I$14,K$19),CHOOSE({1,2,3,4,5,6,7},$H$10,$H$11,$H$12,$H$13,#REF!,$H$14,$C23),IRR(CHOOSE({1,2,3,4,5,6,7,8,9,10},$I$6,$I$7,$I$9,$I$10,$I$11,$I$12,$I$13,#REF!,$I$14,K$19))),IF($I$11&lt;&gt;0,XIRR(CHOOSE({1,2,3,4,5,6},$I$11,$I$12,$I$13,#REF!,$I$14,K$19),CHOOSE({1,2,3,4,5,6},$H$11,$H$12,$H$13,#REF!,$H$14,$C23),IRR(CHOOSE({1,2,3,4,5,6,7,8,9,10},$I$6,$I$7,$I$9,$I$10,$I$11,$I$12,$I$13,#REF!,$I$14,K$19))),IF($I$12&lt;&gt;0,XIRR(CHOOSE({1,2,3,4,5},$I$12,$I$13,#REF!,$I$14,K$19),CHOOSE({1,2,3,4,5},$H$12,$H$13,#REF!,$H$14,$C23),IRR(CHOOSE({1,2,3,4,5,6,7,8,9,10},$I$6,$I$7,$I$9,$I$10,$I$11,$I$12,$I$13,#REF!,$I$14,K$19))),IF($I$13&lt;&gt;0,XIRR(CHOOSE({1,2,3,4},$I$13,#REF!,$I$14,K$19),CHOOSE({1,2,3,4},$H$13,#REF!,$H$14,$C23),IRR(CHOOSE({1,2,3,4,5,6,7,8,9,10},$I$6,$I$7,$I$9,$I$10,$I$11,$I$12,$I$13,#REF!,$I$14,K$19))),IF(#REF!&lt;&gt;0,XIRR(CHOOSE({1,2,3},#REF!,$I$14,K$19),CHOOSE({1,2,3},#REF!,$H$14,$C23),IRR(CHOOSE({1,2,3,4,5,6,7,8,9,10},$I$6,$I$7,$I$9,$I$10,$I$11,$I$12,$I$13,#REF!,$I$14,K$19))),IF($I$14&lt;&gt;0,XIRR(CHOOSE({1,2},$I$14,K$19),CHOOSE({1,2},$H$14,$C23)))))))))))),"Negative")</f>
        <v>Negative</v>
      </c>
      <c r="L23" s="769" t="str">
        <f>IFERROR(IF(IF($I$6&lt;&gt;0,XIRR(CHOOSE({1,2,3,4,5,6,7,8,9,10},$I$6,$I$7,$I$9,$I$10,$I$11,$I$12,$I$13,#REF!,$I$14,L$19),CHOOSE({1,2,3,4,5,6,7,8,9,10},$H$6,$H$7,$H$9,$H$10,$H$11,$H$12,$H$13,#REF!,$H$14,$C23),IRR(CHOOSE({1,2,3,4,5,6,7,8,9,10},$I$6,$I$7,$I$9,$I$10,$I$11,$I$12,$I$13,#REF!,$I$14,L$19))),IF($I$7&lt;&gt;0,XIRR(CHOOSE({1,2,3,4,5,6,7,8,9},$I$7,$I$9,$I$10,$I$11,$I$12,$I$13,#REF!,$I$14,L$19),CHOOSE({1,2,3,4,5,6,7,8,9},$H$7,$H$9,$H$10,$H$11,$H$12,$H$13,#REF!,$H$14,$C23),IRR(CHOOSE({1,2,3,4,5,6,7,8,9,10},$I$6,$I$7,$I$9,$I$10,$I$11,$I$12,$I$13,#REF!,$I$14,L$19))),IF($I$9&lt;&gt;0,XIRR(CHOOSE({1,2,3,4,5,6,7,8},$I$9,$I$10,$I$11,$I$12,$I$13,#REF!,$I$14,L$19),CHOOSE({1,2,3,4,5,6,7,8},$H$9,$H$10,$H$11,$H$12,$H$13,#REF!,$H$14,$C23),IRR(CHOOSE({1,2,3,4,5,6,7,8,9,10},$I$6,$I$7,$I$9,$I$10,$I$11,$I$12,$I$13,#REF!,$I$14,L$19))),IF($I$10&lt;&gt;0,XIRR(CHOOSE({1,2,3,4,5,6,7},$I$10,$I$11,$I$12,$I$13,#REF!,$I$14,L$19),CHOOSE({1,2,3,4,5,6,7},$H$10,$H$11,$H$12,$H$13,#REF!,$H$14,$C23),IRR(CHOOSE({1,2,3,4,5,6,7,8,9,10},$I$6,$I$7,$I$9,$I$10,$I$11,$I$12,$I$13,#REF!,$I$14,L$19))),IF($I$11&lt;&gt;0,XIRR(CHOOSE({1,2,3,4,5,6},$I$11,$I$12,$I$13,#REF!,$I$14,L$19),CHOOSE({1,2,3,4,5,6},$H$11,$H$12,$H$13,#REF!,$H$14,$C23),IRR(CHOOSE({1,2,3,4,5,6,7,8,9,10},$I$6,$I$7,$I$9,$I$10,$I$11,$I$12,$I$13,#REF!,$I$14,L$19))),IF($I$12&lt;&gt;0,XIRR(CHOOSE({1,2,3,4,5},$I$12,$I$13,#REF!,$I$14,L$19),CHOOSE({1,2,3,4,5},$H$12,$H$13,#REF!,$H$14,$C23),IRR(CHOOSE({1,2,3,4,5,6,7,8,9,10},$I$6,$I$7,$I$9,$I$10,$I$11,$I$12,$I$13,#REF!,$I$14,L$19))),IF($I$13&lt;&gt;0,XIRR(CHOOSE({1,2,3,4},$I$13,#REF!,$I$14,L$19),CHOOSE({1,2,3,4},$H$13,#REF!,$H$14,$C23),IRR(CHOOSE({1,2,3,4,5,6,7,8,9,10},$I$6,$I$7,$I$9,$I$10,$I$11,$I$12,$I$13,#REF!,$I$14,L$19))),IF(#REF!&lt;&gt;0,XIRR(CHOOSE({1,2,3},#REF!,$I$14,L$19),CHOOSE({1,2,3},#REF!,$H$14,$C23),IRR(CHOOSE({1,2,3,4,5,6,7,8,9,10},$I$6,$I$7,$I$9,$I$10,$I$11,$I$12,$I$13,#REF!,$I$14,L$19))),IF($I$14&lt;&gt;0,XIRR(CHOOSE({1,2},$I$14,L$19),CHOOSE({1,2},$H$14,$C23)))))))))))&lt;0,"Negative",IF($I$6&lt;&gt;0,XIRR(CHOOSE({1,2,3,4,5,6,7,8,9,10},$I$6,$I$7,$I$9,$I$10,$I$11,$I$12,$I$13,#REF!,$I$14,L$19),CHOOSE({1,2,3,4,5,6,7,8,9,10},$H$6,$H$7,$H$9,$H$10,$H$11,$H$12,$H$13,#REF!,$H$14,$C23),IRR(CHOOSE({1,2,3,4,5,6,7,8,9,10},$I$6,$I$7,$I$9,$I$10,$I$11,$I$12,$I$13,#REF!,$I$14,L$19))),IF($I$7&lt;&gt;0,XIRR(CHOOSE({1,2,3,4,5,6,7,8,9},$I$7,$I$9,$I$10,$I$11,$I$12,$I$13,#REF!,$I$14,L$19),CHOOSE({1,2,3,4,5,6,7,8,9},$H$7,$H$9,$H$10,$H$11,$H$12,$H$13,#REF!,$H$14,$C23),IRR(CHOOSE({1,2,3,4,5,6,7,8,9,10},$I$6,$I$7,$I$9,$I$10,$I$11,$I$12,$I$13,#REF!,$I$14,L$19))),IF($I$9&lt;&gt;0,XIRR(CHOOSE({1,2,3,4,5,6,7,8},$I$9,$I$10,$I$11,$I$12,$I$13,#REF!,$I$14,L$19),CHOOSE({1,2,3,4,5,6,7,8},$H$9,$H$10,$H$11,$H$12,$H$13,#REF!,$H$14,$C23),IRR(CHOOSE({1,2,3,4,5,6,7,8,9,10},$I$6,$I$7,$I$9,$I$10,$I$11,$I$12,$I$13,#REF!,$I$14,L$19))),IF($I$10&lt;&gt;0,XIRR(CHOOSE({1,2,3,4,5,6,7},$I$10,$I$11,$I$12,$I$13,#REF!,$I$14,L$19),CHOOSE({1,2,3,4,5,6,7},$H$10,$H$11,$H$12,$H$13,#REF!,$H$14,$C23),IRR(CHOOSE({1,2,3,4,5,6,7,8,9,10},$I$6,$I$7,$I$9,$I$10,$I$11,$I$12,$I$13,#REF!,$I$14,L$19))),IF($I$11&lt;&gt;0,XIRR(CHOOSE({1,2,3,4,5,6},$I$11,$I$12,$I$13,#REF!,$I$14,L$19),CHOOSE({1,2,3,4,5,6},$H$11,$H$12,$H$13,#REF!,$H$14,$C23),IRR(CHOOSE({1,2,3,4,5,6,7,8,9,10},$I$6,$I$7,$I$9,$I$10,$I$11,$I$12,$I$13,#REF!,$I$14,L$19))),IF($I$12&lt;&gt;0,XIRR(CHOOSE({1,2,3,4,5},$I$12,$I$13,#REF!,$I$14,L$19),CHOOSE({1,2,3,4,5},$H$12,$H$13,#REF!,$H$14,$C23),IRR(CHOOSE({1,2,3,4,5,6,7,8,9,10},$I$6,$I$7,$I$9,$I$10,$I$11,$I$12,$I$13,#REF!,$I$14,L$19))),IF($I$13&lt;&gt;0,XIRR(CHOOSE({1,2,3,4},$I$13,#REF!,$I$14,L$19),CHOOSE({1,2,3,4},$H$13,#REF!,$H$14,$C23),IRR(CHOOSE({1,2,3,4,5,6,7,8,9,10},$I$6,$I$7,$I$9,$I$10,$I$11,$I$12,$I$13,#REF!,$I$14,L$19))),IF(#REF!&lt;&gt;0,XIRR(CHOOSE({1,2,3},#REF!,$I$14,L$19),CHOOSE({1,2,3},#REF!,$H$14,$C23),IRR(CHOOSE({1,2,3,4,5,6,7,8,9,10},$I$6,$I$7,$I$9,$I$10,$I$11,$I$12,$I$13,#REF!,$I$14,L$19))),IF($I$14&lt;&gt;0,XIRR(CHOOSE({1,2},$I$14,L$19),CHOOSE({1,2},$H$14,$C23)))))))))))),"Negative")</f>
        <v>Negative</v>
      </c>
      <c r="M23" s="180"/>
      <c r="N23" s="180"/>
      <c r="T23" s="180"/>
    </row>
    <row r="24" spans="1:25" s="388" customFormat="1" ht="4.1500000000000004" customHeight="1" outlineLevel="1" x14ac:dyDescent="0.35">
      <c r="A24" s="2"/>
      <c r="B24" s="2"/>
      <c r="M24" s="189"/>
      <c r="N24" s="189"/>
      <c r="T24" s="189"/>
    </row>
    <row r="25" spans="1:25" s="3" customFormat="1" ht="16" thickBot="1" x14ac:dyDescent="0.4">
      <c r="C25" s="441"/>
      <c r="D25" s="441"/>
      <c r="J25" s="768"/>
      <c r="M25" s="180"/>
      <c r="N25" s="180"/>
      <c r="T25" s="180"/>
    </row>
    <row r="26" spans="1:25" s="3" customFormat="1" ht="16" outlineLevel="1" thickBot="1" x14ac:dyDescent="0.4">
      <c r="C26" s="31" t="s">
        <v>110</v>
      </c>
      <c r="H26" s="442" t="s">
        <v>105</v>
      </c>
      <c r="M26" s="180"/>
      <c r="N26" s="180"/>
      <c r="T26" s="180"/>
    </row>
    <row r="27" spans="1:25" s="3" customFormat="1" outlineLevel="1" x14ac:dyDescent="0.35">
      <c r="C27" s="422" t="s">
        <v>106</v>
      </c>
      <c r="D27" s="443">
        <f t="shared" ref="D27:L27" si="4">D17</f>
        <v>0</v>
      </c>
      <c r="E27" s="443">
        <f t="shared" si="4"/>
        <v>0</v>
      </c>
      <c r="F27" s="443">
        <f t="shared" si="4"/>
        <v>0</v>
      </c>
      <c r="G27" s="444" t="e">
        <f t="shared" si="4"/>
        <v>#DIV/0!</v>
      </c>
      <c r="H27" s="443" t="e">
        <f t="shared" si="4"/>
        <v>#DIV/0!</v>
      </c>
      <c r="I27" s="445" t="e">
        <f t="shared" si="4"/>
        <v>#DIV/0!</v>
      </c>
      <c r="J27" s="443" t="e">
        <f t="shared" si="4"/>
        <v>#DIV/0!</v>
      </c>
      <c r="K27" s="443" t="e">
        <f t="shared" si="4"/>
        <v>#DIV/0!</v>
      </c>
      <c r="L27" s="443" t="e">
        <f t="shared" si="4"/>
        <v>#DIV/0!</v>
      </c>
      <c r="M27" s="180"/>
      <c r="N27" s="180"/>
      <c r="T27" s="180"/>
    </row>
    <row r="28" spans="1:25" s="430" customFormat="1" ht="12.4" customHeight="1" outlineLevel="1" x14ac:dyDescent="0.35">
      <c r="A28" s="52"/>
      <c r="B28" s="52"/>
      <c r="C28" s="424" t="s">
        <v>107</v>
      </c>
      <c r="D28" s="425" t="e">
        <f t="shared" ref="D28:L28" si="5">D27/$H$17-1</f>
        <v>#DIV/0!</v>
      </c>
      <c r="E28" s="425" t="e">
        <f t="shared" si="5"/>
        <v>#DIV/0!</v>
      </c>
      <c r="F28" s="425" t="e">
        <f t="shared" si="5"/>
        <v>#DIV/0!</v>
      </c>
      <c r="G28" s="426" t="e">
        <f t="shared" si="5"/>
        <v>#DIV/0!</v>
      </c>
      <c r="H28" s="425" t="e">
        <f t="shared" si="5"/>
        <v>#DIV/0!</v>
      </c>
      <c r="I28" s="428" t="e">
        <f t="shared" si="5"/>
        <v>#DIV/0!</v>
      </c>
      <c r="J28" s="425" t="e">
        <f t="shared" si="5"/>
        <v>#DIV/0!</v>
      </c>
      <c r="K28" s="425" t="e">
        <f t="shared" si="5"/>
        <v>#DIV/0!</v>
      </c>
      <c r="L28" s="425" t="e">
        <f t="shared" si="5"/>
        <v>#DIV/0!</v>
      </c>
      <c r="M28" s="429"/>
      <c r="N28" s="429"/>
      <c r="T28" s="429"/>
      <c r="U28" s="113"/>
      <c r="V28" s="113"/>
      <c r="W28" s="113"/>
      <c r="X28" s="52"/>
      <c r="Y28" s="52"/>
    </row>
    <row r="29" spans="1:25" s="3" customFormat="1" outlineLevel="1" x14ac:dyDescent="0.35">
      <c r="C29" s="431" t="s">
        <v>111</v>
      </c>
      <c r="D29" s="432" t="e">
        <f t="shared" ref="D29:L29" si="6">($D$12*D$27)</f>
        <v>#DIV/0!</v>
      </c>
      <c r="E29" s="432" t="e">
        <f t="shared" si="6"/>
        <v>#DIV/0!</v>
      </c>
      <c r="F29" s="432" t="e">
        <f t="shared" si="6"/>
        <v>#DIV/0!</v>
      </c>
      <c r="G29" s="432" t="e">
        <f t="shared" si="6"/>
        <v>#DIV/0!</v>
      </c>
      <c r="H29" s="432" t="e">
        <f t="shared" si="6"/>
        <v>#DIV/0!</v>
      </c>
      <c r="I29" s="432" t="e">
        <f t="shared" si="6"/>
        <v>#DIV/0!</v>
      </c>
      <c r="J29" s="432" t="e">
        <f t="shared" si="6"/>
        <v>#DIV/0!</v>
      </c>
      <c r="K29" s="432" t="e">
        <f t="shared" si="6"/>
        <v>#DIV/0!</v>
      </c>
      <c r="L29" s="432" t="e">
        <f t="shared" si="6"/>
        <v>#DIV/0!</v>
      </c>
      <c r="M29" s="180"/>
      <c r="N29" s="180"/>
      <c r="T29" s="180"/>
    </row>
    <row r="30" spans="1:25" s="3" customFormat="1" outlineLevel="1" x14ac:dyDescent="0.35">
      <c r="C30" s="422" t="s">
        <v>112</v>
      </c>
      <c r="D30" s="434" t="e">
        <f t="shared" ref="D30:L30" si="7">D29/$D$7</f>
        <v>#DIV/0!</v>
      </c>
      <c r="E30" s="434" t="e">
        <f t="shared" si="7"/>
        <v>#DIV/0!</v>
      </c>
      <c r="F30" s="434" t="e">
        <f t="shared" si="7"/>
        <v>#DIV/0!</v>
      </c>
      <c r="G30" s="435" t="e">
        <f t="shared" si="7"/>
        <v>#DIV/0!</v>
      </c>
      <c r="H30" s="434" t="e">
        <f t="shared" si="7"/>
        <v>#DIV/0!</v>
      </c>
      <c r="I30" s="437" t="e">
        <f t="shared" si="7"/>
        <v>#DIV/0!</v>
      </c>
      <c r="J30" s="434" t="e">
        <f t="shared" si="7"/>
        <v>#DIV/0!</v>
      </c>
      <c r="K30" s="434" t="e">
        <f t="shared" si="7"/>
        <v>#DIV/0!</v>
      </c>
      <c r="L30" s="434" t="e">
        <f t="shared" si="7"/>
        <v>#DIV/0!</v>
      </c>
      <c r="M30" s="180"/>
      <c r="N30" s="180"/>
      <c r="T30" s="180"/>
    </row>
    <row r="31" spans="1:25" s="3" customFormat="1" outlineLevel="1" x14ac:dyDescent="0.35">
      <c r="C31" s="431" t="s">
        <v>113</v>
      </c>
      <c r="D31" s="432">
        <f>($D$13*D$27)</f>
        <v>0</v>
      </c>
      <c r="E31" s="432">
        <f t="shared" ref="E31:L31" si="8">($D$13*E$27)</f>
        <v>0</v>
      </c>
      <c r="F31" s="432">
        <f t="shared" si="8"/>
        <v>0</v>
      </c>
      <c r="G31" s="432" t="e">
        <f t="shared" si="8"/>
        <v>#DIV/0!</v>
      </c>
      <c r="H31" s="432" t="e">
        <f t="shared" si="8"/>
        <v>#DIV/0!</v>
      </c>
      <c r="I31" s="432" t="e">
        <f t="shared" si="8"/>
        <v>#DIV/0!</v>
      </c>
      <c r="J31" s="432" t="e">
        <f t="shared" si="8"/>
        <v>#DIV/0!</v>
      </c>
      <c r="K31" s="432" t="e">
        <f t="shared" si="8"/>
        <v>#DIV/0!</v>
      </c>
      <c r="L31" s="432" t="e">
        <f t="shared" si="8"/>
        <v>#DIV/0!</v>
      </c>
      <c r="M31" s="180"/>
      <c r="N31" s="180"/>
      <c r="T31" s="180"/>
    </row>
    <row r="32" spans="1:25" s="3" customFormat="1" outlineLevel="1" x14ac:dyDescent="0.35">
      <c r="C32" s="422" t="s">
        <v>114</v>
      </c>
      <c r="D32" s="1300" t="e">
        <f>D31/$D$8</f>
        <v>#DIV/0!</v>
      </c>
      <c r="E32" s="1300" t="e">
        <f t="shared" ref="E32:L32" si="9">E31/$D$8</f>
        <v>#DIV/0!</v>
      </c>
      <c r="F32" s="1300" t="e">
        <f t="shared" si="9"/>
        <v>#DIV/0!</v>
      </c>
      <c r="G32" s="1300" t="e">
        <f t="shared" si="9"/>
        <v>#DIV/0!</v>
      </c>
      <c r="H32" s="1300" t="e">
        <f t="shared" si="9"/>
        <v>#DIV/0!</v>
      </c>
      <c r="I32" s="1300" t="e">
        <f t="shared" si="9"/>
        <v>#DIV/0!</v>
      </c>
      <c r="J32" s="1300" t="e">
        <f t="shared" si="9"/>
        <v>#DIV/0!</v>
      </c>
      <c r="K32" s="1300" t="e">
        <f t="shared" si="9"/>
        <v>#DIV/0!</v>
      </c>
      <c r="L32" s="1300" t="e">
        <f t="shared" si="9"/>
        <v>#DIV/0!</v>
      </c>
      <c r="M32" s="180"/>
      <c r="N32" s="180"/>
      <c r="T32" s="180"/>
    </row>
    <row r="33" spans="1:20" s="3" customFormat="1" outlineLevel="1" x14ac:dyDescent="0.35">
      <c r="C33" s="446">
        <f ca="1">C21</f>
        <v>46752</v>
      </c>
      <c r="D33" s="769" t="str">
        <f>IFERROR(IF(IF($I$6&lt;&gt;0,XIRR(CHOOSE({1,2,3,4,5,6,7,8,9,10},$I$6,$I$7,$I$9,$I$10,$I$11,$I$12,$I$13,#REF!,$I$14,D$29),CHOOSE({1,2,3,4,5,6,7,8,9,10},$H$6,$H$7,$H$9,$H$10,$H$11,$H$12,$H$13,#REF!,$H$14,$C33),IRR(CHOOSE({1,2,3,4,5,6,7,8,9,10},$I$6,$I$7,$I$9,$I$10,$I$11,$I$12,$I$13,#REF!,$I$14,D$29))),IF($I$7&lt;&gt;0,XIRR(CHOOSE({1,2,3,4,5,6,7,8,9},$I$7,$I$9,$I$10,$I$11,$I$12,$I$13,#REF!,$I$14,D$29),CHOOSE({1,2,3,4,5,6,7,8,9},$H$7,$H$9,$H$10,$H$11,$H$12,$H$13,#REF!,$H$14,$C33),IRR(CHOOSE({1,2,3,4,5,6,7,8,9,10},$I$6,$I$7,$I$9,$I$10,$I$11,$I$12,$I$13,#REF!,$I$14,D$29))),IF($I$9&lt;&gt;0,XIRR(CHOOSE({1,2,3,4,5,6,7,8},$I$9,$I$10,$I$11,$I$12,$I$13,#REF!,$I$14,D$29),CHOOSE({1,2,3,4,5,6,7,8},$H$9,$H$10,$H$11,$H$12,$H$13,#REF!,$H$14,$C33),IRR(CHOOSE({1,2,3,4,5,6,7,8,9,10},$I$6,$I$7,$I$9,$I$10,$I$11,$I$12,$I$13,#REF!,$I$14,D$29))),IF($I$10&lt;&gt;0,XIRR(CHOOSE({1,2,3,4,5,6,7},$I$10,$I$11,$I$12,$I$13,#REF!,$I$14,D$29),CHOOSE({1,2,3,4,5,6,7},$H$10,$H$11,$H$12,$H$13,#REF!,$H$14,$C33),IRR(CHOOSE({1,2,3,4,5,6,7,8,9,10},$I$6,$I$7,$I$9,$I$10,$I$11,$I$12,$I$13,#REF!,$I$14,D$29))),IF($I$11&lt;&gt;0,XIRR(CHOOSE({1,2,3,4,5,6},$I$11,$I$12,$I$13,#REF!,$I$14,D$29),CHOOSE({1,2,3,4,5,6},$H$11,$H$12,$H$13,#REF!,$H$14,$C33),IRR(CHOOSE({1,2,3,4,5,6,7,8,9,10},$I$6,$I$7,$I$9,$I$10,$I$11,$I$12,$I$13,#REF!,$I$14,D$29))),IF($I$12&lt;&gt;0,XIRR(CHOOSE({1,2,3,4,5},$I$12,$I$13,#REF!,$I$14,D$29),CHOOSE({1,2,3,4,5},$H$12,$H$13,#REF!,$H$14,$C33),IRR(CHOOSE({1,2,3,4,5,6,7,8,9,10},$I$6,$I$7,$I$9,$I$10,$I$11,$I$12,$I$13,#REF!,$I$14,D$29))),IF($I$13&lt;&gt;0,XIRR(CHOOSE({1,2,3,4},$I$13,#REF!,$I$14,D$29),CHOOSE({1,2,3,4},$H$13,#REF!,$H$14,$C33),IRR(CHOOSE({1,2,3,4,5,6,7,8,9,10},$I$6,$I$7,$I$9,$I$10,$I$11,$I$12,$I$13,#REF!,$I$14,D$29))),IF(#REF!&lt;&gt;0,XIRR(CHOOSE({1,2,3},#REF!,$I$14,D$29),CHOOSE({1,2,3},#REF!,$H$14,$C33),IRR(CHOOSE({1,2,3,4,5,6,7,8,9,10},$I$6,$I$7,$I$9,$I$10,$I$11,$I$12,$I$13,#REF!,$I$14,D$29))),IF($I$14&lt;&gt;0,XIRR(CHOOSE({1,2},$I$14,D$29),CHOOSE({1,2},$H$14,$C33)))))))))))&lt;0,"Negative",IF($I$6&lt;&gt;0,XIRR(CHOOSE({1,2,3,4,5,6,7,8,9,10},$I$6,$I$7,$I$9,$I$10,$I$11,$I$12,$I$13,#REF!,$I$14,D$29),CHOOSE({1,2,3,4,5,6,7,8,9,10},$H$6,$H$7,$H$9,$H$10,$H$11,$H$12,$H$13,#REF!,$H$14,$C33),IRR(CHOOSE({1,2,3,4,5,6,7,8,9,10},$I$6,$I$7,$I$9,$I$10,$I$11,$I$12,$I$13,#REF!,$I$14,D$29))),IF($I$7&lt;&gt;0,XIRR(CHOOSE({1,2,3,4,5,6,7,8,9},$I$7,$I$9,$I$10,$I$11,$I$12,$I$13,#REF!,$I$14,D$29),CHOOSE({1,2,3,4,5,6,7,8,9},$H$7,$H$9,$H$10,$H$11,$H$12,$H$13,#REF!,$H$14,$C33),IRR(CHOOSE({1,2,3,4,5,6,7,8,9,10},$I$6,$I$7,$I$9,$I$10,$I$11,$I$12,$I$13,#REF!,$I$14,D$29))),IF($I$9&lt;&gt;0,XIRR(CHOOSE({1,2,3,4,5,6,7,8},$I$9,$I$10,$I$11,$I$12,$I$13,#REF!,$I$14,D$29),CHOOSE({1,2,3,4,5,6,7,8},$H$9,$H$10,$H$11,$H$12,$H$13,#REF!,$H$14,$C33),IRR(CHOOSE({1,2,3,4,5,6,7,8,9,10},$I$6,$I$7,$I$9,$I$10,$I$11,$I$12,$I$13,#REF!,$I$14,D$29))),IF($I$10&lt;&gt;0,XIRR(CHOOSE({1,2,3,4,5,6,7},$I$10,$I$11,$I$12,$I$13,#REF!,$I$14,D$29),CHOOSE({1,2,3,4,5,6,7},$H$10,$H$11,$H$12,$H$13,#REF!,$H$14,$C33),IRR(CHOOSE({1,2,3,4,5,6,7,8,9,10},$I$6,$I$7,$I$9,$I$10,$I$11,$I$12,$I$13,#REF!,$I$14,D$29))),IF($I$11&lt;&gt;0,XIRR(CHOOSE({1,2,3,4,5,6},$I$11,$I$12,$I$13,#REF!,$I$14,D$29),CHOOSE({1,2,3,4,5,6},$H$11,$H$12,$H$13,#REF!,$H$14,$C33),IRR(CHOOSE({1,2,3,4,5,6,7,8,9,10},$I$6,$I$7,$I$9,$I$10,$I$11,$I$12,$I$13,#REF!,$I$14,D$29))),IF($I$12&lt;&gt;0,XIRR(CHOOSE({1,2,3,4,5},$I$12,$I$13,#REF!,$I$14,D$29),CHOOSE({1,2,3,4,5},$H$12,$H$13,#REF!,$H$14,$C33),IRR(CHOOSE({1,2,3,4,5,6,7,8,9,10},$I$6,$I$7,$I$9,$I$10,$I$11,$I$12,$I$13,#REF!,$I$14,D$29))),IF($I$13&lt;&gt;0,XIRR(CHOOSE({1,2,3,4},$I$13,#REF!,$I$14,D$29),CHOOSE({1,2,3,4},$H$13,#REF!,$H$14,$C33),IRR(CHOOSE({1,2,3,4,5,6,7,8,9,10},$I$6,$I$7,$I$9,$I$10,$I$11,$I$12,$I$13,#REF!,$I$14,D$29))),IF(#REF!&lt;&gt;0,XIRR(CHOOSE({1,2,3},#REF!,$I$14,D$29),CHOOSE({1,2,3},#REF!,$H$14,$C33),IRR(CHOOSE({1,2,3,4,5,6,7,8,9,10},$I$6,$I$7,$I$9,$I$10,$I$11,$I$12,$I$13,#REF!,$I$14,D$29))),IF($I$14&lt;&gt;0,XIRR(CHOOSE({1,2},$I$14,D$29),CHOOSE({1,2},$H$14,$C33)))))))))))),"Negative")</f>
        <v>Negative</v>
      </c>
      <c r="E33" s="769" t="str">
        <f>IFERROR(IF(IF($I$6&lt;&gt;0,XIRR(CHOOSE({1,2,3,4,5,6,7,8,9,10},$I$6,$I$7,$I$9,$I$10,$I$11,$I$12,$I$13,#REF!,$I$14,E$29),CHOOSE({1,2,3,4,5,6,7,8,9,10},$H$6,$H$7,$H$9,$H$10,$H$11,$H$12,$H$13,#REF!,$H$14,$C33),IRR(CHOOSE({1,2,3,4,5,6,7,8,9,10},$I$6,$I$7,$I$9,$I$10,$I$11,$I$12,$I$13,#REF!,$I$14,E$29))),IF($I$7&lt;&gt;0,XIRR(CHOOSE({1,2,3,4,5,6,7,8,9},$I$7,$I$9,$I$10,$I$11,$I$12,$I$13,#REF!,$I$14,E$29),CHOOSE({1,2,3,4,5,6,7,8,9},$H$7,$H$9,$H$10,$H$11,$H$12,$H$13,#REF!,$H$14,$C33),IRR(CHOOSE({1,2,3,4,5,6,7,8,9,10},$I$6,$I$7,$I$9,$I$10,$I$11,$I$12,$I$13,#REF!,$I$14,E$29))),IF($I$9&lt;&gt;0,XIRR(CHOOSE({1,2,3,4,5,6,7,8},$I$9,$I$10,$I$11,$I$12,$I$13,#REF!,$I$14,E$29),CHOOSE({1,2,3,4,5,6,7,8},$H$9,$H$10,$H$11,$H$12,$H$13,#REF!,$H$14,$C33),IRR(CHOOSE({1,2,3,4,5,6,7,8,9,10},$I$6,$I$7,$I$9,$I$10,$I$11,$I$12,$I$13,#REF!,$I$14,E$29))),IF($I$10&lt;&gt;0,XIRR(CHOOSE({1,2,3,4,5,6,7},$I$10,$I$11,$I$12,$I$13,#REF!,$I$14,E$29),CHOOSE({1,2,3,4,5,6,7},$H$10,$H$11,$H$12,$H$13,#REF!,$H$14,$C33),IRR(CHOOSE({1,2,3,4,5,6,7,8,9,10},$I$6,$I$7,$I$9,$I$10,$I$11,$I$12,$I$13,#REF!,$I$14,E$29))),IF($I$11&lt;&gt;0,XIRR(CHOOSE({1,2,3,4,5,6},$I$11,$I$12,$I$13,#REF!,$I$14,E$29),CHOOSE({1,2,3,4,5,6},$H$11,$H$12,$H$13,#REF!,$H$14,$C33),IRR(CHOOSE({1,2,3,4,5,6,7,8,9,10},$I$6,$I$7,$I$9,$I$10,$I$11,$I$12,$I$13,#REF!,$I$14,E$29))),IF($I$12&lt;&gt;0,XIRR(CHOOSE({1,2,3,4,5},$I$12,$I$13,#REF!,$I$14,E$29),CHOOSE({1,2,3,4,5},$H$12,$H$13,#REF!,$H$14,$C33),IRR(CHOOSE({1,2,3,4,5,6,7,8,9,10},$I$6,$I$7,$I$9,$I$10,$I$11,$I$12,$I$13,#REF!,$I$14,E$29))),IF($I$13&lt;&gt;0,XIRR(CHOOSE({1,2,3,4},$I$13,#REF!,$I$14,E$29),CHOOSE({1,2,3,4},$H$13,#REF!,$H$14,$C33),IRR(CHOOSE({1,2,3,4,5,6,7,8,9,10},$I$6,$I$7,$I$9,$I$10,$I$11,$I$12,$I$13,#REF!,$I$14,E$29))),IF(#REF!&lt;&gt;0,XIRR(CHOOSE({1,2,3},#REF!,$I$14,E$29),CHOOSE({1,2,3},#REF!,$H$14,$C33),IRR(CHOOSE({1,2,3,4,5,6,7,8,9,10},$I$6,$I$7,$I$9,$I$10,$I$11,$I$12,$I$13,#REF!,$I$14,E$29))),IF($I$14&lt;&gt;0,XIRR(CHOOSE({1,2},$I$14,E$29),CHOOSE({1,2},$H$14,$C33)))))))))))&lt;0,"Negative",IF($I$6&lt;&gt;0,XIRR(CHOOSE({1,2,3,4,5,6,7,8,9,10},$I$6,$I$7,$I$9,$I$10,$I$11,$I$12,$I$13,#REF!,$I$14,E$29),CHOOSE({1,2,3,4,5,6,7,8,9,10},$H$6,$H$7,$H$9,$H$10,$H$11,$H$12,$H$13,#REF!,$H$14,$C33),IRR(CHOOSE({1,2,3,4,5,6,7,8,9,10},$I$6,$I$7,$I$9,$I$10,$I$11,$I$12,$I$13,#REF!,$I$14,E$29))),IF($I$7&lt;&gt;0,XIRR(CHOOSE({1,2,3,4,5,6,7,8,9},$I$7,$I$9,$I$10,$I$11,$I$12,$I$13,#REF!,$I$14,E$29),CHOOSE({1,2,3,4,5,6,7,8,9},$H$7,$H$9,$H$10,$H$11,$H$12,$H$13,#REF!,$H$14,$C33),IRR(CHOOSE({1,2,3,4,5,6,7,8,9,10},$I$6,$I$7,$I$9,$I$10,$I$11,$I$12,$I$13,#REF!,$I$14,E$29))),IF($I$9&lt;&gt;0,XIRR(CHOOSE({1,2,3,4,5,6,7,8},$I$9,$I$10,$I$11,$I$12,$I$13,#REF!,$I$14,E$29),CHOOSE({1,2,3,4,5,6,7,8},$H$9,$H$10,$H$11,$H$12,$H$13,#REF!,$H$14,$C33),IRR(CHOOSE({1,2,3,4,5,6,7,8,9,10},$I$6,$I$7,$I$9,$I$10,$I$11,$I$12,$I$13,#REF!,$I$14,E$29))),IF($I$10&lt;&gt;0,XIRR(CHOOSE({1,2,3,4,5,6,7},$I$10,$I$11,$I$12,$I$13,#REF!,$I$14,E$29),CHOOSE({1,2,3,4,5,6,7},$H$10,$H$11,$H$12,$H$13,#REF!,$H$14,$C33),IRR(CHOOSE({1,2,3,4,5,6,7,8,9,10},$I$6,$I$7,$I$9,$I$10,$I$11,$I$12,$I$13,#REF!,$I$14,E$29))),IF($I$11&lt;&gt;0,XIRR(CHOOSE({1,2,3,4,5,6},$I$11,$I$12,$I$13,#REF!,$I$14,E$29),CHOOSE({1,2,3,4,5,6},$H$11,$H$12,$H$13,#REF!,$H$14,$C33),IRR(CHOOSE({1,2,3,4,5,6,7,8,9,10},$I$6,$I$7,$I$9,$I$10,$I$11,$I$12,$I$13,#REF!,$I$14,E$29))),IF($I$12&lt;&gt;0,XIRR(CHOOSE({1,2,3,4,5},$I$12,$I$13,#REF!,$I$14,E$29),CHOOSE({1,2,3,4,5},$H$12,$H$13,#REF!,$H$14,$C33),IRR(CHOOSE({1,2,3,4,5,6,7,8,9,10},$I$6,$I$7,$I$9,$I$10,$I$11,$I$12,$I$13,#REF!,$I$14,E$29))),IF($I$13&lt;&gt;0,XIRR(CHOOSE({1,2,3,4},$I$13,#REF!,$I$14,E$29),CHOOSE({1,2,3,4},$H$13,#REF!,$H$14,$C33),IRR(CHOOSE({1,2,3,4,5,6,7,8,9,10},$I$6,$I$7,$I$9,$I$10,$I$11,$I$12,$I$13,#REF!,$I$14,E$29))),IF(#REF!&lt;&gt;0,XIRR(CHOOSE({1,2,3},#REF!,$I$14,E$29),CHOOSE({1,2,3},#REF!,$H$14,$C33),IRR(CHOOSE({1,2,3,4,5,6,7,8,9,10},$I$6,$I$7,$I$9,$I$10,$I$11,$I$12,$I$13,#REF!,$I$14,E$29))),IF($I$14&lt;&gt;0,XIRR(CHOOSE({1,2},$I$14,E$29),CHOOSE({1,2},$H$14,$C33)))))))))))),"Negative")</f>
        <v>Negative</v>
      </c>
      <c r="F33" s="769" t="str">
        <f>IFERROR(IF(IF($I$6&lt;&gt;0,XIRR(CHOOSE({1,2,3,4,5,6,7,8,9,10},$I$6,$I$7,$I$9,$I$10,$I$11,$I$12,$I$13,#REF!,$I$14,F$29),CHOOSE({1,2,3,4,5,6,7,8,9,10},$H$6,$H$7,$H$9,$H$10,$H$11,$H$12,$H$13,#REF!,$H$14,$C33),IRR(CHOOSE({1,2,3,4,5,6,7,8,9,10},$I$6,$I$7,$I$9,$I$10,$I$11,$I$12,$I$13,#REF!,$I$14,F$29))),IF($I$7&lt;&gt;0,XIRR(CHOOSE({1,2,3,4,5,6,7,8,9},$I$7,$I$9,$I$10,$I$11,$I$12,$I$13,#REF!,$I$14,F$29),CHOOSE({1,2,3,4,5,6,7,8,9},$H$7,$H$9,$H$10,$H$11,$H$12,$H$13,#REF!,$H$14,$C33),IRR(CHOOSE({1,2,3,4,5,6,7,8,9,10},$I$6,$I$7,$I$9,$I$10,$I$11,$I$12,$I$13,#REF!,$I$14,F$29))),IF($I$9&lt;&gt;0,XIRR(CHOOSE({1,2,3,4,5,6,7,8},$I$9,$I$10,$I$11,$I$12,$I$13,#REF!,$I$14,F$29),CHOOSE({1,2,3,4,5,6,7,8},$H$9,$H$10,$H$11,$H$12,$H$13,#REF!,$H$14,$C33),IRR(CHOOSE({1,2,3,4,5,6,7,8,9,10},$I$6,$I$7,$I$9,$I$10,$I$11,$I$12,$I$13,#REF!,$I$14,F$29))),IF($I$10&lt;&gt;0,XIRR(CHOOSE({1,2,3,4,5,6,7},$I$10,$I$11,$I$12,$I$13,#REF!,$I$14,F$29),CHOOSE({1,2,3,4,5,6,7},$H$10,$H$11,$H$12,$H$13,#REF!,$H$14,$C33),IRR(CHOOSE({1,2,3,4,5,6,7,8,9,10},$I$6,$I$7,$I$9,$I$10,$I$11,$I$12,$I$13,#REF!,$I$14,F$29))),IF($I$11&lt;&gt;0,XIRR(CHOOSE({1,2,3,4,5,6},$I$11,$I$12,$I$13,#REF!,$I$14,F$29),CHOOSE({1,2,3,4,5,6},$H$11,$H$12,$H$13,#REF!,$H$14,$C33),IRR(CHOOSE({1,2,3,4,5,6,7,8,9,10},$I$6,$I$7,$I$9,$I$10,$I$11,$I$12,$I$13,#REF!,$I$14,F$29))),IF($I$12&lt;&gt;0,XIRR(CHOOSE({1,2,3,4,5},$I$12,$I$13,#REF!,$I$14,F$29),CHOOSE({1,2,3,4,5},$H$12,$H$13,#REF!,$H$14,$C33),IRR(CHOOSE({1,2,3,4,5,6,7,8,9,10},$I$6,$I$7,$I$9,$I$10,$I$11,$I$12,$I$13,#REF!,$I$14,F$29))),IF($I$13&lt;&gt;0,XIRR(CHOOSE({1,2,3,4},$I$13,#REF!,$I$14,F$29),CHOOSE({1,2,3,4},$H$13,#REF!,$H$14,$C33),IRR(CHOOSE({1,2,3,4,5,6,7,8,9,10},$I$6,$I$7,$I$9,$I$10,$I$11,$I$12,$I$13,#REF!,$I$14,F$29))),IF(#REF!&lt;&gt;0,XIRR(CHOOSE({1,2,3},#REF!,$I$14,F$29),CHOOSE({1,2,3},#REF!,$H$14,$C33),IRR(CHOOSE({1,2,3,4,5,6,7,8,9,10},$I$6,$I$7,$I$9,$I$10,$I$11,$I$12,$I$13,#REF!,$I$14,F$29))),IF($I$14&lt;&gt;0,XIRR(CHOOSE({1,2},$I$14,F$29),CHOOSE({1,2},$H$14,$C33)))))))))))&lt;0,"Negative",IF($I$6&lt;&gt;0,XIRR(CHOOSE({1,2,3,4,5,6,7,8,9,10},$I$6,$I$7,$I$9,$I$10,$I$11,$I$12,$I$13,#REF!,$I$14,F$29),CHOOSE({1,2,3,4,5,6,7,8,9,10},$H$6,$H$7,$H$9,$H$10,$H$11,$H$12,$H$13,#REF!,$H$14,$C33),IRR(CHOOSE({1,2,3,4,5,6,7,8,9,10},$I$6,$I$7,$I$9,$I$10,$I$11,$I$12,$I$13,#REF!,$I$14,F$29))),IF($I$7&lt;&gt;0,XIRR(CHOOSE({1,2,3,4,5,6,7,8,9},$I$7,$I$9,$I$10,$I$11,$I$12,$I$13,#REF!,$I$14,F$29),CHOOSE({1,2,3,4,5,6,7,8,9},$H$7,$H$9,$H$10,$H$11,$H$12,$H$13,#REF!,$H$14,$C33),IRR(CHOOSE({1,2,3,4,5,6,7,8,9,10},$I$6,$I$7,$I$9,$I$10,$I$11,$I$12,$I$13,#REF!,$I$14,F$29))),IF($I$9&lt;&gt;0,XIRR(CHOOSE({1,2,3,4,5,6,7,8},$I$9,$I$10,$I$11,$I$12,$I$13,#REF!,$I$14,F$29),CHOOSE({1,2,3,4,5,6,7,8},$H$9,$H$10,$H$11,$H$12,$H$13,#REF!,$H$14,$C33),IRR(CHOOSE({1,2,3,4,5,6,7,8,9,10},$I$6,$I$7,$I$9,$I$10,$I$11,$I$12,$I$13,#REF!,$I$14,F$29))),IF($I$10&lt;&gt;0,XIRR(CHOOSE({1,2,3,4,5,6,7},$I$10,$I$11,$I$12,$I$13,#REF!,$I$14,F$29),CHOOSE({1,2,3,4,5,6,7},$H$10,$H$11,$H$12,$H$13,#REF!,$H$14,$C33),IRR(CHOOSE({1,2,3,4,5,6,7,8,9,10},$I$6,$I$7,$I$9,$I$10,$I$11,$I$12,$I$13,#REF!,$I$14,F$29))),IF($I$11&lt;&gt;0,XIRR(CHOOSE({1,2,3,4,5,6},$I$11,$I$12,$I$13,#REF!,$I$14,F$29),CHOOSE({1,2,3,4,5,6},$H$11,$H$12,$H$13,#REF!,$H$14,$C33),IRR(CHOOSE({1,2,3,4,5,6,7,8,9,10},$I$6,$I$7,$I$9,$I$10,$I$11,$I$12,$I$13,#REF!,$I$14,F$29))),IF($I$12&lt;&gt;0,XIRR(CHOOSE({1,2,3,4,5},$I$12,$I$13,#REF!,$I$14,F$29),CHOOSE({1,2,3,4,5},$H$12,$H$13,#REF!,$H$14,$C33),IRR(CHOOSE({1,2,3,4,5,6,7,8,9,10},$I$6,$I$7,$I$9,$I$10,$I$11,$I$12,$I$13,#REF!,$I$14,F$29))),IF($I$13&lt;&gt;0,XIRR(CHOOSE({1,2,3,4},$I$13,#REF!,$I$14,F$29),CHOOSE({1,2,3,4},$H$13,#REF!,$H$14,$C33),IRR(CHOOSE({1,2,3,4,5,6,7,8,9,10},$I$6,$I$7,$I$9,$I$10,$I$11,$I$12,$I$13,#REF!,$I$14,F$29))),IF(#REF!&lt;&gt;0,XIRR(CHOOSE({1,2,3},#REF!,$I$14,F$29),CHOOSE({1,2,3},#REF!,$H$14,$C33),IRR(CHOOSE({1,2,3,4,5,6,7,8,9,10},$I$6,$I$7,$I$9,$I$10,$I$11,$I$12,$I$13,#REF!,$I$14,F$29))),IF($I$14&lt;&gt;0,XIRR(CHOOSE({1,2},$I$14,F$29),CHOOSE({1,2},$H$14,$C33)))))))))))),"Negative")</f>
        <v>Negative</v>
      </c>
      <c r="G33" s="770" t="str">
        <f>IFERROR(IF(IF($I$6&lt;&gt;0,XIRR(CHOOSE({1,2,3,4,5,6,7,8,9,10},$I$6,$I$7,$I$9,$I$10,$I$11,$I$12,$I$13,#REF!,$I$14,G$29),CHOOSE({1,2,3,4,5,6,7,8,9,10},$H$6,$H$7,$H$9,$H$10,$H$11,$H$12,$H$13,#REF!,$H$14,$C33),IRR(CHOOSE({1,2,3,4,5,6,7,8,9,10},$I$6,$I$7,$I$9,$I$10,$I$11,$I$12,$I$13,#REF!,$I$14,G$29))),IF($I$7&lt;&gt;0,XIRR(CHOOSE({1,2,3,4,5,6,7,8,9},$I$7,$I$9,$I$10,$I$11,$I$12,$I$13,#REF!,$I$14,G$29),CHOOSE({1,2,3,4,5,6,7,8,9},$H$7,$H$9,$H$10,$H$11,$H$12,$H$13,#REF!,$H$14,$C33),IRR(CHOOSE({1,2,3,4,5,6,7,8,9,10},$I$6,$I$7,$I$9,$I$10,$I$11,$I$12,$I$13,#REF!,$I$14,G$29))),IF($I$9&lt;&gt;0,XIRR(CHOOSE({1,2,3,4,5,6,7,8},$I$9,$I$10,$I$11,$I$12,$I$13,#REF!,$I$14,G$29),CHOOSE({1,2,3,4,5,6,7,8},$H$9,$H$10,$H$11,$H$12,$H$13,#REF!,$H$14,$C33),IRR(CHOOSE({1,2,3,4,5,6,7,8,9,10},$I$6,$I$7,$I$9,$I$10,$I$11,$I$12,$I$13,#REF!,$I$14,G$29))),IF($I$10&lt;&gt;0,XIRR(CHOOSE({1,2,3,4,5,6,7},$I$10,$I$11,$I$12,$I$13,#REF!,$I$14,G$29),CHOOSE({1,2,3,4,5,6,7},$H$10,$H$11,$H$12,$H$13,#REF!,$H$14,$C33),IRR(CHOOSE({1,2,3,4,5,6,7,8,9,10},$I$6,$I$7,$I$9,$I$10,$I$11,$I$12,$I$13,#REF!,$I$14,G$29))),IF($I$11&lt;&gt;0,XIRR(CHOOSE({1,2,3,4,5,6},$I$11,$I$12,$I$13,#REF!,$I$14,G$29),CHOOSE({1,2,3,4,5,6},$H$11,$H$12,$H$13,#REF!,$H$14,$C33),IRR(CHOOSE({1,2,3,4,5,6,7,8,9,10},$I$6,$I$7,$I$9,$I$10,$I$11,$I$12,$I$13,#REF!,$I$14,G$29))),IF($I$12&lt;&gt;0,XIRR(CHOOSE({1,2,3,4,5},$I$12,$I$13,#REF!,$I$14,G$29),CHOOSE({1,2,3,4,5},$H$12,$H$13,#REF!,$H$14,$C33),IRR(CHOOSE({1,2,3,4,5,6,7,8,9,10},$I$6,$I$7,$I$9,$I$10,$I$11,$I$12,$I$13,#REF!,$I$14,G$29))),IF($I$13&lt;&gt;0,XIRR(CHOOSE({1,2,3,4},$I$13,#REF!,$I$14,G$29),CHOOSE({1,2,3,4},$H$13,#REF!,$H$14,$C33),IRR(CHOOSE({1,2,3,4,5,6,7,8,9,10},$I$6,$I$7,$I$9,$I$10,$I$11,$I$12,$I$13,#REF!,$I$14,G$29))),IF(#REF!&lt;&gt;0,XIRR(CHOOSE({1,2,3},#REF!,$I$14,G$29),CHOOSE({1,2,3},#REF!,$H$14,$C33),IRR(CHOOSE({1,2,3,4,5,6,7,8,9,10},$I$6,$I$7,$I$9,$I$10,$I$11,$I$12,$I$13,#REF!,$I$14,G$29))),IF($I$14&lt;&gt;0,XIRR(CHOOSE({1,2},$I$14,G$29),CHOOSE({1,2},$H$14,$C33)))))))))))&lt;0,"Negative",IF($I$6&lt;&gt;0,XIRR(CHOOSE({1,2,3,4,5,6,7,8,9,10},$I$6,$I$7,$I$9,$I$10,$I$11,$I$12,$I$13,#REF!,$I$14,G$29),CHOOSE({1,2,3,4,5,6,7,8,9,10},$H$6,$H$7,$H$9,$H$10,$H$11,$H$12,$H$13,#REF!,$H$14,$C33),IRR(CHOOSE({1,2,3,4,5,6,7,8,9,10},$I$6,$I$7,$I$9,$I$10,$I$11,$I$12,$I$13,#REF!,$I$14,G$29))),IF($I$7&lt;&gt;0,XIRR(CHOOSE({1,2,3,4,5,6,7,8,9},$I$7,$I$9,$I$10,$I$11,$I$12,$I$13,#REF!,$I$14,G$29),CHOOSE({1,2,3,4,5,6,7,8,9},$H$7,$H$9,$H$10,$H$11,$H$12,$H$13,#REF!,$H$14,$C33),IRR(CHOOSE({1,2,3,4,5,6,7,8,9,10},$I$6,$I$7,$I$9,$I$10,$I$11,$I$12,$I$13,#REF!,$I$14,G$29))),IF($I$9&lt;&gt;0,XIRR(CHOOSE({1,2,3,4,5,6,7,8},$I$9,$I$10,$I$11,$I$12,$I$13,#REF!,$I$14,G$29),CHOOSE({1,2,3,4,5,6,7,8},$H$9,$H$10,$H$11,$H$12,$H$13,#REF!,$H$14,$C33),IRR(CHOOSE({1,2,3,4,5,6,7,8,9,10},$I$6,$I$7,$I$9,$I$10,$I$11,$I$12,$I$13,#REF!,$I$14,G$29))),IF($I$10&lt;&gt;0,XIRR(CHOOSE({1,2,3,4,5,6,7},$I$10,$I$11,$I$12,$I$13,#REF!,$I$14,G$29),CHOOSE({1,2,3,4,5,6,7},$H$10,$H$11,$H$12,$H$13,#REF!,$H$14,$C33),IRR(CHOOSE({1,2,3,4,5,6,7,8,9,10},$I$6,$I$7,$I$9,$I$10,$I$11,$I$12,$I$13,#REF!,$I$14,G$29))),IF($I$11&lt;&gt;0,XIRR(CHOOSE({1,2,3,4,5,6},$I$11,$I$12,$I$13,#REF!,$I$14,G$29),CHOOSE({1,2,3,4,5,6},$H$11,$H$12,$H$13,#REF!,$H$14,$C33),IRR(CHOOSE({1,2,3,4,5,6,7,8,9,10},$I$6,$I$7,$I$9,$I$10,$I$11,$I$12,$I$13,#REF!,$I$14,G$29))),IF($I$12&lt;&gt;0,XIRR(CHOOSE({1,2,3,4,5},$I$12,$I$13,#REF!,$I$14,G$29),CHOOSE({1,2,3,4,5},$H$12,$H$13,#REF!,$H$14,$C33),IRR(CHOOSE({1,2,3,4,5,6,7,8,9,10},$I$6,$I$7,$I$9,$I$10,$I$11,$I$12,$I$13,#REF!,$I$14,G$29))),IF($I$13&lt;&gt;0,XIRR(CHOOSE({1,2,3,4},$I$13,#REF!,$I$14,G$29),CHOOSE({1,2,3,4},$H$13,#REF!,$H$14,$C33),IRR(CHOOSE({1,2,3,4,5,6,7,8,9,10},$I$6,$I$7,$I$9,$I$10,$I$11,$I$12,$I$13,#REF!,$I$14,G$29))),IF(#REF!&lt;&gt;0,XIRR(CHOOSE({1,2,3},#REF!,$I$14,G$29),CHOOSE({1,2,3},#REF!,$H$14,$C33),IRR(CHOOSE({1,2,3,4,5,6,7,8,9,10},$I$6,$I$7,$I$9,$I$10,$I$11,$I$12,$I$13,#REF!,$I$14,G$29))),IF($I$14&lt;&gt;0,XIRR(CHOOSE({1,2},$I$14,G$29),CHOOSE({1,2},$H$14,$C33)))))))))))),"Negative")</f>
        <v>Negative</v>
      </c>
      <c r="H33" s="769" t="str">
        <f>IFERROR(IF(IF($I$6&lt;&gt;0,XIRR(CHOOSE({1,2,3,4,5,6,7,8,9,10},$I$6,$I$7,$I$9,$I$10,$I$11,$I$12,$I$13,#REF!,$I$14,H$29),CHOOSE({1,2,3,4,5,6,7,8,9,10},$H$6,$H$7,$H$9,$H$10,$H$11,$H$12,$H$13,#REF!,$H$14,$C33),IRR(CHOOSE({1,2,3,4,5,6,7,8,9,10},$I$6,$I$7,$I$9,$I$10,$I$11,$I$12,$I$13,#REF!,$I$14,H$29))),IF($I$7&lt;&gt;0,XIRR(CHOOSE({1,2,3,4,5,6,7,8,9},$I$7,$I$9,$I$10,$I$11,$I$12,$I$13,#REF!,$I$14,H$29),CHOOSE({1,2,3,4,5,6,7,8,9},$H$7,$H$9,$H$10,$H$11,$H$12,$H$13,#REF!,$H$14,$C33),IRR(CHOOSE({1,2,3,4,5,6,7,8,9,10},$I$6,$I$7,$I$9,$I$10,$I$11,$I$12,$I$13,#REF!,$I$14,H$29))),IF($I$9&lt;&gt;0,XIRR(CHOOSE({1,2,3,4,5,6,7,8},$I$9,$I$10,$I$11,$I$12,$I$13,#REF!,$I$14,H$29),CHOOSE({1,2,3,4,5,6,7,8},$H$9,$H$10,$H$11,$H$12,$H$13,#REF!,$H$14,$C33),IRR(CHOOSE({1,2,3,4,5,6,7,8,9,10},$I$6,$I$7,$I$9,$I$10,$I$11,$I$12,$I$13,#REF!,$I$14,H$29))),IF($I$10&lt;&gt;0,XIRR(CHOOSE({1,2,3,4,5,6,7},$I$10,$I$11,$I$12,$I$13,#REF!,$I$14,H$29),CHOOSE({1,2,3,4,5,6,7},$H$10,$H$11,$H$12,$H$13,#REF!,$H$14,$C33),IRR(CHOOSE({1,2,3,4,5,6,7,8,9,10},$I$6,$I$7,$I$9,$I$10,$I$11,$I$12,$I$13,#REF!,$I$14,H$29))),IF($I$11&lt;&gt;0,XIRR(CHOOSE({1,2,3,4,5,6},$I$11,$I$12,$I$13,#REF!,$I$14,H$29),CHOOSE({1,2,3,4,5,6},$H$11,$H$12,$H$13,#REF!,$H$14,$C33),IRR(CHOOSE({1,2,3,4,5,6,7,8,9,10},$I$6,$I$7,$I$9,$I$10,$I$11,$I$12,$I$13,#REF!,$I$14,H$29))),IF($I$12&lt;&gt;0,XIRR(CHOOSE({1,2,3,4,5},$I$12,$I$13,#REF!,$I$14,H$29),CHOOSE({1,2,3,4,5},$H$12,$H$13,#REF!,$H$14,$C33),IRR(CHOOSE({1,2,3,4,5,6,7,8,9,10},$I$6,$I$7,$I$9,$I$10,$I$11,$I$12,$I$13,#REF!,$I$14,H$29))),IF($I$13&lt;&gt;0,XIRR(CHOOSE({1,2,3,4},$I$13,#REF!,$I$14,H$29),CHOOSE({1,2,3,4},$H$13,#REF!,$H$14,$C33),IRR(CHOOSE({1,2,3,4,5,6,7,8,9,10},$I$6,$I$7,$I$9,$I$10,$I$11,$I$12,$I$13,#REF!,$I$14,H$29))),IF(#REF!&lt;&gt;0,XIRR(CHOOSE({1,2,3},#REF!,$I$14,H$29),CHOOSE({1,2,3},#REF!,$H$14,$C33),IRR(CHOOSE({1,2,3,4,5,6,7,8,9,10},$I$6,$I$7,$I$9,$I$10,$I$11,$I$12,$I$13,#REF!,$I$14,H$29))),IF($I$14&lt;&gt;0,XIRR(CHOOSE({1,2},$I$14,H$29),CHOOSE({1,2},$H$14,$C33)))))))))))&lt;0,"Negative",IF($I$6&lt;&gt;0,XIRR(CHOOSE({1,2,3,4,5,6,7,8,9,10},$I$6,$I$7,$I$9,$I$10,$I$11,$I$12,$I$13,#REF!,$I$14,H$29),CHOOSE({1,2,3,4,5,6,7,8,9,10},$H$6,$H$7,$H$9,$H$10,$H$11,$H$12,$H$13,#REF!,$H$14,$C33),IRR(CHOOSE({1,2,3,4,5,6,7,8,9,10},$I$6,$I$7,$I$9,$I$10,$I$11,$I$12,$I$13,#REF!,$I$14,H$29))),IF($I$7&lt;&gt;0,XIRR(CHOOSE({1,2,3,4,5,6,7,8,9},$I$7,$I$9,$I$10,$I$11,$I$12,$I$13,#REF!,$I$14,H$29),CHOOSE({1,2,3,4,5,6,7,8,9},$H$7,$H$9,$H$10,$H$11,$H$12,$H$13,#REF!,$H$14,$C33),IRR(CHOOSE({1,2,3,4,5,6,7,8,9,10},$I$6,$I$7,$I$9,$I$10,$I$11,$I$12,$I$13,#REF!,$I$14,H$29))),IF($I$9&lt;&gt;0,XIRR(CHOOSE({1,2,3,4,5,6,7,8},$I$9,$I$10,$I$11,$I$12,$I$13,#REF!,$I$14,H$29),CHOOSE({1,2,3,4,5,6,7,8},$H$9,$H$10,$H$11,$H$12,$H$13,#REF!,$H$14,$C33),IRR(CHOOSE({1,2,3,4,5,6,7,8,9,10},$I$6,$I$7,$I$9,$I$10,$I$11,$I$12,$I$13,#REF!,$I$14,H$29))),IF($I$10&lt;&gt;0,XIRR(CHOOSE({1,2,3,4,5,6,7},$I$10,$I$11,$I$12,$I$13,#REF!,$I$14,H$29),CHOOSE({1,2,3,4,5,6,7},$H$10,$H$11,$H$12,$H$13,#REF!,$H$14,$C33),IRR(CHOOSE({1,2,3,4,5,6,7,8,9,10},$I$6,$I$7,$I$9,$I$10,$I$11,$I$12,$I$13,#REF!,$I$14,H$29))),IF($I$11&lt;&gt;0,XIRR(CHOOSE({1,2,3,4,5,6},$I$11,$I$12,$I$13,#REF!,$I$14,H$29),CHOOSE({1,2,3,4,5,6},$H$11,$H$12,$H$13,#REF!,$H$14,$C33),IRR(CHOOSE({1,2,3,4,5,6,7,8,9,10},$I$6,$I$7,$I$9,$I$10,$I$11,$I$12,$I$13,#REF!,$I$14,H$29))),IF($I$12&lt;&gt;0,XIRR(CHOOSE({1,2,3,4,5},$I$12,$I$13,#REF!,$I$14,H$29),CHOOSE({1,2,3,4,5},$H$12,$H$13,#REF!,$H$14,$C33),IRR(CHOOSE({1,2,3,4,5,6,7,8,9,10},$I$6,$I$7,$I$9,$I$10,$I$11,$I$12,$I$13,#REF!,$I$14,H$29))),IF($I$13&lt;&gt;0,XIRR(CHOOSE({1,2,3,4},$I$13,#REF!,$I$14,H$29),CHOOSE({1,2,3,4},$H$13,#REF!,$H$14,$C33),IRR(CHOOSE({1,2,3,4,5,6,7,8,9,10},$I$6,$I$7,$I$9,$I$10,$I$11,$I$12,$I$13,#REF!,$I$14,H$29))),IF(#REF!&lt;&gt;0,XIRR(CHOOSE({1,2,3},#REF!,$I$14,H$29),CHOOSE({1,2,3},#REF!,$H$14,$C33),IRR(CHOOSE({1,2,3,4,5,6,7,8,9,10},$I$6,$I$7,$I$9,$I$10,$I$11,$I$12,$I$13,#REF!,$I$14,H$29))),IF($I$14&lt;&gt;0,XIRR(CHOOSE({1,2},$I$14,H$29),CHOOSE({1,2},$H$14,$C33)))))))))))),"Negative")</f>
        <v>Negative</v>
      </c>
      <c r="I33" s="772" t="str">
        <f>IFERROR(IF(IF($I$6&lt;&gt;0,XIRR(CHOOSE({1,2,3,4,5,6,7,8,9,10},$I$6,$I$7,$I$9,$I$10,$I$11,$I$12,$I$13,#REF!,$I$14,I$29),CHOOSE({1,2,3,4,5,6,7,8,9,10},$H$6,$H$7,$H$9,$H$10,$H$11,$H$12,$H$13,#REF!,$H$14,$C33),IRR(CHOOSE({1,2,3,4,5,6,7,8,9,10},$I$6,$I$7,$I$9,$I$10,$I$11,$I$12,$I$13,#REF!,$I$14,I$29))),IF($I$7&lt;&gt;0,XIRR(CHOOSE({1,2,3,4,5,6,7,8,9},$I$7,$I$9,$I$10,$I$11,$I$12,$I$13,#REF!,$I$14,I$29),CHOOSE({1,2,3,4,5,6,7,8,9},$H$7,$H$9,$H$10,$H$11,$H$12,$H$13,#REF!,$H$14,$C33),IRR(CHOOSE({1,2,3,4,5,6,7,8,9,10},$I$6,$I$7,$I$9,$I$10,$I$11,$I$12,$I$13,#REF!,$I$14,I$29))),IF($I$9&lt;&gt;0,XIRR(CHOOSE({1,2,3,4,5,6,7,8},$I$9,$I$10,$I$11,$I$12,$I$13,#REF!,$I$14,I$29),CHOOSE({1,2,3,4,5,6,7,8},$H$9,$H$10,$H$11,$H$12,$H$13,#REF!,$H$14,$C33),IRR(CHOOSE({1,2,3,4,5,6,7,8,9,10},$I$6,$I$7,$I$9,$I$10,$I$11,$I$12,$I$13,#REF!,$I$14,I$29))),IF($I$10&lt;&gt;0,XIRR(CHOOSE({1,2,3,4,5,6,7},$I$10,$I$11,$I$12,$I$13,#REF!,$I$14,I$29),CHOOSE({1,2,3,4,5,6,7},$H$10,$H$11,$H$12,$H$13,#REF!,$H$14,$C33),IRR(CHOOSE({1,2,3,4,5,6,7,8,9,10},$I$6,$I$7,$I$9,$I$10,$I$11,$I$12,$I$13,#REF!,$I$14,I$29))),IF($I$11&lt;&gt;0,XIRR(CHOOSE({1,2,3,4,5,6},$I$11,$I$12,$I$13,#REF!,$I$14,I$29),CHOOSE({1,2,3,4,5,6},$H$11,$H$12,$H$13,#REF!,$H$14,$C33),IRR(CHOOSE({1,2,3,4,5,6,7,8,9,10},$I$6,$I$7,$I$9,$I$10,$I$11,$I$12,$I$13,#REF!,$I$14,I$29))),IF($I$12&lt;&gt;0,XIRR(CHOOSE({1,2,3,4,5},$I$12,$I$13,#REF!,$I$14,I$29),CHOOSE({1,2,3,4,5},$H$12,$H$13,#REF!,$H$14,$C33),IRR(CHOOSE({1,2,3,4,5,6,7,8,9,10},$I$6,$I$7,$I$9,$I$10,$I$11,$I$12,$I$13,#REF!,$I$14,I$29))),IF($I$13&lt;&gt;0,XIRR(CHOOSE({1,2,3,4},$I$13,#REF!,$I$14,I$29),CHOOSE({1,2,3,4},$H$13,#REF!,$H$14,$C33),IRR(CHOOSE({1,2,3,4,5,6,7,8,9,10},$I$6,$I$7,$I$9,$I$10,$I$11,$I$12,$I$13,#REF!,$I$14,I$29))),IF(#REF!&lt;&gt;0,XIRR(CHOOSE({1,2,3},#REF!,$I$14,I$29),CHOOSE({1,2,3},#REF!,$H$14,$C33),IRR(CHOOSE({1,2,3,4,5,6,7,8,9,10},$I$6,$I$7,$I$9,$I$10,$I$11,$I$12,$I$13,#REF!,$I$14,I$29))),IF($I$14&lt;&gt;0,XIRR(CHOOSE({1,2},$I$14,I$29),CHOOSE({1,2},$H$14,$C33)))))))))))&lt;0,"Negative",IF($I$6&lt;&gt;0,XIRR(CHOOSE({1,2,3,4,5,6,7,8,9,10},$I$6,$I$7,$I$9,$I$10,$I$11,$I$12,$I$13,#REF!,$I$14,I$29),CHOOSE({1,2,3,4,5,6,7,8,9,10},$H$6,$H$7,$H$9,$H$10,$H$11,$H$12,$H$13,#REF!,$H$14,$C33),IRR(CHOOSE({1,2,3,4,5,6,7,8,9,10},$I$6,$I$7,$I$9,$I$10,$I$11,$I$12,$I$13,#REF!,$I$14,I$29))),IF($I$7&lt;&gt;0,XIRR(CHOOSE({1,2,3,4,5,6,7,8,9},$I$7,$I$9,$I$10,$I$11,$I$12,$I$13,#REF!,$I$14,I$29),CHOOSE({1,2,3,4,5,6,7,8,9},$H$7,$H$9,$H$10,$H$11,$H$12,$H$13,#REF!,$H$14,$C33),IRR(CHOOSE({1,2,3,4,5,6,7,8,9,10},$I$6,$I$7,$I$9,$I$10,$I$11,$I$12,$I$13,#REF!,$I$14,I$29))),IF($I$9&lt;&gt;0,XIRR(CHOOSE({1,2,3,4,5,6,7,8},$I$9,$I$10,$I$11,$I$12,$I$13,#REF!,$I$14,I$29),CHOOSE({1,2,3,4,5,6,7,8},$H$9,$H$10,$H$11,$H$12,$H$13,#REF!,$H$14,$C33),IRR(CHOOSE({1,2,3,4,5,6,7,8,9,10},$I$6,$I$7,$I$9,$I$10,$I$11,$I$12,$I$13,#REF!,$I$14,I$29))),IF($I$10&lt;&gt;0,XIRR(CHOOSE({1,2,3,4,5,6,7},$I$10,$I$11,$I$12,$I$13,#REF!,$I$14,I$29),CHOOSE({1,2,3,4,5,6,7},$H$10,$H$11,$H$12,$H$13,#REF!,$H$14,$C33),IRR(CHOOSE({1,2,3,4,5,6,7,8,9,10},$I$6,$I$7,$I$9,$I$10,$I$11,$I$12,$I$13,#REF!,$I$14,I$29))),IF($I$11&lt;&gt;0,XIRR(CHOOSE({1,2,3,4,5,6},$I$11,$I$12,$I$13,#REF!,$I$14,I$29),CHOOSE({1,2,3,4,5,6},$H$11,$H$12,$H$13,#REF!,$H$14,$C33),IRR(CHOOSE({1,2,3,4,5,6,7,8,9,10},$I$6,$I$7,$I$9,$I$10,$I$11,$I$12,$I$13,#REF!,$I$14,I$29))),IF($I$12&lt;&gt;0,XIRR(CHOOSE({1,2,3,4,5},$I$12,$I$13,#REF!,$I$14,I$29),CHOOSE({1,2,3,4,5},$H$12,$H$13,#REF!,$H$14,$C33),IRR(CHOOSE({1,2,3,4,5,6,7,8,9,10},$I$6,$I$7,$I$9,$I$10,$I$11,$I$12,$I$13,#REF!,$I$14,I$29))),IF($I$13&lt;&gt;0,XIRR(CHOOSE({1,2,3,4},$I$13,#REF!,$I$14,I$29),CHOOSE({1,2,3,4},$H$13,#REF!,$H$14,$C33),IRR(CHOOSE({1,2,3,4,5,6,7,8,9,10},$I$6,$I$7,$I$9,$I$10,$I$11,$I$12,$I$13,#REF!,$I$14,I$29))),IF(#REF!&lt;&gt;0,XIRR(CHOOSE({1,2,3},#REF!,$I$14,I$29),CHOOSE({1,2,3},#REF!,$H$14,$C33),IRR(CHOOSE({1,2,3,4,5,6,7,8,9,10},$I$6,$I$7,$I$9,$I$10,$I$11,$I$12,$I$13,#REF!,$I$14,I$29))),IF($I$14&lt;&gt;0,XIRR(CHOOSE({1,2},$I$14,I$29),CHOOSE({1,2},$H$14,$C33)))))))))))),"Negative")</f>
        <v>Negative</v>
      </c>
      <c r="J33" s="769" t="str">
        <f>IFERROR(IF(IF($I$6&lt;&gt;0,XIRR(CHOOSE({1,2,3,4,5,6,7,8,9,10},$I$6,$I$7,$I$9,$I$10,$I$11,$I$12,$I$13,#REF!,$I$14,J$29),CHOOSE({1,2,3,4,5,6,7,8,9,10},$H$6,$H$7,$H$9,$H$10,$H$11,$H$12,$H$13,#REF!,$H$14,$C33),IRR(CHOOSE({1,2,3,4,5,6,7,8,9,10},$I$6,$I$7,$I$9,$I$10,$I$11,$I$12,$I$13,#REF!,$I$14,J$29))),IF($I$7&lt;&gt;0,XIRR(CHOOSE({1,2,3,4,5,6,7,8,9},$I$7,$I$9,$I$10,$I$11,$I$12,$I$13,#REF!,$I$14,J$29),CHOOSE({1,2,3,4,5,6,7,8,9},$H$7,$H$9,$H$10,$H$11,$H$12,$H$13,#REF!,$H$14,$C33),IRR(CHOOSE({1,2,3,4,5,6,7,8,9,10},$I$6,$I$7,$I$9,$I$10,$I$11,$I$12,$I$13,#REF!,$I$14,J$29))),IF($I$9&lt;&gt;0,XIRR(CHOOSE({1,2,3,4,5,6,7,8},$I$9,$I$10,$I$11,$I$12,$I$13,#REF!,$I$14,J$29),CHOOSE({1,2,3,4,5,6,7,8},$H$9,$H$10,$H$11,$H$12,$H$13,#REF!,$H$14,$C33),IRR(CHOOSE({1,2,3,4,5,6,7,8,9,10},$I$6,$I$7,$I$9,$I$10,$I$11,$I$12,$I$13,#REF!,$I$14,J$29))),IF($I$10&lt;&gt;0,XIRR(CHOOSE({1,2,3,4,5,6,7},$I$10,$I$11,$I$12,$I$13,#REF!,$I$14,J$29),CHOOSE({1,2,3,4,5,6,7},$H$10,$H$11,$H$12,$H$13,#REF!,$H$14,$C33),IRR(CHOOSE({1,2,3,4,5,6,7,8,9,10},$I$6,$I$7,$I$9,$I$10,$I$11,$I$12,$I$13,#REF!,$I$14,J$29))),IF($I$11&lt;&gt;0,XIRR(CHOOSE({1,2,3,4,5,6},$I$11,$I$12,$I$13,#REF!,$I$14,J$29),CHOOSE({1,2,3,4,5,6},$H$11,$H$12,$H$13,#REF!,$H$14,$C33),IRR(CHOOSE({1,2,3,4,5,6,7,8,9,10},$I$6,$I$7,$I$9,$I$10,$I$11,$I$12,$I$13,#REF!,$I$14,J$29))),IF($I$12&lt;&gt;0,XIRR(CHOOSE({1,2,3,4,5},$I$12,$I$13,#REF!,$I$14,J$29),CHOOSE({1,2,3,4,5},$H$12,$H$13,#REF!,$H$14,$C33),IRR(CHOOSE({1,2,3,4,5,6,7,8,9,10},$I$6,$I$7,$I$9,$I$10,$I$11,$I$12,$I$13,#REF!,$I$14,J$29))),IF($I$13&lt;&gt;0,XIRR(CHOOSE({1,2,3,4},$I$13,#REF!,$I$14,J$29),CHOOSE({1,2,3,4},$H$13,#REF!,$H$14,$C33),IRR(CHOOSE({1,2,3,4,5,6,7,8,9,10},$I$6,$I$7,$I$9,$I$10,$I$11,$I$12,$I$13,#REF!,$I$14,J$29))),IF(#REF!&lt;&gt;0,XIRR(CHOOSE({1,2,3},#REF!,$I$14,J$29),CHOOSE({1,2,3},#REF!,$H$14,$C33),IRR(CHOOSE({1,2,3,4,5,6,7,8,9,10},$I$6,$I$7,$I$9,$I$10,$I$11,$I$12,$I$13,#REF!,$I$14,J$29))),IF($I$14&lt;&gt;0,XIRR(CHOOSE({1,2},$I$14,J$29),CHOOSE({1,2},$H$14,$C33)))))))))))&lt;0,"Negative",IF($I$6&lt;&gt;0,XIRR(CHOOSE({1,2,3,4,5,6,7,8,9,10},$I$6,$I$7,$I$9,$I$10,$I$11,$I$12,$I$13,#REF!,$I$14,J$29),CHOOSE({1,2,3,4,5,6,7,8,9,10},$H$6,$H$7,$H$9,$H$10,$H$11,$H$12,$H$13,#REF!,$H$14,$C33),IRR(CHOOSE({1,2,3,4,5,6,7,8,9,10},$I$6,$I$7,$I$9,$I$10,$I$11,$I$12,$I$13,#REF!,$I$14,J$29))),IF($I$7&lt;&gt;0,XIRR(CHOOSE({1,2,3,4,5,6,7,8,9},$I$7,$I$9,$I$10,$I$11,$I$12,$I$13,#REF!,$I$14,J$29),CHOOSE({1,2,3,4,5,6,7,8,9},$H$7,$H$9,$H$10,$H$11,$H$12,$H$13,#REF!,$H$14,$C33),IRR(CHOOSE({1,2,3,4,5,6,7,8,9,10},$I$6,$I$7,$I$9,$I$10,$I$11,$I$12,$I$13,#REF!,$I$14,J$29))),IF($I$9&lt;&gt;0,XIRR(CHOOSE({1,2,3,4,5,6,7,8},$I$9,$I$10,$I$11,$I$12,$I$13,#REF!,$I$14,J$29),CHOOSE({1,2,3,4,5,6,7,8},$H$9,$H$10,$H$11,$H$12,$H$13,#REF!,$H$14,$C33),IRR(CHOOSE({1,2,3,4,5,6,7,8,9,10},$I$6,$I$7,$I$9,$I$10,$I$11,$I$12,$I$13,#REF!,$I$14,J$29))),IF($I$10&lt;&gt;0,XIRR(CHOOSE({1,2,3,4,5,6,7},$I$10,$I$11,$I$12,$I$13,#REF!,$I$14,J$29),CHOOSE({1,2,3,4,5,6,7},$H$10,$H$11,$H$12,$H$13,#REF!,$H$14,$C33),IRR(CHOOSE({1,2,3,4,5,6,7,8,9,10},$I$6,$I$7,$I$9,$I$10,$I$11,$I$12,$I$13,#REF!,$I$14,J$29))),IF($I$11&lt;&gt;0,XIRR(CHOOSE({1,2,3,4,5,6},$I$11,$I$12,$I$13,#REF!,$I$14,J$29),CHOOSE({1,2,3,4,5,6},$H$11,$H$12,$H$13,#REF!,$H$14,$C33),IRR(CHOOSE({1,2,3,4,5,6,7,8,9,10},$I$6,$I$7,$I$9,$I$10,$I$11,$I$12,$I$13,#REF!,$I$14,J$29))),IF($I$12&lt;&gt;0,XIRR(CHOOSE({1,2,3,4,5},$I$12,$I$13,#REF!,$I$14,J$29),CHOOSE({1,2,3,4,5},$H$12,$H$13,#REF!,$H$14,$C33),IRR(CHOOSE({1,2,3,4,5,6,7,8,9,10},$I$6,$I$7,$I$9,$I$10,$I$11,$I$12,$I$13,#REF!,$I$14,J$29))),IF($I$13&lt;&gt;0,XIRR(CHOOSE({1,2,3,4},$I$13,#REF!,$I$14,J$29),CHOOSE({1,2,3,4},$H$13,#REF!,$H$14,$C33),IRR(CHOOSE({1,2,3,4,5,6,7,8,9,10},$I$6,$I$7,$I$9,$I$10,$I$11,$I$12,$I$13,#REF!,$I$14,J$29))),IF(#REF!&lt;&gt;0,XIRR(CHOOSE({1,2,3},#REF!,$I$14,J$29),CHOOSE({1,2,3},#REF!,$H$14,$C33),IRR(CHOOSE({1,2,3,4,5,6,7,8,9,10},$I$6,$I$7,$I$9,$I$10,$I$11,$I$12,$I$13,#REF!,$I$14,J$29))),IF($I$14&lt;&gt;0,XIRR(CHOOSE({1,2},$I$14,J$29),CHOOSE({1,2},$H$14,$C33)))))))))))),"Negative")</f>
        <v>Negative</v>
      </c>
      <c r="K33" s="769" t="str">
        <f>IFERROR(IF(IF($I$6&lt;&gt;0,XIRR(CHOOSE({1,2,3,4,5,6,7,8,9,10},$I$6,$I$7,$I$9,$I$10,$I$11,$I$12,$I$13,#REF!,$I$14,K$29),CHOOSE({1,2,3,4,5,6,7,8,9,10},$H$6,$H$7,$H$9,$H$10,$H$11,$H$12,$H$13,#REF!,$H$14,$C33),IRR(CHOOSE({1,2,3,4,5,6,7,8,9,10},$I$6,$I$7,$I$9,$I$10,$I$11,$I$12,$I$13,#REF!,$I$14,K$29))),IF($I$7&lt;&gt;0,XIRR(CHOOSE({1,2,3,4,5,6,7,8,9},$I$7,$I$9,$I$10,$I$11,$I$12,$I$13,#REF!,$I$14,K$29),CHOOSE({1,2,3,4,5,6,7,8,9},$H$7,$H$9,$H$10,$H$11,$H$12,$H$13,#REF!,$H$14,$C33),IRR(CHOOSE({1,2,3,4,5,6,7,8,9,10},$I$6,$I$7,$I$9,$I$10,$I$11,$I$12,$I$13,#REF!,$I$14,K$29))),IF($I$9&lt;&gt;0,XIRR(CHOOSE({1,2,3,4,5,6,7,8},$I$9,$I$10,$I$11,$I$12,$I$13,#REF!,$I$14,K$29),CHOOSE({1,2,3,4,5,6,7,8},$H$9,$H$10,$H$11,$H$12,$H$13,#REF!,$H$14,$C33),IRR(CHOOSE({1,2,3,4,5,6,7,8,9,10},$I$6,$I$7,$I$9,$I$10,$I$11,$I$12,$I$13,#REF!,$I$14,K$29))),IF($I$10&lt;&gt;0,XIRR(CHOOSE({1,2,3,4,5,6,7},$I$10,$I$11,$I$12,$I$13,#REF!,$I$14,K$29),CHOOSE({1,2,3,4,5,6,7},$H$10,$H$11,$H$12,$H$13,#REF!,$H$14,$C33),IRR(CHOOSE({1,2,3,4,5,6,7,8,9,10},$I$6,$I$7,$I$9,$I$10,$I$11,$I$12,$I$13,#REF!,$I$14,K$29))),IF($I$11&lt;&gt;0,XIRR(CHOOSE({1,2,3,4,5,6},$I$11,$I$12,$I$13,#REF!,$I$14,K$29),CHOOSE({1,2,3,4,5,6},$H$11,$H$12,$H$13,#REF!,$H$14,$C33),IRR(CHOOSE({1,2,3,4,5,6,7,8,9,10},$I$6,$I$7,$I$9,$I$10,$I$11,$I$12,$I$13,#REF!,$I$14,K$29))),IF($I$12&lt;&gt;0,XIRR(CHOOSE({1,2,3,4,5},$I$12,$I$13,#REF!,$I$14,K$29),CHOOSE({1,2,3,4,5},$H$12,$H$13,#REF!,$H$14,$C33),IRR(CHOOSE({1,2,3,4,5,6,7,8,9,10},$I$6,$I$7,$I$9,$I$10,$I$11,$I$12,$I$13,#REF!,$I$14,K$29))),IF($I$13&lt;&gt;0,XIRR(CHOOSE({1,2,3,4},$I$13,#REF!,$I$14,K$29),CHOOSE({1,2,3,4},$H$13,#REF!,$H$14,$C33),IRR(CHOOSE({1,2,3,4,5,6,7,8,9,10},$I$6,$I$7,$I$9,$I$10,$I$11,$I$12,$I$13,#REF!,$I$14,K$29))),IF(#REF!&lt;&gt;0,XIRR(CHOOSE({1,2,3},#REF!,$I$14,K$29),CHOOSE({1,2,3},#REF!,$H$14,$C33),IRR(CHOOSE({1,2,3,4,5,6,7,8,9,10},$I$6,$I$7,$I$9,$I$10,$I$11,$I$12,$I$13,#REF!,$I$14,K$29))),IF($I$14&lt;&gt;0,XIRR(CHOOSE({1,2},$I$14,K$29),CHOOSE({1,2},$H$14,$C33)))))))))))&lt;0,"Negative",IF($I$6&lt;&gt;0,XIRR(CHOOSE({1,2,3,4,5,6,7,8,9,10},$I$6,$I$7,$I$9,$I$10,$I$11,$I$12,$I$13,#REF!,$I$14,K$29),CHOOSE({1,2,3,4,5,6,7,8,9,10},$H$6,$H$7,$H$9,$H$10,$H$11,$H$12,$H$13,#REF!,$H$14,$C33),IRR(CHOOSE({1,2,3,4,5,6,7,8,9,10},$I$6,$I$7,$I$9,$I$10,$I$11,$I$12,$I$13,#REF!,$I$14,K$29))),IF($I$7&lt;&gt;0,XIRR(CHOOSE({1,2,3,4,5,6,7,8,9},$I$7,$I$9,$I$10,$I$11,$I$12,$I$13,#REF!,$I$14,K$29),CHOOSE({1,2,3,4,5,6,7,8,9},$H$7,$H$9,$H$10,$H$11,$H$12,$H$13,#REF!,$H$14,$C33),IRR(CHOOSE({1,2,3,4,5,6,7,8,9,10},$I$6,$I$7,$I$9,$I$10,$I$11,$I$12,$I$13,#REF!,$I$14,K$29))),IF($I$9&lt;&gt;0,XIRR(CHOOSE({1,2,3,4,5,6,7,8},$I$9,$I$10,$I$11,$I$12,$I$13,#REF!,$I$14,K$29),CHOOSE({1,2,3,4,5,6,7,8},$H$9,$H$10,$H$11,$H$12,$H$13,#REF!,$H$14,$C33),IRR(CHOOSE({1,2,3,4,5,6,7,8,9,10},$I$6,$I$7,$I$9,$I$10,$I$11,$I$12,$I$13,#REF!,$I$14,K$29))),IF($I$10&lt;&gt;0,XIRR(CHOOSE({1,2,3,4,5,6,7},$I$10,$I$11,$I$12,$I$13,#REF!,$I$14,K$29),CHOOSE({1,2,3,4,5,6,7},$H$10,$H$11,$H$12,$H$13,#REF!,$H$14,$C33),IRR(CHOOSE({1,2,3,4,5,6,7,8,9,10},$I$6,$I$7,$I$9,$I$10,$I$11,$I$12,$I$13,#REF!,$I$14,K$29))),IF($I$11&lt;&gt;0,XIRR(CHOOSE({1,2,3,4,5,6},$I$11,$I$12,$I$13,#REF!,$I$14,K$29),CHOOSE({1,2,3,4,5,6},$H$11,$H$12,$H$13,#REF!,$H$14,$C33),IRR(CHOOSE({1,2,3,4,5,6,7,8,9,10},$I$6,$I$7,$I$9,$I$10,$I$11,$I$12,$I$13,#REF!,$I$14,K$29))),IF($I$12&lt;&gt;0,XIRR(CHOOSE({1,2,3,4,5},$I$12,$I$13,#REF!,$I$14,K$29),CHOOSE({1,2,3,4,5},$H$12,$H$13,#REF!,$H$14,$C33),IRR(CHOOSE({1,2,3,4,5,6,7,8,9,10},$I$6,$I$7,$I$9,$I$10,$I$11,$I$12,$I$13,#REF!,$I$14,K$29))),IF($I$13&lt;&gt;0,XIRR(CHOOSE({1,2,3,4},$I$13,#REF!,$I$14,K$29),CHOOSE({1,2,3,4},$H$13,#REF!,$H$14,$C33),IRR(CHOOSE({1,2,3,4,5,6,7,8,9,10},$I$6,$I$7,$I$9,$I$10,$I$11,$I$12,$I$13,#REF!,$I$14,K$29))),IF(#REF!&lt;&gt;0,XIRR(CHOOSE({1,2,3},#REF!,$I$14,K$29),CHOOSE({1,2,3},#REF!,$H$14,$C33),IRR(CHOOSE({1,2,3,4,5,6,7,8,9,10},$I$6,$I$7,$I$9,$I$10,$I$11,$I$12,$I$13,#REF!,$I$14,K$29))),IF($I$14&lt;&gt;0,XIRR(CHOOSE({1,2},$I$14,K$29),CHOOSE({1,2},$H$14,$C33)))))))))))),"Negative")</f>
        <v>Negative</v>
      </c>
      <c r="L33" s="769" t="str">
        <f>IFERROR(IF(IF($I$6&lt;&gt;0,XIRR(CHOOSE({1,2,3,4,5,6,7,8,9,10},$I$6,$I$7,$I$9,$I$10,$I$11,$I$12,$I$13,#REF!,$I$14,L$29),CHOOSE({1,2,3,4,5,6,7,8,9,10},$H$6,$H$7,$H$9,$H$10,$H$11,$H$12,$H$13,#REF!,$H$14,$C33),IRR(CHOOSE({1,2,3,4,5,6,7,8,9,10},$I$6,$I$7,$I$9,$I$10,$I$11,$I$12,$I$13,#REF!,$I$14,L$29))),IF($I$7&lt;&gt;0,XIRR(CHOOSE({1,2,3,4,5,6,7,8,9},$I$7,$I$9,$I$10,$I$11,$I$12,$I$13,#REF!,$I$14,L$29),CHOOSE({1,2,3,4,5,6,7,8,9},$H$7,$H$9,$H$10,$H$11,$H$12,$H$13,#REF!,$H$14,$C33),IRR(CHOOSE({1,2,3,4,5,6,7,8,9,10},$I$6,$I$7,$I$9,$I$10,$I$11,$I$12,$I$13,#REF!,$I$14,L$29))),IF($I$9&lt;&gt;0,XIRR(CHOOSE({1,2,3,4,5,6,7,8},$I$9,$I$10,$I$11,$I$12,$I$13,#REF!,$I$14,L$29),CHOOSE({1,2,3,4,5,6,7,8},$H$9,$H$10,$H$11,$H$12,$H$13,#REF!,$H$14,$C33),IRR(CHOOSE({1,2,3,4,5,6,7,8,9,10},$I$6,$I$7,$I$9,$I$10,$I$11,$I$12,$I$13,#REF!,$I$14,L$29))),IF($I$10&lt;&gt;0,XIRR(CHOOSE({1,2,3,4,5,6,7},$I$10,$I$11,$I$12,$I$13,#REF!,$I$14,L$29),CHOOSE({1,2,3,4,5,6,7},$H$10,$H$11,$H$12,$H$13,#REF!,$H$14,$C33),IRR(CHOOSE({1,2,3,4,5,6,7,8,9,10},$I$6,$I$7,$I$9,$I$10,$I$11,$I$12,$I$13,#REF!,$I$14,L$29))),IF($I$11&lt;&gt;0,XIRR(CHOOSE({1,2,3,4,5,6},$I$11,$I$12,$I$13,#REF!,$I$14,L$29),CHOOSE({1,2,3,4,5,6},$H$11,$H$12,$H$13,#REF!,$H$14,$C33),IRR(CHOOSE({1,2,3,4,5,6,7,8,9,10},$I$6,$I$7,$I$9,$I$10,$I$11,$I$12,$I$13,#REF!,$I$14,L$29))),IF($I$12&lt;&gt;0,XIRR(CHOOSE({1,2,3,4,5},$I$12,$I$13,#REF!,$I$14,L$29),CHOOSE({1,2,3,4,5},$H$12,$H$13,#REF!,$H$14,$C33),IRR(CHOOSE({1,2,3,4,5,6,7,8,9,10},$I$6,$I$7,$I$9,$I$10,$I$11,$I$12,$I$13,#REF!,$I$14,L$29))),IF($I$13&lt;&gt;0,XIRR(CHOOSE({1,2,3,4},$I$13,#REF!,$I$14,L$29),CHOOSE({1,2,3,4},$H$13,#REF!,$H$14,$C33),IRR(CHOOSE({1,2,3,4,5,6,7,8,9,10},$I$6,$I$7,$I$9,$I$10,$I$11,$I$12,$I$13,#REF!,$I$14,L$29))),IF(#REF!&lt;&gt;0,XIRR(CHOOSE({1,2,3},#REF!,$I$14,L$29),CHOOSE({1,2,3},#REF!,$H$14,$C33),IRR(CHOOSE({1,2,3,4,5,6,7,8,9,10},$I$6,$I$7,$I$9,$I$10,$I$11,$I$12,$I$13,#REF!,$I$14,L$29))),IF($I$14&lt;&gt;0,XIRR(CHOOSE({1,2},$I$14,L$29),CHOOSE({1,2},$H$14,$C33)))))))))))&lt;0,"Negative",IF($I$6&lt;&gt;0,XIRR(CHOOSE({1,2,3,4,5,6,7,8,9,10},$I$6,$I$7,$I$9,$I$10,$I$11,$I$12,$I$13,#REF!,$I$14,L$29),CHOOSE({1,2,3,4,5,6,7,8,9,10},$H$6,$H$7,$H$9,$H$10,$H$11,$H$12,$H$13,#REF!,$H$14,$C33),IRR(CHOOSE({1,2,3,4,5,6,7,8,9,10},$I$6,$I$7,$I$9,$I$10,$I$11,$I$12,$I$13,#REF!,$I$14,L$29))),IF($I$7&lt;&gt;0,XIRR(CHOOSE({1,2,3,4,5,6,7,8,9},$I$7,$I$9,$I$10,$I$11,$I$12,$I$13,#REF!,$I$14,L$29),CHOOSE({1,2,3,4,5,6,7,8,9},$H$7,$H$9,$H$10,$H$11,$H$12,$H$13,#REF!,$H$14,$C33),IRR(CHOOSE({1,2,3,4,5,6,7,8,9,10},$I$6,$I$7,$I$9,$I$10,$I$11,$I$12,$I$13,#REF!,$I$14,L$29))),IF($I$9&lt;&gt;0,XIRR(CHOOSE({1,2,3,4,5,6,7,8},$I$9,$I$10,$I$11,$I$12,$I$13,#REF!,$I$14,L$29),CHOOSE({1,2,3,4,5,6,7,8},$H$9,$H$10,$H$11,$H$12,$H$13,#REF!,$H$14,$C33),IRR(CHOOSE({1,2,3,4,5,6,7,8,9,10},$I$6,$I$7,$I$9,$I$10,$I$11,$I$12,$I$13,#REF!,$I$14,L$29))),IF($I$10&lt;&gt;0,XIRR(CHOOSE({1,2,3,4,5,6,7},$I$10,$I$11,$I$12,$I$13,#REF!,$I$14,L$29),CHOOSE({1,2,3,4,5,6,7},$H$10,$H$11,$H$12,$H$13,#REF!,$H$14,$C33),IRR(CHOOSE({1,2,3,4,5,6,7,8,9,10},$I$6,$I$7,$I$9,$I$10,$I$11,$I$12,$I$13,#REF!,$I$14,L$29))),IF($I$11&lt;&gt;0,XIRR(CHOOSE({1,2,3,4,5,6},$I$11,$I$12,$I$13,#REF!,$I$14,L$29),CHOOSE({1,2,3,4,5,6},$H$11,$H$12,$H$13,#REF!,$H$14,$C33),IRR(CHOOSE({1,2,3,4,5,6,7,8,9,10},$I$6,$I$7,$I$9,$I$10,$I$11,$I$12,$I$13,#REF!,$I$14,L$29))),IF($I$12&lt;&gt;0,XIRR(CHOOSE({1,2,3,4,5},$I$12,$I$13,#REF!,$I$14,L$29),CHOOSE({1,2,3,4,5},$H$12,$H$13,#REF!,$H$14,$C33),IRR(CHOOSE({1,2,3,4,5,6,7,8,9,10},$I$6,$I$7,$I$9,$I$10,$I$11,$I$12,$I$13,#REF!,$I$14,L$29))),IF($I$13&lt;&gt;0,XIRR(CHOOSE({1,2,3,4},$I$13,#REF!,$I$14,L$29),CHOOSE({1,2,3,4},$H$13,#REF!,$H$14,$C33),IRR(CHOOSE({1,2,3,4,5,6,7,8,9,10},$I$6,$I$7,$I$9,$I$10,$I$11,$I$12,$I$13,#REF!,$I$14,L$29))),IF(#REF!&lt;&gt;0,XIRR(CHOOSE({1,2,3},#REF!,$I$14,L$29),CHOOSE({1,2,3},#REF!,$H$14,$C33),IRR(CHOOSE({1,2,3,4,5,6,7,8,9,10},$I$6,$I$7,$I$9,$I$10,$I$11,$I$12,$I$13,#REF!,$I$14,L$29))),IF($I$14&lt;&gt;0,XIRR(CHOOSE({1,2},$I$14,L$29),CHOOSE({1,2},$H$14,$C33)))))))))))),"Negative")</f>
        <v>Negative</v>
      </c>
      <c r="M33" s="180"/>
      <c r="N33" s="180"/>
      <c r="T33" s="180"/>
    </row>
    <row r="34" spans="1:20" s="3" customFormat="1" outlineLevel="1" x14ac:dyDescent="0.35">
      <c r="C34" s="446">
        <f ca="1">C22</f>
        <v>47118</v>
      </c>
      <c r="D34" s="769" t="str">
        <f>IFERROR(IF(IF($I$6&lt;&gt;0,XIRR(CHOOSE({1,2,3,4,5,6,7,8,9,10},$I$6,$I$7,$I$9,$I$10,$I$11,$I$12,$I$13,#REF!,$I$14,D$29),CHOOSE({1,2,3,4,5,6,7,8,9,10},$H$6,$H$7,$H$9,$H$10,$H$11,$H$12,$H$13,#REF!,$H$14,$C34),IRR(CHOOSE({1,2,3,4,5,6,7,8,9,10},$I$6,$I$7,$I$9,$I$10,$I$11,$I$12,$I$13,#REF!,$I$14,D$29))),IF($I$7&lt;&gt;0,XIRR(CHOOSE({1,2,3,4,5,6,7,8,9},$I$7,$I$9,$I$10,$I$11,$I$12,$I$13,#REF!,$I$14,D$29),CHOOSE({1,2,3,4,5,6,7,8,9},$H$7,$H$9,$H$10,$H$11,$H$12,$H$13,#REF!,$H$14,$C34),IRR(CHOOSE({1,2,3,4,5,6,7,8,9,10},$I$6,$I$7,$I$9,$I$10,$I$11,$I$12,$I$13,#REF!,$I$14,D$29))),IF($I$9&lt;&gt;0,XIRR(CHOOSE({1,2,3,4,5,6,7,8},$I$9,$I$10,$I$11,$I$12,$I$13,#REF!,$I$14,D$29),CHOOSE({1,2,3,4,5,6,7,8},$H$9,$H$10,$H$11,$H$12,$H$13,#REF!,$H$14,$C34),IRR(CHOOSE({1,2,3,4,5,6,7,8,9,10},$I$6,$I$7,$I$9,$I$10,$I$11,$I$12,$I$13,#REF!,$I$14,D$29))),IF($I$10&lt;&gt;0,XIRR(CHOOSE({1,2,3,4,5,6,7},$I$10,$I$11,$I$12,$I$13,#REF!,$I$14,D$29),CHOOSE({1,2,3,4,5,6,7},$H$10,$H$11,$H$12,$H$13,#REF!,$H$14,$C34),IRR(CHOOSE({1,2,3,4,5,6,7,8,9,10},$I$6,$I$7,$I$9,$I$10,$I$11,$I$12,$I$13,#REF!,$I$14,D$29))),IF($I$11&lt;&gt;0,XIRR(CHOOSE({1,2,3,4,5,6},$I$11,$I$12,$I$13,#REF!,$I$14,D$29),CHOOSE({1,2,3,4,5,6},$H$11,$H$12,$H$13,#REF!,$H$14,$C34),IRR(CHOOSE({1,2,3,4,5,6,7,8,9,10},$I$6,$I$7,$I$9,$I$10,$I$11,$I$12,$I$13,#REF!,$I$14,D$29))),IF($I$12&lt;&gt;0,XIRR(CHOOSE({1,2,3,4,5},$I$12,$I$13,#REF!,$I$14,D$29),CHOOSE({1,2,3,4,5},$H$12,$H$13,#REF!,$H$14,$C34),IRR(CHOOSE({1,2,3,4,5,6,7,8,9,10},$I$6,$I$7,$I$9,$I$10,$I$11,$I$12,$I$13,#REF!,$I$14,D$29))),IF($I$13&lt;&gt;0,XIRR(CHOOSE({1,2,3,4},$I$13,#REF!,$I$14,D$29),CHOOSE({1,2,3,4},$H$13,#REF!,$H$14,$C34),IRR(CHOOSE({1,2,3,4,5,6,7,8,9,10},$I$6,$I$7,$I$9,$I$10,$I$11,$I$12,$I$13,#REF!,$I$14,D$29))),IF(#REF!&lt;&gt;0,XIRR(CHOOSE({1,2,3},#REF!,$I$14,D$29),CHOOSE({1,2,3},#REF!,$H$14,$C34),IRR(CHOOSE({1,2,3,4,5,6,7,8,9,10},$I$6,$I$7,$I$9,$I$10,$I$11,$I$12,$I$13,#REF!,$I$14,D$29))),IF($I$14&lt;&gt;0,XIRR(CHOOSE({1,2},$I$14,D$29),CHOOSE({1,2},$H$14,$C34)))))))))))&lt;0,"Negative",IF($I$6&lt;&gt;0,XIRR(CHOOSE({1,2,3,4,5,6,7,8,9,10},$I$6,$I$7,$I$9,$I$10,$I$11,$I$12,$I$13,#REF!,$I$14,D$29),CHOOSE({1,2,3,4,5,6,7,8,9,10},$H$6,$H$7,$H$9,$H$10,$H$11,$H$12,$H$13,#REF!,$H$14,$C34),IRR(CHOOSE({1,2,3,4,5,6,7,8,9,10},$I$6,$I$7,$I$9,$I$10,$I$11,$I$12,$I$13,#REF!,$I$14,D$29))),IF($I$7&lt;&gt;0,XIRR(CHOOSE({1,2,3,4,5,6,7,8,9},$I$7,$I$9,$I$10,$I$11,$I$12,$I$13,#REF!,$I$14,D$29),CHOOSE({1,2,3,4,5,6,7,8,9},$H$7,$H$9,$H$10,$H$11,$H$12,$H$13,#REF!,$H$14,$C34),IRR(CHOOSE({1,2,3,4,5,6,7,8,9,10},$I$6,$I$7,$I$9,$I$10,$I$11,$I$12,$I$13,#REF!,$I$14,D$29))),IF($I$9&lt;&gt;0,XIRR(CHOOSE({1,2,3,4,5,6,7,8},$I$9,$I$10,$I$11,$I$12,$I$13,#REF!,$I$14,D$29),CHOOSE({1,2,3,4,5,6,7,8},$H$9,$H$10,$H$11,$H$12,$H$13,#REF!,$H$14,$C34),IRR(CHOOSE({1,2,3,4,5,6,7,8,9,10},$I$6,$I$7,$I$9,$I$10,$I$11,$I$12,$I$13,#REF!,$I$14,D$29))),IF($I$10&lt;&gt;0,XIRR(CHOOSE({1,2,3,4,5,6,7},$I$10,$I$11,$I$12,$I$13,#REF!,$I$14,D$29),CHOOSE({1,2,3,4,5,6,7},$H$10,$H$11,$H$12,$H$13,#REF!,$H$14,$C34),IRR(CHOOSE({1,2,3,4,5,6,7,8,9,10},$I$6,$I$7,$I$9,$I$10,$I$11,$I$12,$I$13,#REF!,$I$14,D$29))),IF($I$11&lt;&gt;0,XIRR(CHOOSE({1,2,3,4,5,6},$I$11,$I$12,$I$13,#REF!,$I$14,D$29),CHOOSE({1,2,3,4,5,6},$H$11,$H$12,$H$13,#REF!,$H$14,$C34),IRR(CHOOSE({1,2,3,4,5,6,7,8,9,10},$I$6,$I$7,$I$9,$I$10,$I$11,$I$12,$I$13,#REF!,$I$14,D$29))),IF($I$12&lt;&gt;0,XIRR(CHOOSE({1,2,3,4,5},$I$12,$I$13,#REF!,$I$14,D$29),CHOOSE({1,2,3,4,5},$H$12,$H$13,#REF!,$H$14,$C34),IRR(CHOOSE({1,2,3,4,5,6,7,8,9,10},$I$6,$I$7,$I$9,$I$10,$I$11,$I$12,$I$13,#REF!,$I$14,D$29))),IF($I$13&lt;&gt;0,XIRR(CHOOSE({1,2,3,4},$I$13,#REF!,$I$14,D$29),CHOOSE({1,2,3,4},$H$13,#REF!,$H$14,$C34),IRR(CHOOSE({1,2,3,4,5,6,7,8,9,10},$I$6,$I$7,$I$9,$I$10,$I$11,$I$12,$I$13,#REF!,$I$14,D$29))),IF(#REF!&lt;&gt;0,XIRR(CHOOSE({1,2,3},#REF!,$I$14,D$29),CHOOSE({1,2,3},#REF!,$H$14,$C34),IRR(CHOOSE({1,2,3,4,5,6,7,8,9,10},$I$6,$I$7,$I$9,$I$10,$I$11,$I$12,$I$13,#REF!,$I$14,D$29))),IF($I$14&lt;&gt;0,XIRR(CHOOSE({1,2},$I$14,D$29),CHOOSE({1,2},$H$14,$C34)))))))))))),"Negative")</f>
        <v>Negative</v>
      </c>
      <c r="E34" s="769" t="str">
        <f>IFERROR(IF(IF($I$6&lt;&gt;0,XIRR(CHOOSE({1,2,3,4,5,6,7,8,9,10},$I$6,$I$7,$I$9,$I$10,$I$11,$I$12,$I$13,#REF!,$I$14,E$29),CHOOSE({1,2,3,4,5,6,7,8,9,10},$H$6,$H$7,$H$9,$H$10,$H$11,$H$12,$H$13,#REF!,$H$14,$C34),IRR(CHOOSE({1,2,3,4,5,6,7,8,9,10},$I$6,$I$7,$I$9,$I$10,$I$11,$I$12,$I$13,#REF!,$I$14,E$29))),IF($I$7&lt;&gt;0,XIRR(CHOOSE({1,2,3,4,5,6,7,8,9},$I$7,$I$9,$I$10,$I$11,$I$12,$I$13,#REF!,$I$14,E$29),CHOOSE({1,2,3,4,5,6,7,8,9},$H$7,$H$9,$H$10,$H$11,$H$12,$H$13,#REF!,$H$14,$C34),IRR(CHOOSE({1,2,3,4,5,6,7,8,9,10},$I$6,$I$7,$I$9,$I$10,$I$11,$I$12,$I$13,#REF!,$I$14,E$29))),IF($I$9&lt;&gt;0,XIRR(CHOOSE({1,2,3,4,5,6,7,8},$I$9,$I$10,$I$11,$I$12,$I$13,#REF!,$I$14,E$29),CHOOSE({1,2,3,4,5,6,7,8},$H$9,$H$10,$H$11,$H$12,$H$13,#REF!,$H$14,$C34),IRR(CHOOSE({1,2,3,4,5,6,7,8,9,10},$I$6,$I$7,$I$9,$I$10,$I$11,$I$12,$I$13,#REF!,$I$14,E$29))),IF($I$10&lt;&gt;0,XIRR(CHOOSE({1,2,3,4,5,6,7},$I$10,$I$11,$I$12,$I$13,#REF!,$I$14,E$29),CHOOSE({1,2,3,4,5,6,7},$H$10,$H$11,$H$12,$H$13,#REF!,$H$14,$C34),IRR(CHOOSE({1,2,3,4,5,6,7,8,9,10},$I$6,$I$7,$I$9,$I$10,$I$11,$I$12,$I$13,#REF!,$I$14,E$29))),IF($I$11&lt;&gt;0,XIRR(CHOOSE({1,2,3,4,5,6},$I$11,$I$12,$I$13,#REF!,$I$14,E$29),CHOOSE({1,2,3,4,5,6},$H$11,$H$12,$H$13,#REF!,$H$14,$C34),IRR(CHOOSE({1,2,3,4,5,6,7,8,9,10},$I$6,$I$7,$I$9,$I$10,$I$11,$I$12,$I$13,#REF!,$I$14,E$29))),IF($I$12&lt;&gt;0,XIRR(CHOOSE({1,2,3,4,5},$I$12,$I$13,#REF!,$I$14,E$29),CHOOSE({1,2,3,4,5},$H$12,$H$13,#REF!,$H$14,$C34),IRR(CHOOSE({1,2,3,4,5,6,7,8,9,10},$I$6,$I$7,$I$9,$I$10,$I$11,$I$12,$I$13,#REF!,$I$14,E$29))),IF($I$13&lt;&gt;0,XIRR(CHOOSE({1,2,3,4},$I$13,#REF!,$I$14,E$29),CHOOSE({1,2,3,4},$H$13,#REF!,$H$14,$C34),IRR(CHOOSE({1,2,3,4,5,6,7,8,9,10},$I$6,$I$7,$I$9,$I$10,$I$11,$I$12,$I$13,#REF!,$I$14,E$29))),IF(#REF!&lt;&gt;0,XIRR(CHOOSE({1,2,3},#REF!,$I$14,E$29),CHOOSE({1,2,3},#REF!,$H$14,$C34),IRR(CHOOSE({1,2,3,4,5,6,7,8,9,10},$I$6,$I$7,$I$9,$I$10,$I$11,$I$12,$I$13,#REF!,$I$14,E$29))),IF($I$14&lt;&gt;0,XIRR(CHOOSE({1,2},$I$14,E$29),CHOOSE({1,2},$H$14,$C34)))))))))))&lt;0,"Negative",IF($I$6&lt;&gt;0,XIRR(CHOOSE({1,2,3,4,5,6,7,8,9,10},$I$6,$I$7,$I$9,$I$10,$I$11,$I$12,$I$13,#REF!,$I$14,E$29),CHOOSE({1,2,3,4,5,6,7,8,9,10},$H$6,$H$7,$H$9,$H$10,$H$11,$H$12,$H$13,#REF!,$H$14,$C34),IRR(CHOOSE({1,2,3,4,5,6,7,8,9,10},$I$6,$I$7,$I$9,$I$10,$I$11,$I$12,$I$13,#REF!,$I$14,E$29))),IF($I$7&lt;&gt;0,XIRR(CHOOSE({1,2,3,4,5,6,7,8,9},$I$7,$I$9,$I$10,$I$11,$I$12,$I$13,#REF!,$I$14,E$29),CHOOSE({1,2,3,4,5,6,7,8,9},$H$7,$H$9,$H$10,$H$11,$H$12,$H$13,#REF!,$H$14,$C34),IRR(CHOOSE({1,2,3,4,5,6,7,8,9,10},$I$6,$I$7,$I$9,$I$10,$I$11,$I$12,$I$13,#REF!,$I$14,E$29))),IF($I$9&lt;&gt;0,XIRR(CHOOSE({1,2,3,4,5,6,7,8},$I$9,$I$10,$I$11,$I$12,$I$13,#REF!,$I$14,E$29),CHOOSE({1,2,3,4,5,6,7,8},$H$9,$H$10,$H$11,$H$12,$H$13,#REF!,$H$14,$C34),IRR(CHOOSE({1,2,3,4,5,6,7,8,9,10},$I$6,$I$7,$I$9,$I$10,$I$11,$I$12,$I$13,#REF!,$I$14,E$29))),IF($I$10&lt;&gt;0,XIRR(CHOOSE({1,2,3,4,5,6,7},$I$10,$I$11,$I$12,$I$13,#REF!,$I$14,E$29),CHOOSE({1,2,3,4,5,6,7},$H$10,$H$11,$H$12,$H$13,#REF!,$H$14,$C34),IRR(CHOOSE({1,2,3,4,5,6,7,8,9,10},$I$6,$I$7,$I$9,$I$10,$I$11,$I$12,$I$13,#REF!,$I$14,E$29))),IF($I$11&lt;&gt;0,XIRR(CHOOSE({1,2,3,4,5,6},$I$11,$I$12,$I$13,#REF!,$I$14,E$29),CHOOSE({1,2,3,4,5,6},$H$11,$H$12,$H$13,#REF!,$H$14,$C34),IRR(CHOOSE({1,2,3,4,5,6,7,8,9,10},$I$6,$I$7,$I$9,$I$10,$I$11,$I$12,$I$13,#REF!,$I$14,E$29))),IF($I$12&lt;&gt;0,XIRR(CHOOSE({1,2,3,4,5},$I$12,$I$13,#REF!,$I$14,E$29),CHOOSE({1,2,3,4,5},$H$12,$H$13,#REF!,$H$14,$C34),IRR(CHOOSE({1,2,3,4,5,6,7,8,9,10},$I$6,$I$7,$I$9,$I$10,$I$11,$I$12,$I$13,#REF!,$I$14,E$29))),IF($I$13&lt;&gt;0,XIRR(CHOOSE({1,2,3,4},$I$13,#REF!,$I$14,E$29),CHOOSE({1,2,3,4},$H$13,#REF!,$H$14,$C34),IRR(CHOOSE({1,2,3,4,5,6,7,8,9,10},$I$6,$I$7,$I$9,$I$10,$I$11,$I$12,$I$13,#REF!,$I$14,E$29))),IF(#REF!&lt;&gt;0,XIRR(CHOOSE({1,2,3},#REF!,$I$14,E$29),CHOOSE({1,2,3},#REF!,$H$14,$C34),IRR(CHOOSE({1,2,3,4,5,6,7,8,9,10},$I$6,$I$7,$I$9,$I$10,$I$11,$I$12,$I$13,#REF!,$I$14,E$29))),IF($I$14&lt;&gt;0,XIRR(CHOOSE({1,2},$I$14,E$29),CHOOSE({1,2},$H$14,$C34)))))))))))),"Negative")</f>
        <v>Negative</v>
      </c>
      <c r="F34" s="769" t="str">
        <f>IFERROR(IF(IF($I$6&lt;&gt;0,XIRR(CHOOSE({1,2,3,4,5,6,7,8,9,10},$I$6,$I$7,$I$9,$I$10,$I$11,$I$12,$I$13,#REF!,$I$14,F$29),CHOOSE({1,2,3,4,5,6,7,8,9,10},$H$6,$H$7,$H$9,$H$10,$H$11,$H$12,$H$13,#REF!,$H$14,$C34),IRR(CHOOSE({1,2,3,4,5,6,7,8,9,10},$I$6,$I$7,$I$9,$I$10,$I$11,$I$12,$I$13,#REF!,$I$14,F$29))),IF($I$7&lt;&gt;0,XIRR(CHOOSE({1,2,3,4,5,6,7,8,9},$I$7,$I$9,$I$10,$I$11,$I$12,$I$13,#REF!,$I$14,F$29),CHOOSE({1,2,3,4,5,6,7,8,9},$H$7,$H$9,$H$10,$H$11,$H$12,$H$13,#REF!,$H$14,$C34),IRR(CHOOSE({1,2,3,4,5,6,7,8,9,10},$I$6,$I$7,$I$9,$I$10,$I$11,$I$12,$I$13,#REF!,$I$14,F$29))),IF($I$9&lt;&gt;0,XIRR(CHOOSE({1,2,3,4,5,6,7,8},$I$9,$I$10,$I$11,$I$12,$I$13,#REF!,$I$14,F$29),CHOOSE({1,2,3,4,5,6,7,8},$H$9,$H$10,$H$11,$H$12,$H$13,#REF!,$H$14,$C34),IRR(CHOOSE({1,2,3,4,5,6,7,8,9,10},$I$6,$I$7,$I$9,$I$10,$I$11,$I$12,$I$13,#REF!,$I$14,F$29))),IF($I$10&lt;&gt;0,XIRR(CHOOSE({1,2,3,4,5,6,7},$I$10,$I$11,$I$12,$I$13,#REF!,$I$14,F$29),CHOOSE({1,2,3,4,5,6,7},$H$10,$H$11,$H$12,$H$13,#REF!,$H$14,$C34),IRR(CHOOSE({1,2,3,4,5,6,7,8,9,10},$I$6,$I$7,$I$9,$I$10,$I$11,$I$12,$I$13,#REF!,$I$14,F$29))),IF($I$11&lt;&gt;0,XIRR(CHOOSE({1,2,3,4,5,6},$I$11,$I$12,$I$13,#REF!,$I$14,F$29),CHOOSE({1,2,3,4,5,6},$H$11,$H$12,$H$13,#REF!,$H$14,$C34),IRR(CHOOSE({1,2,3,4,5,6,7,8,9,10},$I$6,$I$7,$I$9,$I$10,$I$11,$I$12,$I$13,#REF!,$I$14,F$29))),IF($I$12&lt;&gt;0,XIRR(CHOOSE({1,2,3,4,5},$I$12,$I$13,#REF!,$I$14,F$29),CHOOSE({1,2,3,4,5},$H$12,$H$13,#REF!,$H$14,$C34),IRR(CHOOSE({1,2,3,4,5,6,7,8,9,10},$I$6,$I$7,$I$9,$I$10,$I$11,$I$12,$I$13,#REF!,$I$14,F$29))),IF($I$13&lt;&gt;0,XIRR(CHOOSE({1,2,3,4},$I$13,#REF!,$I$14,F$29),CHOOSE({1,2,3,4},$H$13,#REF!,$H$14,$C34),IRR(CHOOSE({1,2,3,4,5,6,7,8,9,10},$I$6,$I$7,$I$9,$I$10,$I$11,$I$12,$I$13,#REF!,$I$14,F$29))),IF(#REF!&lt;&gt;0,XIRR(CHOOSE({1,2,3},#REF!,$I$14,F$29),CHOOSE({1,2,3},#REF!,$H$14,$C34),IRR(CHOOSE({1,2,3,4,5,6,7,8,9,10},$I$6,$I$7,$I$9,$I$10,$I$11,$I$12,$I$13,#REF!,$I$14,F$29))),IF($I$14&lt;&gt;0,XIRR(CHOOSE({1,2},$I$14,F$29),CHOOSE({1,2},$H$14,$C34)))))))))))&lt;0,"Negative",IF($I$6&lt;&gt;0,XIRR(CHOOSE({1,2,3,4,5,6,7,8,9,10},$I$6,$I$7,$I$9,$I$10,$I$11,$I$12,$I$13,#REF!,$I$14,F$29),CHOOSE({1,2,3,4,5,6,7,8,9,10},$H$6,$H$7,$H$9,$H$10,$H$11,$H$12,$H$13,#REF!,$H$14,$C34),IRR(CHOOSE({1,2,3,4,5,6,7,8,9,10},$I$6,$I$7,$I$9,$I$10,$I$11,$I$12,$I$13,#REF!,$I$14,F$29))),IF($I$7&lt;&gt;0,XIRR(CHOOSE({1,2,3,4,5,6,7,8,9},$I$7,$I$9,$I$10,$I$11,$I$12,$I$13,#REF!,$I$14,F$29),CHOOSE({1,2,3,4,5,6,7,8,9},$H$7,$H$9,$H$10,$H$11,$H$12,$H$13,#REF!,$H$14,$C34),IRR(CHOOSE({1,2,3,4,5,6,7,8,9,10},$I$6,$I$7,$I$9,$I$10,$I$11,$I$12,$I$13,#REF!,$I$14,F$29))),IF($I$9&lt;&gt;0,XIRR(CHOOSE({1,2,3,4,5,6,7,8},$I$9,$I$10,$I$11,$I$12,$I$13,#REF!,$I$14,F$29),CHOOSE({1,2,3,4,5,6,7,8},$H$9,$H$10,$H$11,$H$12,$H$13,#REF!,$H$14,$C34),IRR(CHOOSE({1,2,3,4,5,6,7,8,9,10},$I$6,$I$7,$I$9,$I$10,$I$11,$I$12,$I$13,#REF!,$I$14,F$29))),IF($I$10&lt;&gt;0,XIRR(CHOOSE({1,2,3,4,5,6,7},$I$10,$I$11,$I$12,$I$13,#REF!,$I$14,F$29),CHOOSE({1,2,3,4,5,6,7},$H$10,$H$11,$H$12,$H$13,#REF!,$H$14,$C34),IRR(CHOOSE({1,2,3,4,5,6,7,8,9,10},$I$6,$I$7,$I$9,$I$10,$I$11,$I$12,$I$13,#REF!,$I$14,F$29))),IF($I$11&lt;&gt;0,XIRR(CHOOSE({1,2,3,4,5,6},$I$11,$I$12,$I$13,#REF!,$I$14,F$29),CHOOSE({1,2,3,4,5,6},$H$11,$H$12,$H$13,#REF!,$H$14,$C34),IRR(CHOOSE({1,2,3,4,5,6,7,8,9,10},$I$6,$I$7,$I$9,$I$10,$I$11,$I$12,$I$13,#REF!,$I$14,F$29))),IF($I$12&lt;&gt;0,XIRR(CHOOSE({1,2,3,4,5},$I$12,$I$13,#REF!,$I$14,F$29),CHOOSE({1,2,3,4,5},$H$12,$H$13,#REF!,$H$14,$C34),IRR(CHOOSE({1,2,3,4,5,6,7,8,9,10},$I$6,$I$7,$I$9,$I$10,$I$11,$I$12,$I$13,#REF!,$I$14,F$29))),IF($I$13&lt;&gt;0,XIRR(CHOOSE({1,2,3,4},$I$13,#REF!,$I$14,F$29),CHOOSE({1,2,3,4},$H$13,#REF!,$H$14,$C34),IRR(CHOOSE({1,2,3,4,5,6,7,8,9,10},$I$6,$I$7,$I$9,$I$10,$I$11,$I$12,$I$13,#REF!,$I$14,F$29))),IF(#REF!&lt;&gt;0,XIRR(CHOOSE({1,2,3},#REF!,$I$14,F$29),CHOOSE({1,2,3},#REF!,$H$14,$C34),IRR(CHOOSE({1,2,3,4,5,6,7,8,9,10},$I$6,$I$7,$I$9,$I$10,$I$11,$I$12,$I$13,#REF!,$I$14,F$29))),IF($I$14&lt;&gt;0,XIRR(CHOOSE({1,2},$I$14,F$29),CHOOSE({1,2},$H$14,$C34)))))))))))),"Negative")</f>
        <v>Negative</v>
      </c>
      <c r="G34" s="770" t="str">
        <f>IFERROR(IF(IF($I$6&lt;&gt;0,XIRR(CHOOSE({1,2,3,4,5,6,7,8,9,10},$I$6,$I$7,$I$9,$I$10,$I$11,$I$12,$I$13,#REF!,$I$14,G$29),CHOOSE({1,2,3,4,5,6,7,8,9,10},$H$6,$H$7,$H$9,$H$10,$H$11,$H$12,$H$13,#REF!,$H$14,$C34),IRR(CHOOSE({1,2,3,4,5,6,7,8,9,10},$I$6,$I$7,$I$9,$I$10,$I$11,$I$12,$I$13,#REF!,$I$14,G$29))),IF($I$7&lt;&gt;0,XIRR(CHOOSE({1,2,3,4,5,6,7,8,9},$I$7,$I$9,$I$10,$I$11,$I$12,$I$13,#REF!,$I$14,G$29),CHOOSE({1,2,3,4,5,6,7,8,9},$H$7,$H$9,$H$10,$H$11,$H$12,$H$13,#REF!,$H$14,$C34),IRR(CHOOSE({1,2,3,4,5,6,7,8,9,10},$I$6,$I$7,$I$9,$I$10,$I$11,$I$12,$I$13,#REF!,$I$14,G$29))),IF($I$9&lt;&gt;0,XIRR(CHOOSE({1,2,3,4,5,6,7,8},$I$9,$I$10,$I$11,$I$12,$I$13,#REF!,$I$14,G$29),CHOOSE({1,2,3,4,5,6,7,8},$H$9,$H$10,$H$11,$H$12,$H$13,#REF!,$H$14,$C34),IRR(CHOOSE({1,2,3,4,5,6,7,8,9,10},$I$6,$I$7,$I$9,$I$10,$I$11,$I$12,$I$13,#REF!,$I$14,G$29))),IF($I$10&lt;&gt;0,XIRR(CHOOSE({1,2,3,4,5,6,7},$I$10,$I$11,$I$12,$I$13,#REF!,$I$14,G$29),CHOOSE({1,2,3,4,5,6,7},$H$10,$H$11,$H$12,$H$13,#REF!,$H$14,$C34),IRR(CHOOSE({1,2,3,4,5,6,7,8,9,10},$I$6,$I$7,$I$9,$I$10,$I$11,$I$12,$I$13,#REF!,$I$14,G$29))),IF($I$11&lt;&gt;0,XIRR(CHOOSE({1,2,3,4,5,6},$I$11,$I$12,$I$13,#REF!,$I$14,G$29),CHOOSE({1,2,3,4,5,6},$H$11,$H$12,$H$13,#REF!,$H$14,$C34),IRR(CHOOSE({1,2,3,4,5,6,7,8,9,10},$I$6,$I$7,$I$9,$I$10,$I$11,$I$12,$I$13,#REF!,$I$14,G$29))),IF($I$12&lt;&gt;0,XIRR(CHOOSE({1,2,3,4,5},$I$12,$I$13,#REF!,$I$14,G$29),CHOOSE({1,2,3,4,5},$H$12,$H$13,#REF!,$H$14,$C34),IRR(CHOOSE({1,2,3,4,5,6,7,8,9,10},$I$6,$I$7,$I$9,$I$10,$I$11,$I$12,$I$13,#REF!,$I$14,G$29))),IF($I$13&lt;&gt;0,XIRR(CHOOSE({1,2,3,4},$I$13,#REF!,$I$14,G$29),CHOOSE({1,2,3,4},$H$13,#REF!,$H$14,$C34),IRR(CHOOSE({1,2,3,4,5,6,7,8,9,10},$I$6,$I$7,$I$9,$I$10,$I$11,$I$12,$I$13,#REF!,$I$14,G$29))),IF(#REF!&lt;&gt;0,XIRR(CHOOSE({1,2,3},#REF!,$I$14,G$29),CHOOSE({1,2,3},#REF!,$H$14,$C34),IRR(CHOOSE({1,2,3,4,5,6,7,8,9,10},$I$6,$I$7,$I$9,$I$10,$I$11,$I$12,$I$13,#REF!,$I$14,G$29))),IF($I$14&lt;&gt;0,XIRR(CHOOSE({1,2},$I$14,G$29),CHOOSE({1,2},$H$14,$C34)))))))))))&lt;0,"Negative",IF($I$6&lt;&gt;0,XIRR(CHOOSE({1,2,3,4,5,6,7,8,9,10},$I$6,$I$7,$I$9,$I$10,$I$11,$I$12,$I$13,#REF!,$I$14,G$29),CHOOSE({1,2,3,4,5,6,7,8,9,10},$H$6,$H$7,$H$9,$H$10,$H$11,$H$12,$H$13,#REF!,$H$14,$C34),IRR(CHOOSE({1,2,3,4,5,6,7,8,9,10},$I$6,$I$7,$I$9,$I$10,$I$11,$I$12,$I$13,#REF!,$I$14,G$29))),IF($I$7&lt;&gt;0,XIRR(CHOOSE({1,2,3,4,5,6,7,8,9},$I$7,$I$9,$I$10,$I$11,$I$12,$I$13,#REF!,$I$14,G$29),CHOOSE({1,2,3,4,5,6,7,8,9},$H$7,$H$9,$H$10,$H$11,$H$12,$H$13,#REF!,$H$14,$C34),IRR(CHOOSE({1,2,3,4,5,6,7,8,9,10},$I$6,$I$7,$I$9,$I$10,$I$11,$I$12,$I$13,#REF!,$I$14,G$29))),IF($I$9&lt;&gt;0,XIRR(CHOOSE({1,2,3,4,5,6,7,8},$I$9,$I$10,$I$11,$I$12,$I$13,#REF!,$I$14,G$29),CHOOSE({1,2,3,4,5,6,7,8},$H$9,$H$10,$H$11,$H$12,$H$13,#REF!,$H$14,$C34),IRR(CHOOSE({1,2,3,4,5,6,7,8,9,10},$I$6,$I$7,$I$9,$I$10,$I$11,$I$12,$I$13,#REF!,$I$14,G$29))),IF($I$10&lt;&gt;0,XIRR(CHOOSE({1,2,3,4,5,6,7},$I$10,$I$11,$I$12,$I$13,#REF!,$I$14,G$29),CHOOSE({1,2,3,4,5,6,7},$H$10,$H$11,$H$12,$H$13,#REF!,$H$14,$C34),IRR(CHOOSE({1,2,3,4,5,6,7,8,9,10},$I$6,$I$7,$I$9,$I$10,$I$11,$I$12,$I$13,#REF!,$I$14,G$29))),IF($I$11&lt;&gt;0,XIRR(CHOOSE({1,2,3,4,5,6},$I$11,$I$12,$I$13,#REF!,$I$14,G$29),CHOOSE({1,2,3,4,5,6},$H$11,$H$12,$H$13,#REF!,$H$14,$C34),IRR(CHOOSE({1,2,3,4,5,6,7,8,9,10},$I$6,$I$7,$I$9,$I$10,$I$11,$I$12,$I$13,#REF!,$I$14,G$29))),IF($I$12&lt;&gt;0,XIRR(CHOOSE({1,2,3,4,5},$I$12,$I$13,#REF!,$I$14,G$29),CHOOSE({1,2,3,4,5},$H$12,$H$13,#REF!,$H$14,$C34),IRR(CHOOSE({1,2,3,4,5,6,7,8,9,10},$I$6,$I$7,$I$9,$I$10,$I$11,$I$12,$I$13,#REF!,$I$14,G$29))),IF($I$13&lt;&gt;0,XIRR(CHOOSE({1,2,3,4},$I$13,#REF!,$I$14,G$29),CHOOSE({1,2,3,4},$H$13,#REF!,$H$14,$C34),IRR(CHOOSE({1,2,3,4,5,6,7,8,9,10},$I$6,$I$7,$I$9,$I$10,$I$11,$I$12,$I$13,#REF!,$I$14,G$29))),IF(#REF!&lt;&gt;0,XIRR(CHOOSE({1,2,3},#REF!,$I$14,G$29),CHOOSE({1,2,3},#REF!,$H$14,$C34),IRR(CHOOSE({1,2,3,4,5,6,7,8,9,10},$I$6,$I$7,$I$9,$I$10,$I$11,$I$12,$I$13,#REF!,$I$14,G$29))),IF($I$14&lt;&gt;0,XIRR(CHOOSE({1,2},$I$14,G$29),CHOOSE({1,2},$H$14,$C34)))))))))))),"Negative")</f>
        <v>Negative</v>
      </c>
      <c r="H34" s="769" t="str">
        <f>IFERROR(IF(IF($I$6&lt;&gt;0,XIRR(CHOOSE({1,2,3,4,5,6,7,8,9,10},$I$6,$I$7,$I$9,$I$10,$I$11,$I$12,$I$13,#REF!,$I$14,H$29),CHOOSE({1,2,3,4,5,6,7,8,9,10},$H$6,$H$7,$H$9,$H$10,$H$11,$H$12,$H$13,#REF!,$H$14,$C34),IRR(CHOOSE({1,2,3,4,5,6,7,8,9,10},$I$6,$I$7,$I$9,$I$10,$I$11,$I$12,$I$13,#REF!,$I$14,H$29))),IF($I$7&lt;&gt;0,XIRR(CHOOSE({1,2,3,4,5,6,7,8,9},$I$7,$I$9,$I$10,$I$11,$I$12,$I$13,#REF!,$I$14,H$29),CHOOSE({1,2,3,4,5,6,7,8,9},$H$7,$H$9,$H$10,$H$11,$H$12,$H$13,#REF!,$H$14,$C34),IRR(CHOOSE({1,2,3,4,5,6,7,8,9,10},$I$6,$I$7,$I$9,$I$10,$I$11,$I$12,$I$13,#REF!,$I$14,H$29))),IF($I$9&lt;&gt;0,XIRR(CHOOSE({1,2,3,4,5,6,7,8},$I$9,$I$10,$I$11,$I$12,$I$13,#REF!,$I$14,H$29),CHOOSE({1,2,3,4,5,6,7,8},$H$9,$H$10,$H$11,$H$12,$H$13,#REF!,$H$14,$C34),IRR(CHOOSE({1,2,3,4,5,6,7,8,9,10},$I$6,$I$7,$I$9,$I$10,$I$11,$I$12,$I$13,#REF!,$I$14,H$29))),IF($I$10&lt;&gt;0,XIRR(CHOOSE({1,2,3,4,5,6,7},$I$10,$I$11,$I$12,$I$13,#REF!,$I$14,H$29),CHOOSE({1,2,3,4,5,6,7},$H$10,$H$11,$H$12,$H$13,#REF!,$H$14,$C34),IRR(CHOOSE({1,2,3,4,5,6,7,8,9,10},$I$6,$I$7,$I$9,$I$10,$I$11,$I$12,$I$13,#REF!,$I$14,H$29))),IF($I$11&lt;&gt;0,XIRR(CHOOSE({1,2,3,4,5,6},$I$11,$I$12,$I$13,#REF!,$I$14,H$29),CHOOSE({1,2,3,4,5,6},$H$11,$H$12,$H$13,#REF!,$H$14,$C34),IRR(CHOOSE({1,2,3,4,5,6,7,8,9,10},$I$6,$I$7,$I$9,$I$10,$I$11,$I$12,$I$13,#REF!,$I$14,H$29))),IF($I$12&lt;&gt;0,XIRR(CHOOSE({1,2,3,4,5},$I$12,$I$13,#REF!,$I$14,H$29),CHOOSE({1,2,3,4,5},$H$12,$H$13,#REF!,$H$14,$C34),IRR(CHOOSE({1,2,3,4,5,6,7,8,9,10},$I$6,$I$7,$I$9,$I$10,$I$11,$I$12,$I$13,#REF!,$I$14,H$29))),IF($I$13&lt;&gt;0,XIRR(CHOOSE({1,2,3,4},$I$13,#REF!,$I$14,H$29),CHOOSE({1,2,3,4},$H$13,#REF!,$H$14,$C34),IRR(CHOOSE({1,2,3,4,5,6,7,8,9,10},$I$6,$I$7,$I$9,$I$10,$I$11,$I$12,$I$13,#REF!,$I$14,H$29))),IF(#REF!&lt;&gt;0,XIRR(CHOOSE({1,2,3},#REF!,$I$14,H$29),CHOOSE({1,2,3},#REF!,$H$14,$C34),IRR(CHOOSE({1,2,3,4,5,6,7,8,9,10},$I$6,$I$7,$I$9,$I$10,$I$11,$I$12,$I$13,#REF!,$I$14,H$29))),IF($I$14&lt;&gt;0,XIRR(CHOOSE({1,2},$I$14,H$29),CHOOSE({1,2},$H$14,$C34)))))))))))&lt;0,"Negative",IF($I$6&lt;&gt;0,XIRR(CHOOSE({1,2,3,4,5,6,7,8,9,10},$I$6,$I$7,$I$9,$I$10,$I$11,$I$12,$I$13,#REF!,$I$14,H$29),CHOOSE({1,2,3,4,5,6,7,8,9,10},$H$6,$H$7,$H$9,$H$10,$H$11,$H$12,$H$13,#REF!,$H$14,$C34),IRR(CHOOSE({1,2,3,4,5,6,7,8,9,10},$I$6,$I$7,$I$9,$I$10,$I$11,$I$12,$I$13,#REF!,$I$14,H$29))),IF($I$7&lt;&gt;0,XIRR(CHOOSE({1,2,3,4,5,6,7,8,9},$I$7,$I$9,$I$10,$I$11,$I$12,$I$13,#REF!,$I$14,H$29),CHOOSE({1,2,3,4,5,6,7,8,9},$H$7,$H$9,$H$10,$H$11,$H$12,$H$13,#REF!,$H$14,$C34),IRR(CHOOSE({1,2,3,4,5,6,7,8,9,10},$I$6,$I$7,$I$9,$I$10,$I$11,$I$12,$I$13,#REF!,$I$14,H$29))),IF($I$9&lt;&gt;0,XIRR(CHOOSE({1,2,3,4,5,6,7,8},$I$9,$I$10,$I$11,$I$12,$I$13,#REF!,$I$14,H$29),CHOOSE({1,2,3,4,5,6,7,8},$H$9,$H$10,$H$11,$H$12,$H$13,#REF!,$H$14,$C34),IRR(CHOOSE({1,2,3,4,5,6,7,8,9,10},$I$6,$I$7,$I$9,$I$10,$I$11,$I$12,$I$13,#REF!,$I$14,H$29))),IF($I$10&lt;&gt;0,XIRR(CHOOSE({1,2,3,4,5,6,7},$I$10,$I$11,$I$12,$I$13,#REF!,$I$14,H$29),CHOOSE({1,2,3,4,5,6,7},$H$10,$H$11,$H$12,$H$13,#REF!,$H$14,$C34),IRR(CHOOSE({1,2,3,4,5,6,7,8,9,10},$I$6,$I$7,$I$9,$I$10,$I$11,$I$12,$I$13,#REF!,$I$14,H$29))),IF($I$11&lt;&gt;0,XIRR(CHOOSE({1,2,3,4,5,6},$I$11,$I$12,$I$13,#REF!,$I$14,H$29),CHOOSE({1,2,3,4,5,6},$H$11,$H$12,$H$13,#REF!,$H$14,$C34),IRR(CHOOSE({1,2,3,4,5,6,7,8,9,10},$I$6,$I$7,$I$9,$I$10,$I$11,$I$12,$I$13,#REF!,$I$14,H$29))),IF($I$12&lt;&gt;0,XIRR(CHOOSE({1,2,3,4,5},$I$12,$I$13,#REF!,$I$14,H$29),CHOOSE({1,2,3,4,5},$H$12,$H$13,#REF!,$H$14,$C34),IRR(CHOOSE({1,2,3,4,5,6,7,8,9,10},$I$6,$I$7,$I$9,$I$10,$I$11,$I$12,$I$13,#REF!,$I$14,H$29))),IF($I$13&lt;&gt;0,XIRR(CHOOSE({1,2,3,4},$I$13,#REF!,$I$14,H$29),CHOOSE({1,2,3,4},$H$13,#REF!,$H$14,$C34),IRR(CHOOSE({1,2,3,4,5,6,7,8,9,10},$I$6,$I$7,$I$9,$I$10,$I$11,$I$12,$I$13,#REF!,$I$14,H$29))),IF(#REF!&lt;&gt;0,XIRR(CHOOSE({1,2,3},#REF!,$I$14,H$29),CHOOSE({1,2,3},#REF!,$H$14,$C34),IRR(CHOOSE({1,2,3,4,5,6,7,8,9,10},$I$6,$I$7,$I$9,$I$10,$I$11,$I$12,$I$13,#REF!,$I$14,H$29))),IF($I$14&lt;&gt;0,XIRR(CHOOSE({1,2},$I$14,H$29),CHOOSE({1,2},$H$14,$C34)))))))))))),"Negative")</f>
        <v>Negative</v>
      </c>
      <c r="I34" s="772" t="str">
        <f>IFERROR(IF(IF($I$6&lt;&gt;0,XIRR(CHOOSE({1,2,3,4,5,6,7,8,9,10},$I$6,$I$7,$I$9,$I$10,$I$11,$I$12,$I$13,#REF!,$I$14,I$29),CHOOSE({1,2,3,4,5,6,7,8,9,10},$H$6,$H$7,$H$9,$H$10,$H$11,$H$12,$H$13,#REF!,$H$14,$C34),IRR(CHOOSE({1,2,3,4,5,6,7,8,9,10},$I$6,$I$7,$I$9,$I$10,$I$11,$I$12,$I$13,#REF!,$I$14,I$29))),IF($I$7&lt;&gt;0,XIRR(CHOOSE({1,2,3,4,5,6,7,8,9},$I$7,$I$9,$I$10,$I$11,$I$12,$I$13,#REF!,$I$14,I$29),CHOOSE({1,2,3,4,5,6,7,8,9},$H$7,$H$9,$H$10,$H$11,$H$12,$H$13,#REF!,$H$14,$C34),IRR(CHOOSE({1,2,3,4,5,6,7,8,9,10},$I$6,$I$7,$I$9,$I$10,$I$11,$I$12,$I$13,#REF!,$I$14,I$29))),IF($I$9&lt;&gt;0,XIRR(CHOOSE({1,2,3,4,5,6,7,8},$I$9,$I$10,$I$11,$I$12,$I$13,#REF!,$I$14,I$29),CHOOSE({1,2,3,4,5,6,7,8},$H$9,$H$10,$H$11,$H$12,$H$13,#REF!,$H$14,$C34),IRR(CHOOSE({1,2,3,4,5,6,7,8,9,10},$I$6,$I$7,$I$9,$I$10,$I$11,$I$12,$I$13,#REF!,$I$14,I$29))),IF($I$10&lt;&gt;0,XIRR(CHOOSE({1,2,3,4,5,6,7},$I$10,$I$11,$I$12,$I$13,#REF!,$I$14,I$29),CHOOSE({1,2,3,4,5,6,7},$H$10,$H$11,$H$12,$H$13,#REF!,$H$14,$C34),IRR(CHOOSE({1,2,3,4,5,6,7,8,9,10},$I$6,$I$7,$I$9,$I$10,$I$11,$I$12,$I$13,#REF!,$I$14,I$29))),IF($I$11&lt;&gt;0,XIRR(CHOOSE({1,2,3,4,5,6},$I$11,$I$12,$I$13,#REF!,$I$14,I$29),CHOOSE({1,2,3,4,5,6},$H$11,$H$12,$H$13,#REF!,$H$14,$C34),IRR(CHOOSE({1,2,3,4,5,6,7,8,9,10},$I$6,$I$7,$I$9,$I$10,$I$11,$I$12,$I$13,#REF!,$I$14,I$29))),IF($I$12&lt;&gt;0,XIRR(CHOOSE({1,2,3,4,5},$I$12,$I$13,#REF!,$I$14,I$29),CHOOSE({1,2,3,4,5},$H$12,$H$13,#REF!,$H$14,$C34),IRR(CHOOSE({1,2,3,4,5,6,7,8,9,10},$I$6,$I$7,$I$9,$I$10,$I$11,$I$12,$I$13,#REF!,$I$14,I$29))),IF($I$13&lt;&gt;0,XIRR(CHOOSE({1,2,3,4},$I$13,#REF!,$I$14,I$29),CHOOSE({1,2,3,4},$H$13,#REF!,$H$14,$C34),IRR(CHOOSE({1,2,3,4,5,6,7,8,9,10},$I$6,$I$7,$I$9,$I$10,$I$11,$I$12,$I$13,#REF!,$I$14,I$29))),IF(#REF!&lt;&gt;0,XIRR(CHOOSE({1,2,3},#REF!,$I$14,I$29),CHOOSE({1,2,3},#REF!,$H$14,$C34),IRR(CHOOSE({1,2,3,4,5,6,7,8,9,10},$I$6,$I$7,$I$9,$I$10,$I$11,$I$12,$I$13,#REF!,$I$14,I$29))),IF($I$14&lt;&gt;0,XIRR(CHOOSE({1,2},$I$14,I$29),CHOOSE({1,2},$H$14,$C34)))))))))))&lt;0,"Negative",IF($I$6&lt;&gt;0,XIRR(CHOOSE({1,2,3,4,5,6,7,8,9,10},$I$6,$I$7,$I$9,$I$10,$I$11,$I$12,$I$13,#REF!,$I$14,I$29),CHOOSE({1,2,3,4,5,6,7,8,9,10},$H$6,$H$7,$H$9,$H$10,$H$11,$H$12,$H$13,#REF!,$H$14,$C34),IRR(CHOOSE({1,2,3,4,5,6,7,8,9,10},$I$6,$I$7,$I$9,$I$10,$I$11,$I$12,$I$13,#REF!,$I$14,I$29))),IF($I$7&lt;&gt;0,XIRR(CHOOSE({1,2,3,4,5,6,7,8,9},$I$7,$I$9,$I$10,$I$11,$I$12,$I$13,#REF!,$I$14,I$29),CHOOSE({1,2,3,4,5,6,7,8,9},$H$7,$H$9,$H$10,$H$11,$H$12,$H$13,#REF!,$H$14,$C34),IRR(CHOOSE({1,2,3,4,5,6,7,8,9,10},$I$6,$I$7,$I$9,$I$10,$I$11,$I$12,$I$13,#REF!,$I$14,I$29))),IF($I$9&lt;&gt;0,XIRR(CHOOSE({1,2,3,4,5,6,7,8},$I$9,$I$10,$I$11,$I$12,$I$13,#REF!,$I$14,I$29),CHOOSE({1,2,3,4,5,6,7,8},$H$9,$H$10,$H$11,$H$12,$H$13,#REF!,$H$14,$C34),IRR(CHOOSE({1,2,3,4,5,6,7,8,9,10},$I$6,$I$7,$I$9,$I$10,$I$11,$I$12,$I$13,#REF!,$I$14,I$29))),IF($I$10&lt;&gt;0,XIRR(CHOOSE({1,2,3,4,5,6,7},$I$10,$I$11,$I$12,$I$13,#REF!,$I$14,I$29),CHOOSE({1,2,3,4,5,6,7},$H$10,$H$11,$H$12,$H$13,#REF!,$H$14,$C34),IRR(CHOOSE({1,2,3,4,5,6,7,8,9,10},$I$6,$I$7,$I$9,$I$10,$I$11,$I$12,$I$13,#REF!,$I$14,I$29))),IF($I$11&lt;&gt;0,XIRR(CHOOSE({1,2,3,4,5,6},$I$11,$I$12,$I$13,#REF!,$I$14,I$29),CHOOSE({1,2,3,4,5,6},$H$11,$H$12,$H$13,#REF!,$H$14,$C34),IRR(CHOOSE({1,2,3,4,5,6,7,8,9,10},$I$6,$I$7,$I$9,$I$10,$I$11,$I$12,$I$13,#REF!,$I$14,I$29))),IF($I$12&lt;&gt;0,XIRR(CHOOSE({1,2,3,4,5},$I$12,$I$13,#REF!,$I$14,I$29),CHOOSE({1,2,3,4,5},$H$12,$H$13,#REF!,$H$14,$C34),IRR(CHOOSE({1,2,3,4,5,6,7,8,9,10},$I$6,$I$7,$I$9,$I$10,$I$11,$I$12,$I$13,#REF!,$I$14,I$29))),IF($I$13&lt;&gt;0,XIRR(CHOOSE({1,2,3,4},$I$13,#REF!,$I$14,I$29),CHOOSE({1,2,3,4},$H$13,#REF!,$H$14,$C34),IRR(CHOOSE({1,2,3,4,5,6,7,8,9,10},$I$6,$I$7,$I$9,$I$10,$I$11,$I$12,$I$13,#REF!,$I$14,I$29))),IF(#REF!&lt;&gt;0,XIRR(CHOOSE({1,2,3},#REF!,$I$14,I$29),CHOOSE({1,2,3},#REF!,$H$14,$C34),IRR(CHOOSE({1,2,3,4,5,6,7,8,9,10},$I$6,$I$7,$I$9,$I$10,$I$11,$I$12,$I$13,#REF!,$I$14,I$29))),IF($I$14&lt;&gt;0,XIRR(CHOOSE({1,2},$I$14,I$29),CHOOSE({1,2},$H$14,$C34)))))))))))),"Negative")</f>
        <v>Negative</v>
      </c>
      <c r="J34" s="769" t="str">
        <f>IFERROR(IF(IF($I$6&lt;&gt;0,XIRR(CHOOSE({1,2,3,4,5,6,7,8,9,10},$I$6,$I$7,$I$9,$I$10,$I$11,$I$12,$I$13,#REF!,$I$14,J$29),CHOOSE({1,2,3,4,5,6,7,8,9,10},$H$6,$H$7,$H$9,$H$10,$H$11,$H$12,$H$13,#REF!,$H$14,$C34),IRR(CHOOSE({1,2,3,4,5,6,7,8,9,10},$I$6,$I$7,$I$9,$I$10,$I$11,$I$12,$I$13,#REF!,$I$14,J$29))),IF($I$7&lt;&gt;0,XIRR(CHOOSE({1,2,3,4,5,6,7,8,9},$I$7,$I$9,$I$10,$I$11,$I$12,$I$13,#REF!,$I$14,J$29),CHOOSE({1,2,3,4,5,6,7,8,9},$H$7,$H$9,$H$10,$H$11,$H$12,$H$13,#REF!,$H$14,$C34),IRR(CHOOSE({1,2,3,4,5,6,7,8,9,10},$I$6,$I$7,$I$9,$I$10,$I$11,$I$12,$I$13,#REF!,$I$14,J$29))),IF($I$9&lt;&gt;0,XIRR(CHOOSE({1,2,3,4,5,6,7,8},$I$9,$I$10,$I$11,$I$12,$I$13,#REF!,$I$14,J$29),CHOOSE({1,2,3,4,5,6,7,8},$H$9,$H$10,$H$11,$H$12,$H$13,#REF!,$H$14,$C34),IRR(CHOOSE({1,2,3,4,5,6,7,8,9,10},$I$6,$I$7,$I$9,$I$10,$I$11,$I$12,$I$13,#REF!,$I$14,J$29))),IF($I$10&lt;&gt;0,XIRR(CHOOSE({1,2,3,4,5,6,7},$I$10,$I$11,$I$12,$I$13,#REF!,$I$14,J$29),CHOOSE({1,2,3,4,5,6,7},$H$10,$H$11,$H$12,$H$13,#REF!,$H$14,$C34),IRR(CHOOSE({1,2,3,4,5,6,7,8,9,10},$I$6,$I$7,$I$9,$I$10,$I$11,$I$12,$I$13,#REF!,$I$14,J$29))),IF($I$11&lt;&gt;0,XIRR(CHOOSE({1,2,3,4,5,6},$I$11,$I$12,$I$13,#REF!,$I$14,J$29),CHOOSE({1,2,3,4,5,6},$H$11,$H$12,$H$13,#REF!,$H$14,$C34),IRR(CHOOSE({1,2,3,4,5,6,7,8,9,10},$I$6,$I$7,$I$9,$I$10,$I$11,$I$12,$I$13,#REF!,$I$14,J$29))),IF($I$12&lt;&gt;0,XIRR(CHOOSE({1,2,3,4,5},$I$12,$I$13,#REF!,$I$14,J$29),CHOOSE({1,2,3,4,5},$H$12,$H$13,#REF!,$H$14,$C34),IRR(CHOOSE({1,2,3,4,5,6,7,8,9,10},$I$6,$I$7,$I$9,$I$10,$I$11,$I$12,$I$13,#REF!,$I$14,J$29))),IF($I$13&lt;&gt;0,XIRR(CHOOSE({1,2,3,4},$I$13,#REF!,$I$14,J$29),CHOOSE({1,2,3,4},$H$13,#REF!,$H$14,$C34),IRR(CHOOSE({1,2,3,4,5,6,7,8,9,10},$I$6,$I$7,$I$9,$I$10,$I$11,$I$12,$I$13,#REF!,$I$14,J$29))),IF(#REF!&lt;&gt;0,XIRR(CHOOSE({1,2,3},#REF!,$I$14,J$29),CHOOSE({1,2,3},#REF!,$H$14,$C34),IRR(CHOOSE({1,2,3,4,5,6,7,8,9,10},$I$6,$I$7,$I$9,$I$10,$I$11,$I$12,$I$13,#REF!,$I$14,J$29))),IF($I$14&lt;&gt;0,XIRR(CHOOSE({1,2},$I$14,J$29),CHOOSE({1,2},$H$14,$C34)))))))))))&lt;0,"Negative",IF($I$6&lt;&gt;0,XIRR(CHOOSE({1,2,3,4,5,6,7,8,9,10},$I$6,$I$7,$I$9,$I$10,$I$11,$I$12,$I$13,#REF!,$I$14,J$29),CHOOSE({1,2,3,4,5,6,7,8,9,10},$H$6,$H$7,$H$9,$H$10,$H$11,$H$12,$H$13,#REF!,$H$14,$C34),IRR(CHOOSE({1,2,3,4,5,6,7,8,9,10},$I$6,$I$7,$I$9,$I$10,$I$11,$I$12,$I$13,#REF!,$I$14,J$29))),IF($I$7&lt;&gt;0,XIRR(CHOOSE({1,2,3,4,5,6,7,8,9},$I$7,$I$9,$I$10,$I$11,$I$12,$I$13,#REF!,$I$14,J$29),CHOOSE({1,2,3,4,5,6,7,8,9},$H$7,$H$9,$H$10,$H$11,$H$12,$H$13,#REF!,$H$14,$C34),IRR(CHOOSE({1,2,3,4,5,6,7,8,9,10},$I$6,$I$7,$I$9,$I$10,$I$11,$I$12,$I$13,#REF!,$I$14,J$29))),IF($I$9&lt;&gt;0,XIRR(CHOOSE({1,2,3,4,5,6,7,8},$I$9,$I$10,$I$11,$I$12,$I$13,#REF!,$I$14,J$29),CHOOSE({1,2,3,4,5,6,7,8},$H$9,$H$10,$H$11,$H$12,$H$13,#REF!,$H$14,$C34),IRR(CHOOSE({1,2,3,4,5,6,7,8,9,10},$I$6,$I$7,$I$9,$I$10,$I$11,$I$12,$I$13,#REF!,$I$14,J$29))),IF($I$10&lt;&gt;0,XIRR(CHOOSE({1,2,3,4,5,6,7},$I$10,$I$11,$I$12,$I$13,#REF!,$I$14,J$29),CHOOSE({1,2,3,4,5,6,7},$H$10,$H$11,$H$12,$H$13,#REF!,$H$14,$C34),IRR(CHOOSE({1,2,3,4,5,6,7,8,9,10},$I$6,$I$7,$I$9,$I$10,$I$11,$I$12,$I$13,#REF!,$I$14,J$29))),IF($I$11&lt;&gt;0,XIRR(CHOOSE({1,2,3,4,5,6},$I$11,$I$12,$I$13,#REF!,$I$14,J$29),CHOOSE({1,2,3,4,5,6},$H$11,$H$12,$H$13,#REF!,$H$14,$C34),IRR(CHOOSE({1,2,3,4,5,6,7,8,9,10},$I$6,$I$7,$I$9,$I$10,$I$11,$I$12,$I$13,#REF!,$I$14,J$29))),IF($I$12&lt;&gt;0,XIRR(CHOOSE({1,2,3,4,5},$I$12,$I$13,#REF!,$I$14,J$29),CHOOSE({1,2,3,4,5},$H$12,$H$13,#REF!,$H$14,$C34),IRR(CHOOSE({1,2,3,4,5,6,7,8,9,10},$I$6,$I$7,$I$9,$I$10,$I$11,$I$12,$I$13,#REF!,$I$14,J$29))),IF($I$13&lt;&gt;0,XIRR(CHOOSE({1,2,3,4},$I$13,#REF!,$I$14,J$29),CHOOSE({1,2,3,4},$H$13,#REF!,$H$14,$C34),IRR(CHOOSE({1,2,3,4,5,6,7,8,9,10},$I$6,$I$7,$I$9,$I$10,$I$11,$I$12,$I$13,#REF!,$I$14,J$29))),IF(#REF!&lt;&gt;0,XIRR(CHOOSE({1,2,3},#REF!,$I$14,J$29),CHOOSE({1,2,3},#REF!,$H$14,$C34),IRR(CHOOSE({1,2,3,4,5,6,7,8,9,10},$I$6,$I$7,$I$9,$I$10,$I$11,$I$12,$I$13,#REF!,$I$14,J$29))),IF($I$14&lt;&gt;0,XIRR(CHOOSE({1,2},$I$14,J$29),CHOOSE({1,2},$H$14,$C34)))))))))))),"Negative")</f>
        <v>Negative</v>
      </c>
      <c r="K34" s="769" t="str">
        <f>IFERROR(IF(IF($I$6&lt;&gt;0,XIRR(CHOOSE({1,2,3,4,5,6,7,8,9,10},$I$6,$I$7,$I$9,$I$10,$I$11,$I$12,$I$13,#REF!,$I$14,K$29),CHOOSE({1,2,3,4,5,6,7,8,9,10},$H$6,$H$7,$H$9,$H$10,$H$11,$H$12,$H$13,#REF!,$H$14,$C34),IRR(CHOOSE({1,2,3,4,5,6,7,8,9,10},$I$6,$I$7,$I$9,$I$10,$I$11,$I$12,$I$13,#REF!,$I$14,K$29))),IF($I$7&lt;&gt;0,XIRR(CHOOSE({1,2,3,4,5,6,7,8,9},$I$7,$I$9,$I$10,$I$11,$I$12,$I$13,#REF!,$I$14,K$29),CHOOSE({1,2,3,4,5,6,7,8,9},$H$7,$H$9,$H$10,$H$11,$H$12,$H$13,#REF!,$H$14,$C34),IRR(CHOOSE({1,2,3,4,5,6,7,8,9,10},$I$6,$I$7,$I$9,$I$10,$I$11,$I$12,$I$13,#REF!,$I$14,K$29))),IF($I$9&lt;&gt;0,XIRR(CHOOSE({1,2,3,4,5,6,7,8},$I$9,$I$10,$I$11,$I$12,$I$13,#REF!,$I$14,K$29),CHOOSE({1,2,3,4,5,6,7,8},$H$9,$H$10,$H$11,$H$12,$H$13,#REF!,$H$14,$C34),IRR(CHOOSE({1,2,3,4,5,6,7,8,9,10},$I$6,$I$7,$I$9,$I$10,$I$11,$I$12,$I$13,#REF!,$I$14,K$29))),IF($I$10&lt;&gt;0,XIRR(CHOOSE({1,2,3,4,5,6,7},$I$10,$I$11,$I$12,$I$13,#REF!,$I$14,K$29),CHOOSE({1,2,3,4,5,6,7},$H$10,$H$11,$H$12,$H$13,#REF!,$H$14,$C34),IRR(CHOOSE({1,2,3,4,5,6,7,8,9,10},$I$6,$I$7,$I$9,$I$10,$I$11,$I$12,$I$13,#REF!,$I$14,K$29))),IF($I$11&lt;&gt;0,XIRR(CHOOSE({1,2,3,4,5,6},$I$11,$I$12,$I$13,#REF!,$I$14,K$29),CHOOSE({1,2,3,4,5,6},$H$11,$H$12,$H$13,#REF!,$H$14,$C34),IRR(CHOOSE({1,2,3,4,5,6,7,8,9,10},$I$6,$I$7,$I$9,$I$10,$I$11,$I$12,$I$13,#REF!,$I$14,K$29))),IF($I$12&lt;&gt;0,XIRR(CHOOSE({1,2,3,4,5},$I$12,$I$13,#REF!,$I$14,K$29),CHOOSE({1,2,3,4,5},$H$12,$H$13,#REF!,$H$14,$C34),IRR(CHOOSE({1,2,3,4,5,6,7,8,9,10},$I$6,$I$7,$I$9,$I$10,$I$11,$I$12,$I$13,#REF!,$I$14,K$29))),IF($I$13&lt;&gt;0,XIRR(CHOOSE({1,2,3,4},$I$13,#REF!,$I$14,K$29),CHOOSE({1,2,3,4},$H$13,#REF!,$H$14,$C34),IRR(CHOOSE({1,2,3,4,5,6,7,8,9,10},$I$6,$I$7,$I$9,$I$10,$I$11,$I$12,$I$13,#REF!,$I$14,K$29))),IF(#REF!&lt;&gt;0,XIRR(CHOOSE({1,2,3},#REF!,$I$14,K$29),CHOOSE({1,2,3},#REF!,$H$14,$C34),IRR(CHOOSE({1,2,3,4,5,6,7,8,9,10},$I$6,$I$7,$I$9,$I$10,$I$11,$I$12,$I$13,#REF!,$I$14,K$29))),IF($I$14&lt;&gt;0,XIRR(CHOOSE({1,2},$I$14,K$29),CHOOSE({1,2},$H$14,$C34)))))))))))&lt;0,"Negative",IF($I$6&lt;&gt;0,XIRR(CHOOSE({1,2,3,4,5,6,7,8,9,10},$I$6,$I$7,$I$9,$I$10,$I$11,$I$12,$I$13,#REF!,$I$14,K$29),CHOOSE({1,2,3,4,5,6,7,8,9,10},$H$6,$H$7,$H$9,$H$10,$H$11,$H$12,$H$13,#REF!,$H$14,$C34),IRR(CHOOSE({1,2,3,4,5,6,7,8,9,10},$I$6,$I$7,$I$9,$I$10,$I$11,$I$12,$I$13,#REF!,$I$14,K$29))),IF($I$7&lt;&gt;0,XIRR(CHOOSE({1,2,3,4,5,6,7,8,9},$I$7,$I$9,$I$10,$I$11,$I$12,$I$13,#REF!,$I$14,K$29),CHOOSE({1,2,3,4,5,6,7,8,9},$H$7,$H$9,$H$10,$H$11,$H$12,$H$13,#REF!,$H$14,$C34),IRR(CHOOSE({1,2,3,4,5,6,7,8,9,10},$I$6,$I$7,$I$9,$I$10,$I$11,$I$12,$I$13,#REF!,$I$14,K$29))),IF($I$9&lt;&gt;0,XIRR(CHOOSE({1,2,3,4,5,6,7,8},$I$9,$I$10,$I$11,$I$12,$I$13,#REF!,$I$14,K$29),CHOOSE({1,2,3,4,5,6,7,8},$H$9,$H$10,$H$11,$H$12,$H$13,#REF!,$H$14,$C34),IRR(CHOOSE({1,2,3,4,5,6,7,8,9,10},$I$6,$I$7,$I$9,$I$10,$I$11,$I$12,$I$13,#REF!,$I$14,K$29))),IF($I$10&lt;&gt;0,XIRR(CHOOSE({1,2,3,4,5,6,7},$I$10,$I$11,$I$12,$I$13,#REF!,$I$14,K$29),CHOOSE({1,2,3,4,5,6,7},$H$10,$H$11,$H$12,$H$13,#REF!,$H$14,$C34),IRR(CHOOSE({1,2,3,4,5,6,7,8,9,10},$I$6,$I$7,$I$9,$I$10,$I$11,$I$12,$I$13,#REF!,$I$14,K$29))),IF($I$11&lt;&gt;0,XIRR(CHOOSE({1,2,3,4,5,6},$I$11,$I$12,$I$13,#REF!,$I$14,K$29),CHOOSE({1,2,3,4,5,6},$H$11,$H$12,$H$13,#REF!,$H$14,$C34),IRR(CHOOSE({1,2,3,4,5,6,7,8,9,10},$I$6,$I$7,$I$9,$I$10,$I$11,$I$12,$I$13,#REF!,$I$14,K$29))),IF($I$12&lt;&gt;0,XIRR(CHOOSE({1,2,3,4,5},$I$12,$I$13,#REF!,$I$14,K$29),CHOOSE({1,2,3,4,5},$H$12,$H$13,#REF!,$H$14,$C34),IRR(CHOOSE({1,2,3,4,5,6,7,8,9,10},$I$6,$I$7,$I$9,$I$10,$I$11,$I$12,$I$13,#REF!,$I$14,K$29))),IF($I$13&lt;&gt;0,XIRR(CHOOSE({1,2,3,4},$I$13,#REF!,$I$14,K$29),CHOOSE({1,2,3,4},$H$13,#REF!,$H$14,$C34),IRR(CHOOSE({1,2,3,4,5,6,7,8,9,10},$I$6,$I$7,$I$9,$I$10,$I$11,$I$12,$I$13,#REF!,$I$14,K$29))),IF(#REF!&lt;&gt;0,XIRR(CHOOSE({1,2,3},#REF!,$I$14,K$29),CHOOSE({1,2,3},#REF!,$H$14,$C34),IRR(CHOOSE({1,2,3,4,5,6,7,8,9,10},$I$6,$I$7,$I$9,$I$10,$I$11,$I$12,$I$13,#REF!,$I$14,K$29))),IF($I$14&lt;&gt;0,XIRR(CHOOSE({1,2},$I$14,K$29),CHOOSE({1,2},$H$14,$C34)))))))))))),"Negative")</f>
        <v>Negative</v>
      </c>
      <c r="L34" s="769" t="str">
        <f>IFERROR(IF(IF($I$6&lt;&gt;0,XIRR(CHOOSE({1,2,3,4,5,6,7,8,9,10},$I$6,$I$7,$I$9,$I$10,$I$11,$I$12,$I$13,#REF!,$I$14,L$29),CHOOSE({1,2,3,4,5,6,7,8,9,10},$H$6,$H$7,$H$9,$H$10,$H$11,$H$12,$H$13,#REF!,$H$14,$C34),IRR(CHOOSE({1,2,3,4,5,6,7,8,9,10},$I$6,$I$7,$I$9,$I$10,$I$11,$I$12,$I$13,#REF!,$I$14,L$29))),IF($I$7&lt;&gt;0,XIRR(CHOOSE({1,2,3,4,5,6,7,8,9},$I$7,$I$9,$I$10,$I$11,$I$12,$I$13,#REF!,$I$14,L$29),CHOOSE({1,2,3,4,5,6,7,8,9},$H$7,$H$9,$H$10,$H$11,$H$12,$H$13,#REF!,$H$14,$C34),IRR(CHOOSE({1,2,3,4,5,6,7,8,9,10},$I$6,$I$7,$I$9,$I$10,$I$11,$I$12,$I$13,#REF!,$I$14,L$29))),IF($I$9&lt;&gt;0,XIRR(CHOOSE({1,2,3,4,5,6,7,8},$I$9,$I$10,$I$11,$I$12,$I$13,#REF!,$I$14,L$29),CHOOSE({1,2,3,4,5,6,7,8},$H$9,$H$10,$H$11,$H$12,$H$13,#REF!,$H$14,$C34),IRR(CHOOSE({1,2,3,4,5,6,7,8,9,10},$I$6,$I$7,$I$9,$I$10,$I$11,$I$12,$I$13,#REF!,$I$14,L$29))),IF($I$10&lt;&gt;0,XIRR(CHOOSE({1,2,3,4,5,6,7},$I$10,$I$11,$I$12,$I$13,#REF!,$I$14,L$29),CHOOSE({1,2,3,4,5,6,7},$H$10,$H$11,$H$12,$H$13,#REF!,$H$14,$C34),IRR(CHOOSE({1,2,3,4,5,6,7,8,9,10},$I$6,$I$7,$I$9,$I$10,$I$11,$I$12,$I$13,#REF!,$I$14,L$29))),IF($I$11&lt;&gt;0,XIRR(CHOOSE({1,2,3,4,5,6},$I$11,$I$12,$I$13,#REF!,$I$14,L$29),CHOOSE({1,2,3,4,5,6},$H$11,$H$12,$H$13,#REF!,$H$14,$C34),IRR(CHOOSE({1,2,3,4,5,6,7,8,9,10},$I$6,$I$7,$I$9,$I$10,$I$11,$I$12,$I$13,#REF!,$I$14,L$29))),IF($I$12&lt;&gt;0,XIRR(CHOOSE({1,2,3,4,5},$I$12,$I$13,#REF!,$I$14,L$29),CHOOSE({1,2,3,4,5},$H$12,$H$13,#REF!,$H$14,$C34),IRR(CHOOSE({1,2,3,4,5,6,7,8,9,10},$I$6,$I$7,$I$9,$I$10,$I$11,$I$12,$I$13,#REF!,$I$14,L$29))),IF($I$13&lt;&gt;0,XIRR(CHOOSE({1,2,3,4},$I$13,#REF!,$I$14,L$29),CHOOSE({1,2,3,4},$H$13,#REF!,$H$14,$C34),IRR(CHOOSE({1,2,3,4,5,6,7,8,9,10},$I$6,$I$7,$I$9,$I$10,$I$11,$I$12,$I$13,#REF!,$I$14,L$29))),IF(#REF!&lt;&gt;0,XIRR(CHOOSE({1,2,3},#REF!,$I$14,L$29),CHOOSE({1,2,3},#REF!,$H$14,$C34),IRR(CHOOSE({1,2,3,4,5,6,7,8,9,10},$I$6,$I$7,$I$9,$I$10,$I$11,$I$12,$I$13,#REF!,$I$14,L$29))),IF($I$14&lt;&gt;0,XIRR(CHOOSE({1,2},$I$14,L$29),CHOOSE({1,2},$H$14,$C34)))))))))))&lt;0,"Negative",IF($I$6&lt;&gt;0,XIRR(CHOOSE({1,2,3,4,5,6,7,8,9,10},$I$6,$I$7,$I$9,$I$10,$I$11,$I$12,$I$13,#REF!,$I$14,L$29),CHOOSE({1,2,3,4,5,6,7,8,9,10},$H$6,$H$7,$H$9,$H$10,$H$11,$H$12,$H$13,#REF!,$H$14,$C34),IRR(CHOOSE({1,2,3,4,5,6,7,8,9,10},$I$6,$I$7,$I$9,$I$10,$I$11,$I$12,$I$13,#REF!,$I$14,L$29))),IF($I$7&lt;&gt;0,XIRR(CHOOSE({1,2,3,4,5,6,7,8,9},$I$7,$I$9,$I$10,$I$11,$I$12,$I$13,#REF!,$I$14,L$29),CHOOSE({1,2,3,4,5,6,7,8,9},$H$7,$H$9,$H$10,$H$11,$H$12,$H$13,#REF!,$H$14,$C34),IRR(CHOOSE({1,2,3,4,5,6,7,8,9,10},$I$6,$I$7,$I$9,$I$10,$I$11,$I$12,$I$13,#REF!,$I$14,L$29))),IF($I$9&lt;&gt;0,XIRR(CHOOSE({1,2,3,4,5,6,7,8},$I$9,$I$10,$I$11,$I$12,$I$13,#REF!,$I$14,L$29),CHOOSE({1,2,3,4,5,6,7,8},$H$9,$H$10,$H$11,$H$12,$H$13,#REF!,$H$14,$C34),IRR(CHOOSE({1,2,3,4,5,6,7,8,9,10},$I$6,$I$7,$I$9,$I$10,$I$11,$I$12,$I$13,#REF!,$I$14,L$29))),IF($I$10&lt;&gt;0,XIRR(CHOOSE({1,2,3,4,5,6,7},$I$10,$I$11,$I$12,$I$13,#REF!,$I$14,L$29),CHOOSE({1,2,3,4,5,6,7},$H$10,$H$11,$H$12,$H$13,#REF!,$H$14,$C34),IRR(CHOOSE({1,2,3,4,5,6,7,8,9,10},$I$6,$I$7,$I$9,$I$10,$I$11,$I$12,$I$13,#REF!,$I$14,L$29))),IF($I$11&lt;&gt;0,XIRR(CHOOSE({1,2,3,4,5,6},$I$11,$I$12,$I$13,#REF!,$I$14,L$29),CHOOSE({1,2,3,4,5,6},$H$11,$H$12,$H$13,#REF!,$H$14,$C34),IRR(CHOOSE({1,2,3,4,5,6,7,8,9,10},$I$6,$I$7,$I$9,$I$10,$I$11,$I$12,$I$13,#REF!,$I$14,L$29))),IF($I$12&lt;&gt;0,XIRR(CHOOSE({1,2,3,4,5},$I$12,$I$13,#REF!,$I$14,L$29),CHOOSE({1,2,3,4,5},$H$12,$H$13,#REF!,$H$14,$C34),IRR(CHOOSE({1,2,3,4,5,6,7,8,9,10},$I$6,$I$7,$I$9,$I$10,$I$11,$I$12,$I$13,#REF!,$I$14,L$29))),IF($I$13&lt;&gt;0,XIRR(CHOOSE({1,2,3,4},$I$13,#REF!,$I$14,L$29),CHOOSE({1,2,3,4},$H$13,#REF!,$H$14,$C34),IRR(CHOOSE({1,2,3,4,5,6,7,8,9,10},$I$6,$I$7,$I$9,$I$10,$I$11,$I$12,$I$13,#REF!,$I$14,L$29))),IF(#REF!&lt;&gt;0,XIRR(CHOOSE({1,2,3},#REF!,$I$14,L$29),CHOOSE({1,2,3},#REF!,$H$14,$C34),IRR(CHOOSE({1,2,3,4,5,6,7,8,9,10},$I$6,$I$7,$I$9,$I$10,$I$11,$I$12,$I$13,#REF!,$I$14,L$29))),IF($I$14&lt;&gt;0,XIRR(CHOOSE({1,2},$I$14,L$29),CHOOSE({1,2},$H$14,$C34)))))))))))),"Negative")</f>
        <v>Negative</v>
      </c>
      <c r="M34" s="180"/>
      <c r="N34" s="180"/>
      <c r="T34" s="180"/>
    </row>
    <row r="35" spans="1:20" s="3" customFormat="1" outlineLevel="1" x14ac:dyDescent="0.35">
      <c r="C35" s="446">
        <f ca="1">C23</f>
        <v>47483</v>
      </c>
      <c r="D35" s="769" t="str">
        <f>IFERROR(IF(IF($I$6&lt;&gt;0,XIRR(CHOOSE({1,2,3,4,5,6,7,8,9,10},$I$6,$I$7,$I$9,$I$10,$I$11,$I$12,$I$13,#REF!,$I$14,D$29),CHOOSE({1,2,3,4,5,6,7,8,9,10},$H$6,$H$7,$H$9,$H$10,$H$11,$H$12,$H$13,#REF!,$H$14,$C35),IRR(CHOOSE({1,2,3,4,5,6,7,8,9,10},$I$6,$I$7,$I$9,$I$10,$I$11,$I$12,$I$13,#REF!,$I$14,D$29))),IF($I$7&lt;&gt;0,XIRR(CHOOSE({1,2,3,4,5,6,7,8,9},$I$7,$I$9,$I$10,$I$11,$I$12,$I$13,#REF!,$I$14,D$29),CHOOSE({1,2,3,4,5,6,7,8,9},$H$7,$H$9,$H$10,$H$11,$H$12,$H$13,#REF!,$H$14,$C35),IRR(CHOOSE({1,2,3,4,5,6,7,8,9,10},$I$6,$I$7,$I$9,$I$10,$I$11,$I$12,$I$13,#REF!,$I$14,D$29))),IF($I$9&lt;&gt;0,XIRR(CHOOSE({1,2,3,4,5,6,7,8},$I$9,$I$10,$I$11,$I$12,$I$13,#REF!,$I$14,D$29),CHOOSE({1,2,3,4,5,6,7,8},$H$9,$H$10,$H$11,$H$12,$H$13,#REF!,$H$14,$C35),IRR(CHOOSE({1,2,3,4,5,6,7,8,9,10},$I$6,$I$7,$I$9,$I$10,$I$11,$I$12,$I$13,#REF!,$I$14,D$29))),IF($I$10&lt;&gt;0,XIRR(CHOOSE({1,2,3,4,5,6,7},$I$10,$I$11,$I$12,$I$13,#REF!,$I$14,D$29),CHOOSE({1,2,3,4,5,6,7},$H$10,$H$11,$H$12,$H$13,#REF!,$H$14,$C35),IRR(CHOOSE({1,2,3,4,5,6,7,8,9,10},$I$6,$I$7,$I$9,$I$10,$I$11,$I$12,$I$13,#REF!,$I$14,D$29))),IF($I$11&lt;&gt;0,XIRR(CHOOSE({1,2,3,4,5,6},$I$11,$I$12,$I$13,#REF!,$I$14,D$29),CHOOSE({1,2,3,4,5,6},$H$11,$H$12,$H$13,#REF!,$H$14,$C35),IRR(CHOOSE({1,2,3,4,5,6,7,8,9,10},$I$6,$I$7,$I$9,$I$10,$I$11,$I$12,$I$13,#REF!,$I$14,D$29))),IF($I$12&lt;&gt;0,XIRR(CHOOSE({1,2,3,4,5},$I$12,$I$13,#REF!,$I$14,D$29),CHOOSE({1,2,3,4,5},$H$12,$H$13,#REF!,$H$14,$C35),IRR(CHOOSE({1,2,3,4,5,6,7,8,9,10},$I$6,$I$7,$I$9,$I$10,$I$11,$I$12,$I$13,#REF!,$I$14,D$29))),IF($I$13&lt;&gt;0,XIRR(CHOOSE({1,2,3,4},$I$13,#REF!,$I$14,D$29),CHOOSE({1,2,3,4},$H$13,#REF!,$H$14,$C35),IRR(CHOOSE({1,2,3,4,5,6,7,8,9,10},$I$6,$I$7,$I$9,$I$10,$I$11,$I$12,$I$13,#REF!,$I$14,D$29))),IF(#REF!&lt;&gt;0,XIRR(CHOOSE({1,2,3},#REF!,$I$14,D$29),CHOOSE({1,2,3},#REF!,$H$14,$C35),IRR(CHOOSE({1,2,3,4,5,6,7,8,9,10},$I$6,$I$7,$I$9,$I$10,$I$11,$I$12,$I$13,#REF!,$I$14,D$29))),IF($I$14&lt;&gt;0,XIRR(CHOOSE({1,2},$I$14,D$29),CHOOSE({1,2},$H$14,$C35)))))))))))&lt;0,"Negative",IF($I$6&lt;&gt;0,XIRR(CHOOSE({1,2,3,4,5,6,7,8,9,10},$I$6,$I$7,$I$9,$I$10,$I$11,$I$12,$I$13,#REF!,$I$14,D$29),CHOOSE({1,2,3,4,5,6,7,8,9,10},$H$6,$H$7,$H$9,$H$10,$H$11,$H$12,$H$13,#REF!,$H$14,$C35),IRR(CHOOSE({1,2,3,4,5,6,7,8,9,10},$I$6,$I$7,$I$9,$I$10,$I$11,$I$12,$I$13,#REF!,$I$14,D$29))),IF($I$7&lt;&gt;0,XIRR(CHOOSE({1,2,3,4,5,6,7,8,9},$I$7,$I$9,$I$10,$I$11,$I$12,$I$13,#REF!,$I$14,D$29),CHOOSE({1,2,3,4,5,6,7,8,9},$H$7,$H$9,$H$10,$H$11,$H$12,$H$13,#REF!,$H$14,$C35),IRR(CHOOSE({1,2,3,4,5,6,7,8,9,10},$I$6,$I$7,$I$9,$I$10,$I$11,$I$12,$I$13,#REF!,$I$14,D$29))),IF($I$9&lt;&gt;0,XIRR(CHOOSE({1,2,3,4,5,6,7,8},$I$9,$I$10,$I$11,$I$12,$I$13,#REF!,$I$14,D$29),CHOOSE({1,2,3,4,5,6,7,8},$H$9,$H$10,$H$11,$H$12,$H$13,#REF!,$H$14,$C35),IRR(CHOOSE({1,2,3,4,5,6,7,8,9,10},$I$6,$I$7,$I$9,$I$10,$I$11,$I$12,$I$13,#REF!,$I$14,D$29))),IF($I$10&lt;&gt;0,XIRR(CHOOSE({1,2,3,4,5,6,7},$I$10,$I$11,$I$12,$I$13,#REF!,$I$14,D$29),CHOOSE({1,2,3,4,5,6,7},$H$10,$H$11,$H$12,$H$13,#REF!,$H$14,$C35),IRR(CHOOSE({1,2,3,4,5,6,7,8,9,10},$I$6,$I$7,$I$9,$I$10,$I$11,$I$12,$I$13,#REF!,$I$14,D$29))),IF($I$11&lt;&gt;0,XIRR(CHOOSE({1,2,3,4,5,6},$I$11,$I$12,$I$13,#REF!,$I$14,D$29),CHOOSE({1,2,3,4,5,6},$H$11,$H$12,$H$13,#REF!,$H$14,$C35),IRR(CHOOSE({1,2,3,4,5,6,7,8,9,10},$I$6,$I$7,$I$9,$I$10,$I$11,$I$12,$I$13,#REF!,$I$14,D$29))),IF($I$12&lt;&gt;0,XIRR(CHOOSE({1,2,3,4,5},$I$12,$I$13,#REF!,$I$14,D$29),CHOOSE({1,2,3,4,5},$H$12,$H$13,#REF!,$H$14,$C35),IRR(CHOOSE({1,2,3,4,5,6,7,8,9,10},$I$6,$I$7,$I$9,$I$10,$I$11,$I$12,$I$13,#REF!,$I$14,D$29))),IF($I$13&lt;&gt;0,XIRR(CHOOSE({1,2,3,4},$I$13,#REF!,$I$14,D$29),CHOOSE({1,2,3,4},$H$13,#REF!,$H$14,$C35),IRR(CHOOSE({1,2,3,4,5,6,7,8,9,10},$I$6,$I$7,$I$9,$I$10,$I$11,$I$12,$I$13,#REF!,$I$14,D$29))),IF(#REF!&lt;&gt;0,XIRR(CHOOSE({1,2,3},#REF!,$I$14,D$29),CHOOSE({1,2,3},#REF!,$H$14,$C35),IRR(CHOOSE({1,2,3,4,5,6,7,8,9,10},$I$6,$I$7,$I$9,$I$10,$I$11,$I$12,$I$13,#REF!,$I$14,D$29))),IF($I$14&lt;&gt;0,XIRR(CHOOSE({1,2},$I$14,D$29),CHOOSE({1,2},$H$14,$C35)))))))))))),"Negative")</f>
        <v>Negative</v>
      </c>
      <c r="E35" s="769" t="str">
        <f>IFERROR(IF(IF($I$6&lt;&gt;0,XIRR(CHOOSE({1,2,3,4,5,6,7,8,9,10},$I$6,$I$7,$I$9,$I$10,$I$11,$I$12,$I$13,#REF!,$I$14,E$29),CHOOSE({1,2,3,4,5,6,7,8,9,10},$H$6,$H$7,$H$9,$H$10,$H$11,$H$12,$H$13,#REF!,$H$14,$C35),IRR(CHOOSE({1,2,3,4,5,6,7,8,9,10},$I$6,$I$7,$I$9,$I$10,$I$11,$I$12,$I$13,#REF!,$I$14,E$29))),IF($I$7&lt;&gt;0,XIRR(CHOOSE({1,2,3,4,5,6,7,8,9},$I$7,$I$9,$I$10,$I$11,$I$12,$I$13,#REF!,$I$14,E$29),CHOOSE({1,2,3,4,5,6,7,8,9},$H$7,$H$9,$H$10,$H$11,$H$12,$H$13,#REF!,$H$14,$C35),IRR(CHOOSE({1,2,3,4,5,6,7,8,9,10},$I$6,$I$7,$I$9,$I$10,$I$11,$I$12,$I$13,#REF!,$I$14,E$29))),IF($I$9&lt;&gt;0,XIRR(CHOOSE({1,2,3,4,5,6,7,8},$I$9,$I$10,$I$11,$I$12,$I$13,#REF!,$I$14,E$29),CHOOSE({1,2,3,4,5,6,7,8},$H$9,$H$10,$H$11,$H$12,$H$13,#REF!,$H$14,$C35),IRR(CHOOSE({1,2,3,4,5,6,7,8,9,10},$I$6,$I$7,$I$9,$I$10,$I$11,$I$12,$I$13,#REF!,$I$14,E$29))),IF($I$10&lt;&gt;0,XIRR(CHOOSE({1,2,3,4,5,6,7},$I$10,$I$11,$I$12,$I$13,#REF!,$I$14,E$29),CHOOSE({1,2,3,4,5,6,7},$H$10,$H$11,$H$12,$H$13,#REF!,$H$14,$C35),IRR(CHOOSE({1,2,3,4,5,6,7,8,9,10},$I$6,$I$7,$I$9,$I$10,$I$11,$I$12,$I$13,#REF!,$I$14,E$29))),IF($I$11&lt;&gt;0,XIRR(CHOOSE({1,2,3,4,5,6},$I$11,$I$12,$I$13,#REF!,$I$14,E$29),CHOOSE({1,2,3,4,5,6},$H$11,$H$12,$H$13,#REF!,$H$14,$C35),IRR(CHOOSE({1,2,3,4,5,6,7,8,9,10},$I$6,$I$7,$I$9,$I$10,$I$11,$I$12,$I$13,#REF!,$I$14,E$29))),IF($I$12&lt;&gt;0,XIRR(CHOOSE({1,2,3,4,5},$I$12,$I$13,#REF!,$I$14,E$29),CHOOSE({1,2,3,4,5},$H$12,$H$13,#REF!,$H$14,$C35),IRR(CHOOSE({1,2,3,4,5,6,7,8,9,10},$I$6,$I$7,$I$9,$I$10,$I$11,$I$12,$I$13,#REF!,$I$14,E$29))),IF($I$13&lt;&gt;0,XIRR(CHOOSE({1,2,3,4},$I$13,#REF!,$I$14,E$29),CHOOSE({1,2,3,4},$H$13,#REF!,$H$14,$C35),IRR(CHOOSE({1,2,3,4,5,6,7,8,9,10},$I$6,$I$7,$I$9,$I$10,$I$11,$I$12,$I$13,#REF!,$I$14,E$29))),IF(#REF!&lt;&gt;0,XIRR(CHOOSE({1,2,3},#REF!,$I$14,E$29),CHOOSE({1,2,3},#REF!,$H$14,$C35),IRR(CHOOSE({1,2,3,4,5,6,7,8,9,10},$I$6,$I$7,$I$9,$I$10,$I$11,$I$12,$I$13,#REF!,$I$14,E$29))),IF($I$14&lt;&gt;0,XIRR(CHOOSE({1,2},$I$14,E$29),CHOOSE({1,2},$H$14,$C35)))))))))))&lt;0,"Negative",IF($I$6&lt;&gt;0,XIRR(CHOOSE({1,2,3,4,5,6,7,8,9,10},$I$6,$I$7,$I$9,$I$10,$I$11,$I$12,$I$13,#REF!,$I$14,E$29),CHOOSE({1,2,3,4,5,6,7,8,9,10},$H$6,$H$7,$H$9,$H$10,$H$11,$H$12,$H$13,#REF!,$H$14,$C35),IRR(CHOOSE({1,2,3,4,5,6,7,8,9,10},$I$6,$I$7,$I$9,$I$10,$I$11,$I$12,$I$13,#REF!,$I$14,E$29))),IF($I$7&lt;&gt;0,XIRR(CHOOSE({1,2,3,4,5,6,7,8,9},$I$7,$I$9,$I$10,$I$11,$I$12,$I$13,#REF!,$I$14,E$29),CHOOSE({1,2,3,4,5,6,7,8,9},$H$7,$H$9,$H$10,$H$11,$H$12,$H$13,#REF!,$H$14,$C35),IRR(CHOOSE({1,2,3,4,5,6,7,8,9,10},$I$6,$I$7,$I$9,$I$10,$I$11,$I$12,$I$13,#REF!,$I$14,E$29))),IF($I$9&lt;&gt;0,XIRR(CHOOSE({1,2,3,4,5,6,7,8},$I$9,$I$10,$I$11,$I$12,$I$13,#REF!,$I$14,E$29),CHOOSE({1,2,3,4,5,6,7,8},$H$9,$H$10,$H$11,$H$12,$H$13,#REF!,$H$14,$C35),IRR(CHOOSE({1,2,3,4,5,6,7,8,9,10},$I$6,$I$7,$I$9,$I$10,$I$11,$I$12,$I$13,#REF!,$I$14,E$29))),IF($I$10&lt;&gt;0,XIRR(CHOOSE({1,2,3,4,5,6,7},$I$10,$I$11,$I$12,$I$13,#REF!,$I$14,E$29),CHOOSE({1,2,3,4,5,6,7},$H$10,$H$11,$H$12,$H$13,#REF!,$H$14,$C35),IRR(CHOOSE({1,2,3,4,5,6,7,8,9,10},$I$6,$I$7,$I$9,$I$10,$I$11,$I$12,$I$13,#REF!,$I$14,E$29))),IF($I$11&lt;&gt;0,XIRR(CHOOSE({1,2,3,4,5,6},$I$11,$I$12,$I$13,#REF!,$I$14,E$29),CHOOSE({1,2,3,4,5,6},$H$11,$H$12,$H$13,#REF!,$H$14,$C35),IRR(CHOOSE({1,2,3,4,5,6,7,8,9,10},$I$6,$I$7,$I$9,$I$10,$I$11,$I$12,$I$13,#REF!,$I$14,E$29))),IF($I$12&lt;&gt;0,XIRR(CHOOSE({1,2,3,4,5},$I$12,$I$13,#REF!,$I$14,E$29),CHOOSE({1,2,3,4,5},$H$12,$H$13,#REF!,$H$14,$C35),IRR(CHOOSE({1,2,3,4,5,6,7,8,9,10},$I$6,$I$7,$I$9,$I$10,$I$11,$I$12,$I$13,#REF!,$I$14,E$29))),IF($I$13&lt;&gt;0,XIRR(CHOOSE({1,2,3,4},$I$13,#REF!,$I$14,E$29),CHOOSE({1,2,3,4},$H$13,#REF!,$H$14,$C35),IRR(CHOOSE({1,2,3,4,5,6,7,8,9,10},$I$6,$I$7,$I$9,$I$10,$I$11,$I$12,$I$13,#REF!,$I$14,E$29))),IF(#REF!&lt;&gt;0,XIRR(CHOOSE({1,2,3},#REF!,$I$14,E$29),CHOOSE({1,2,3},#REF!,$H$14,$C35),IRR(CHOOSE({1,2,3,4,5,6,7,8,9,10},$I$6,$I$7,$I$9,$I$10,$I$11,$I$12,$I$13,#REF!,$I$14,E$29))),IF($I$14&lt;&gt;0,XIRR(CHOOSE({1,2},$I$14,E$29),CHOOSE({1,2},$H$14,$C35)))))))))))),"Negative")</f>
        <v>Negative</v>
      </c>
      <c r="F35" s="769" t="str">
        <f>IFERROR(IF(IF($I$6&lt;&gt;0,XIRR(CHOOSE({1,2,3,4,5,6,7,8,9,10},$I$6,$I$7,$I$9,$I$10,$I$11,$I$12,$I$13,#REF!,$I$14,F$29),CHOOSE({1,2,3,4,5,6,7,8,9,10},$H$6,$H$7,$H$9,$H$10,$H$11,$H$12,$H$13,#REF!,$H$14,$C35),IRR(CHOOSE({1,2,3,4,5,6,7,8,9,10},$I$6,$I$7,$I$9,$I$10,$I$11,$I$12,$I$13,#REF!,$I$14,F$29))),IF($I$7&lt;&gt;0,XIRR(CHOOSE({1,2,3,4,5,6,7,8,9},$I$7,$I$9,$I$10,$I$11,$I$12,$I$13,#REF!,$I$14,F$29),CHOOSE({1,2,3,4,5,6,7,8,9},$H$7,$H$9,$H$10,$H$11,$H$12,$H$13,#REF!,$H$14,$C35),IRR(CHOOSE({1,2,3,4,5,6,7,8,9,10},$I$6,$I$7,$I$9,$I$10,$I$11,$I$12,$I$13,#REF!,$I$14,F$29))),IF($I$9&lt;&gt;0,XIRR(CHOOSE({1,2,3,4,5,6,7,8},$I$9,$I$10,$I$11,$I$12,$I$13,#REF!,$I$14,F$29),CHOOSE({1,2,3,4,5,6,7,8},$H$9,$H$10,$H$11,$H$12,$H$13,#REF!,$H$14,$C35),IRR(CHOOSE({1,2,3,4,5,6,7,8,9,10},$I$6,$I$7,$I$9,$I$10,$I$11,$I$12,$I$13,#REF!,$I$14,F$29))),IF($I$10&lt;&gt;0,XIRR(CHOOSE({1,2,3,4,5,6,7},$I$10,$I$11,$I$12,$I$13,#REF!,$I$14,F$29),CHOOSE({1,2,3,4,5,6,7},$H$10,$H$11,$H$12,$H$13,#REF!,$H$14,$C35),IRR(CHOOSE({1,2,3,4,5,6,7,8,9,10},$I$6,$I$7,$I$9,$I$10,$I$11,$I$12,$I$13,#REF!,$I$14,F$29))),IF($I$11&lt;&gt;0,XIRR(CHOOSE({1,2,3,4,5,6},$I$11,$I$12,$I$13,#REF!,$I$14,F$29),CHOOSE({1,2,3,4,5,6},$H$11,$H$12,$H$13,#REF!,$H$14,$C35),IRR(CHOOSE({1,2,3,4,5,6,7,8,9,10},$I$6,$I$7,$I$9,$I$10,$I$11,$I$12,$I$13,#REF!,$I$14,F$29))),IF($I$12&lt;&gt;0,XIRR(CHOOSE({1,2,3,4,5},$I$12,$I$13,#REF!,$I$14,F$29),CHOOSE({1,2,3,4,5},$H$12,$H$13,#REF!,$H$14,$C35),IRR(CHOOSE({1,2,3,4,5,6,7,8,9,10},$I$6,$I$7,$I$9,$I$10,$I$11,$I$12,$I$13,#REF!,$I$14,F$29))),IF($I$13&lt;&gt;0,XIRR(CHOOSE({1,2,3,4},$I$13,#REF!,$I$14,F$29),CHOOSE({1,2,3,4},$H$13,#REF!,$H$14,$C35),IRR(CHOOSE({1,2,3,4,5,6,7,8,9,10},$I$6,$I$7,$I$9,$I$10,$I$11,$I$12,$I$13,#REF!,$I$14,F$29))),IF(#REF!&lt;&gt;0,XIRR(CHOOSE({1,2,3},#REF!,$I$14,F$29),CHOOSE({1,2,3},#REF!,$H$14,$C35),IRR(CHOOSE({1,2,3,4,5,6,7,8,9,10},$I$6,$I$7,$I$9,$I$10,$I$11,$I$12,$I$13,#REF!,$I$14,F$29))),IF($I$14&lt;&gt;0,XIRR(CHOOSE({1,2},$I$14,F$29),CHOOSE({1,2},$H$14,$C35)))))))))))&lt;0,"Negative",IF($I$6&lt;&gt;0,XIRR(CHOOSE({1,2,3,4,5,6,7,8,9,10},$I$6,$I$7,$I$9,$I$10,$I$11,$I$12,$I$13,#REF!,$I$14,F$29),CHOOSE({1,2,3,4,5,6,7,8,9,10},$H$6,$H$7,$H$9,$H$10,$H$11,$H$12,$H$13,#REF!,$H$14,$C35),IRR(CHOOSE({1,2,3,4,5,6,7,8,9,10},$I$6,$I$7,$I$9,$I$10,$I$11,$I$12,$I$13,#REF!,$I$14,F$29))),IF($I$7&lt;&gt;0,XIRR(CHOOSE({1,2,3,4,5,6,7,8,9},$I$7,$I$9,$I$10,$I$11,$I$12,$I$13,#REF!,$I$14,F$29),CHOOSE({1,2,3,4,5,6,7,8,9},$H$7,$H$9,$H$10,$H$11,$H$12,$H$13,#REF!,$H$14,$C35),IRR(CHOOSE({1,2,3,4,5,6,7,8,9,10},$I$6,$I$7,$I$9,$I$10,$I$11,$I$12,$I$13,#REF!,$I$14,F$29))),IF($I$9&lt;&gt;0,XIRR(CHOOSE({1,2,3,4,5,6,7,8},$I$9,$I$10,$I$11,$I$12,$I$13,#REF!,$I$14,F$29),CHOOSE({1,2,3,4,5,6,7,8},$H$9,$H$10,$H$11,$H$12,$H$13,#REF!,$H$14,$C35),IRR(CHOOSE({1,2,3,4,5,6,7,8,9,10},$I$6,$I$7,$I$9,$I$10,$I$11,$I$12,$I$13,#REF!,$I$14,F$29))),IF($I$10&lt;&gt;0,XIRR(CHOOSE({1,2,3,4,5,6,7},$I$10,$I$11,$I$12,$I$13,#REF!,$I$14,F$29),CHOOSE({1,2,3,4,5,6,7},$H$10,$H$11,$H$12,$H$13,#REF!,$H$14,$C35),IRR(CHOOSE({1,2,3,4,5,6,7,8,9,10},$I$6,$I$7,$I$9,$I$10,$I$11,$I$12,$I$13,#REF!,$I$14,F$29))),IF($I$11&lt;&gt;0,XIRR(CHOOSE({1,2,3,4,5,6},$I$11,$I$12,$I$13,#REF!,$I$14,F$29),CHOOSE({1,2,3,4,5,6},$H$11,$H$12,$H$13,#REF!,$H$14,$C35),IRR(CHOOSE({1,2,3,4,5,6,7,8,9,10},$I$6,$I$7,$I$9,$I$10,$I$11,$I$12,$I$13,#REF!,$I$14,F$29))),IF($I$12&lt;&gt;0,XIRR(CHOOSE({1,2,3,4,5},$I$12,$I$13,#REF!,$I$14,F$29),CHOOSE({1,2,3,4,5},$H$12,$H$13,#REF!,$H$14,$C35),IRR(CHOOSE({1,2,3,4,5,6,7,8,9,10},$I$6,$I$7,$I$9,$I$10,$I$11,$I$12,$I$13,#REF!,$I$14,F$29))),IF($I$13&lt;&gt;0,XIRR(CHOOSE({1,2,3,4},$I$13,#REF!,$I$14,F$29),CHOOSE({1,2,3,4},$H$13,#REF!,$H$14,$C35),IRR(CHOOSE({1,2,3,4,5,6,7,8,9,10},$I$6,$I$7,$I$9,$I$10,$I$11,$I$12,$I$13,#REF!,$I$14,F$29))),IF(#REF!&lt;&gt;0,XIRR(CHOOSE({1,2,3},#REF!,$I$14,F$29),CHOOSE({1,2,3},#REF!,$H$14,$C35),IRR(CHOOSE({1,2,3,4,5,6,7,8,9,10},$I$6,$I$7,$I$9,$I$10,$I$11,$I$12,$I$13,#REF!,$I$14,F$29))),IF($I$14&lt;&gt;0,XIRR(CHOOSE({1,2},$I$14,F$29),CHOOSE({1,2},$H$14,$C35)))))))))))),"Negative")</f>
        <v>Negative</v>
      </c>
      <c r="G35" s="770" t="str">
        <f>IFERROR(IF(IF($I$6&lt;&gt;0,XIRR(CHOOSE({1,2,3,4,5,6,7,8,9,10},$I$6,$I$7,$I$9,$I$10,$I$11,$I$12,$I$13,#REF!,$I$14,G$29),CHOOSE({1,2,3,4,5,6,7,8,9,10},$H$6,$H$7,$H$9,$H$10,$H$11,$H$12,$H$13,#REF!,$H$14,$C35),IRR(CHOOSE({1,2,3,4,5,6,7,8,9,10},$I$6,$I$7,$I$9,$I$10,$I$11,$I$12,$I$13,#REF!,$I$14,G$29))),IF($I$7&lt;&gt;0,XIRR(CHOOSE({1,2,3,4,5,6,7,8,9},$I$7,$I$9,$I$10,$I$11,$I$12,$I$13,#REF!,$I$14,G$29),CHOOSE({1,2,3,4,5,6,7,8,9},$H$7,$H$9,$H$10,$H$11,$H$12,$H$13,#REF!,$H$14,$C35),IRR(CHOOSE({1,2,3,4,5,6,7,8,9,10},$I$6,$I$7,$I$9,$I$10,$I$11,$I$12,$I$13,#REF!,$I$14,G$29))),IF($I$9&lt;&gt;0,XIRR(CHOOSE({1,2,3,4,5,6,7,8},$I$9,$I$10,$I$11,$I$12,$I$13,#REF!,$I$14,G$29),CHOOSE({1,2,3,4,5,6,7,8},$H$9,$H$10,$H$11,$H$12,$H$13,#REF!,$H$14,$C35),IRR(CHOOSE({1,2,3,4,5,6,7,8,9,10},$I$6,$I$7,$I$9,$I$10,$I$11,$I$12,$I$13,#REF!,$I$14,G$29))),IF($I$10&lt;&gt;0,XIRR(CHOOSE({1,2,3,4,5,6,7},$I$10,$I$11,$I$12,$I$13,#REF!,$I$14,G$29),CHOOSE({1,2,3,4,5,6,7},$H$10,$H$11,$H$12,$H$13,#REF!,$H$14,$C35),IRR(CHOOSE({1,2,3,4,5,6,7,8,9,10},$I$6,$I$7,$I$9,$I$10,$I$11,$I$12,$I$13,#REF!,$I$14,G$29))),IF($I$11&lt;&gt;0,XIRR(CHOOSE({1,2,3,4,5,6},$I$11,$I$12,$I$13,#REF!,$I$14,G$29),CHOOSE({1,2,3,4,5,6},$H$11,$H$12,$H$13,#REF!,$H$14,$C35),IRR(CHOOSE({1,2,3,4,5,6,7,8,9,10},$I$6,$I$7,$I$9,$I$10,$I$11,$I$12,$I$13,#REF!,$I$14,G$29))),IF($I$12&lt;&gt;0,XIRR(CHOOSE({1,2,3,4,5},$I$12,$I$13,#REF!,$I$14,G$29),CHOOSE({1,2,3,4,5},$H$12,$H$13,#REF!,$H$14,$C35),IRR(CHOOSE({1,2,3,4,5,6,7,8,9,10},$I$6,$I$7,$I$9,$I$10,$I$11,$I$12,$I$13,#REF!,$I$14,G$29))),IF($I$13&lt;&gt;0,XIRR(CHOOSE({1,2,3,4},$I$13,#REF!,$I$14,G$29),CHOOSE({1,2,3,4},$H$13,#REF!,$H$14,$C35),IRR(CHOOSE({1,2,3,4,5,6,7,8,9,10},$I$6,$I$7,$I$9,$I$10,$I$11,$I$12,$I$13,#REF!,$I$14,G$29))),IF(#REF!&lt;&gt;0,XIRR(CHOOSE({1,2,3},#REF!,$I$14,G$29),CHOOSE({1,2,3},#REF!,$H$14,$C35),IRR(CHOOSE({1,2,3,4,5,6,7,8,9,10},$I$6,$I$7,$I$9,$I$10,$I$11,$I$12,$I$13,#REF!,$I$14,G$29))),IF($I$14&lt;&gt;0,XIRR(CHOOSE({1,2},$I$14,G$29),CHOOSE({1,2},$H$14,$C35)))))))))))&lt;0,"Negative",IF($I$6&lt;&gt;0,XIRR(CHOOSE({1,2,3,4,5,6,7,8,9,10},$I$6,$I$7,$I$9,$I$10,$I$11,$I$12,$I$13,#REF!,$I$14,G$29),CHOOSE({1,2,3,4,5,6,7,8,9,10},$H$6,$H$7,$H$9,$H$10,$H$11,$H$12,$H$13,#REF!,$H$14,$C35),IRR(CHOOSE({1,2,3,4,5,6,7,8,9,10},$I$6,$I$7,$I$9,$I$10,$I$11,$I$12,$I$13,#REF!,$I$14,G$29))),IF($I$7&lt;&gt;0,XIRR(CHOOSE({1,2,3,4,5,6,7,8,9},$I$7,$I$9,$I$10,$I$11,$I$12,$I$13,#REF!,$I$14,G$29),CHOOSE({1,2,3,4,5,6,7,8,9},$H$7,$H$9,$H$10,$H$11,$H$12,$H$13,#REF!,$H$14,$C35),IRR(CHOOSE({1,2,3,4,5,6,7,8,9,10},$I$6,$I$7,$I$9,$I$10,$I$11,$I$12,$I$13,#REF!,$I$14,G$29))),IF($I$9&lt;&gt;0,XIRR(CHOOSE({1,2,3,4,5,6,7,8},$I$9,$I$10,$I$11,$I$12,$I$13,#REF!,$I$14,G$29),CHOOSE({1,2,3,4,5,6,7,8},$H$9,$H$10,$H$11,$H$12,$H$13,#REF!,$H$14,$C35),IRR(CHOOSE({1,2,3,4,5,6,7,8,9,10},$I$6,$I$7,$I$9,$I$10,$I$11,$I$12,$I$13,#REF!,$I$14,G$29))),IF($I$10&lt;&gt;0,XIRR(CHOOSE({1,2,3,4,5,6,7},$I$10,$I$11,$I$12,$I$13,#REF!,$I$14,G$29),CHOOSE({1,2,3,4,5,6,7},$H$10,$H$11,$H$12,$H$13,#REF!,$H$14,$C35),IRR(CHOOSE({1,2,3,4,5,6,7,8,9,10},$I$6,$I$7,$I$9,$I$10,$I$11,$I$12,$I$13,#REF!,$I$14,G$29))),IF($I$11&lt;&gt;0,XIRR(CHOOSE({1,2,3,4,5,6},$I$11,$I$12,$I$13,#REF!,$I$14,G$29),CHOOSE({1,2,3,4,5,6},$H$11,$H$12,$H$13,#REF!,$H$14,$C35),IRR(CHOOSE({1,2,3,4,5,6,7,8,9,10},$I$6,$I$7,$I$9,$I$10,$I$11,$I$12,$I$13,#REF!,$I$14,G$29))),IF($I$12&lt;&gt;0,XIRR(CHOOSE({1,2,3,4,5},$I$12,$I$13,#REF!,$I$14,G$29),CHOOSE({1,2,3,4,5},$H$12,$H$13,#REF!,$H$14,$C35),IRR(CHOOSE({1,2,3,4,5,6,7,8,9,10},$I$6,$I$7,$I$9,$I$10,$I$11,$I$12,$I$13,#REF!,$I$14,G$29))),IF($I$13&lt;&gt;0,XIRR(CHOOSE({1,2,3,4},$I$13,#REF!,$I$14,G$29),CHOOSE({1,2,3,4},$H$13,#REF!,$H$14,$C35),IRR(CHOOSE({1,2,3,4,5,6,7,8,9,10},$I$6,$I$7,$I$9,$I$10,$I$11,$I$12,$I$13,#REF!,$I$14,G$29))),IF(#REF!&lt;&gt;0,XIRR(CHOOSE({1,2,3},#REF!,$I$14,G$29),CHOOSE({1,2,3},#REF!,$H$14,$C35),IRR(CHOOSE({1,2,3,4,5,6,7,8,9,10},$I$6,$I$7,$I$9,$I$10,$I$11,$I$12,$I$13,#REF!,$I$14,G$29))),IF($I$14&lt;&gt;0,XIRR(CHOOSE({1,2},$I$14,G$29),CHOOSE({1,2},$H$14,$C35)))))))))))),"Negative")</f>
        <v>Negative</v>
      </c>
      <c r="H35" s="769" t="str">
        <f>IFERROR(IF(IF($I$6&lt;&gt;0,XIRR(CHOOSE({1,2,3,4,5,6,7,8,9,10},$I$6,$I$7,$I$9,$I$10,$I$11,$I$12,$I$13,#REF!,$I$14,H$29),CHOOSE({1,2,3,4,5,6,7,8,9,10},$H$6,$H$7,$H$9,$H$10,$H$11,$H$12,$H$13,#REF!,$H$14,$C35),IRR(CHOOSE({1,2,3,4,5,6,7,8,9,10},$I$6,$I$7,$I$9,$I$10,$I$11,$I$12,$I$13,#REF!,$I$14,H$29))),IF($I$7&lt;&gt;0,XIRR(CHOOSE({1,2,3,4,5,6,7,8,9},$I$7,$I$9,$I$10,$I$11,$I$12,$I$13,#REF!,$I$14,H$29),CHOOSE({1,2,3,4,5,6,7,8,9},$H$7,$H$9,$H$10,$H$11,$H$12,$H$13,#REF!,$H$14,$C35),IRR(CHOOSE({1,2,3,4,5,6,7,8,9,10},$I$6,$I$7,$I$9,$I$10,$I$11,$I$12,$I$13,#REF!,$I$14,H$29))),IF($I$9&lt;&gt;0,XIRR(CHOOSE({1,2,3,4,5,6,7,8},$I$9,$I$10,$I$11,$I$12,$I$13,#REF!,$I$14,H$29),CHOOSE({1,2,3,4,5,6,7,8},$H$9,$H$10,$H$11,$H$12,$H$13,#REF!,$H$14,$C35),IRR(CHOOSE({1,2,3,4,5,6,7,8,9,10},$I$6,$I$7,$I$9,$I$10,$I$11,$I$12,$I$13,#REF!,$I$14,H$29))),IF($I$10&lt;&gt;0,XIRR(CHOOSE({1,2,3,4,5,6,7},$I$10,$I$11,$I$12,$I$13,#REF!,$I$14,H$29),CHOOSE({1,2,3,4,5,6,7},$H$10,$H$11,$H$12,$H$13,#REF!,$H$14,$C35),IRR(CHOOSE({1,2,3,4,5,6,7,8,9,10},$I$6,$I$7,$I$9,$I$10,$I$11,$I$12,$I$13,#REF!,$I$14,H$29))),IF($I$11&lt;&gt;0,XIRR(CHOOSE({1,2,3,4,5,6},$I$11,$I$12,$I$13,#REF!,$I$14,H$29),CHOOSE({1,2,3,4,5,6},$H$11,$H$12,$H$13,#REF!,$H$14,$C35),IRR(CHOOSE({1,2,3,4,5,6,7,8,9,10},$I$6,$I$7,$I$9,$I$10,$I$11,$I$12,$I$13,#REF!,$I$14,H$29))),IF($I$12&lt;&gt;0,XIRR(CHOOSE({1,2,3,4,5},$I$12,$I$13,#REF!,$I$14,H$29),CHOOSE({1,2,3,4,5},$H$12,$H$13,#REF!,$H$14,$C35),IRR(CHOOSE({1,2,3,4,5,6,7,8,9,10},$I$6,$I$7,$I$9,$I$10,$I$11,$I$12,$I$13,#REF!,$I$14,H$29))),IF($I$13&lt;&gt;0,XIRR(CHOOSE({1,2,3,4},$I$13,#REF!,$I$14,H$29),CHOOSE({1,2,3,4},$H$13,#REF!,$H$14,$C35),IRR(CHOOSE({1,2,3,4,5,6,7,8,9,10},$I$6,$I$7,$I$9,$I$10,$I$11,$I$12,$I$13,#REF!,$I$14,H$29))),IF(#REF!&lt;&gt;0,XIRR(CHOOSE({1,2,3},#REF!,$I$14,H$29),CHOOSE({1,2,3},#REF!,$H$14,$C35),IRR(CHOOSE({1,2,3,4,5,6,7,8,9,10},$I$6,$I$7,$I$9,$I$10,$I$11,$I$12,$I$13,#REF!,$I$14,H$29))),IF($I$14&lt;&gt;0,XIRR(CHOOSE({1,2},$I$14,H$29),CHOOSE({1,2},$H$14,$C35)))))))))))&lt;0,"Negative",IF($I$6&lt;&gt;0,XIRR(CHOOSE({1,2,3,4,5,6,7,8,9,10},$I$6,$I$7,$I$9,$I$10,$I$11,$I$12,$I$13,#REF!,$I$14,H$29),CHOOSE({1,2,3,4,5,6,7,8,9,10},$H$6,$H$7,$H$9,$H$10,$H$11,$H$12,$H$13,#REF!,$H$14,$C35),IRR(CHOOSE({1,2,3,4,5,6,7,8,9,10},$I$6,$I$7,$I$9,$I$10,$I$11,$I$12,$I$13,#REF!,$I$14,H$29))),IF($I$7&lt;&gt;0,XIRR(CHOOSE({1,2,3,4,5,6,7,8,9},$I$7,$I$9,$I$10,$I$11,$I$12,$I$13,#REF!,$I$14,H$29),CHOOSE({1,2,3,4,5,6,7,8,9},$H$7,$H$9,$H$10,$H$11,$H$12,$H$13,#REF!,$H$14,$C35),IRR(CHOOSE({1,2,3,4,5,6,7,8,9,10},$I$6,$I$7,$I$9,$I$10,$I$11,$I$12,$I$13,#REF!,$I$14,H$29))),IF($I$9&lt;&gt;0,XIRR(CHOOSE({1,2,3,4,5,6,7,8},$I$9,$I$10,$I$11,$I$12,$I$13,#REF!,$I$14,H$29),CHOOSE({1,2,3,4,5,6,7,8},$H$9,$H$10,$H$11,$H$12,$H$13,#REF!,$H$14,$C35),IRR(CHOOSE({1,2,3,4,5,6,7,8,9,10},$I$6,$I$7,$I$9,$I$10,$I$11,$I$12,$I$13,#REF!,$I$14,H$29))),IF($I$10&lt;&gt;0,XIRR(CHOOSE({1,2,3,4,5,6,7},$I$10,$I$11,$I$12,$I$13,#REF!,$I$14,H$29),CHOOSE({1,2,3,4,5,6,7},$H$10,$H$11,$H$12,$H$13,#REF!,$H$14,$C35),IRR(CHOOSE({1,2,3,4,5,6,7,8,9,10},$I$6,$I$7,$I$9,$I$10,$I$11,$I$12,$I$13,#REF!,$I$14,H$29))),IF($I$11&lt;&gt;0,XIRR(CHOOSE({1,2,3,4,5,6},$I$11,$I$12,$I$13,#REF!,$I$14,H$29),CHOOSE({1,2,3,4,5,6},$H$11,$H$12,$H$13,#REF!,$H$14,$C35),IRR(CHOOSE({1,2,3,4,5,6,7,8,9,10},$I$6,$I$7,$I$9,$I$10,$I$11,$I$12,$I$13,#REF!,$I$14,H$29))),IF($I$12&lt;&gt;0,XIRR(CHOOSE({1,2,3,4,5},$I$12,$I$13,#REF!,$I$14,H$29),CHOOSE({1,2,3,4,5},$H$12,$H$13,#REF!,$H$14,$C35),IRR(CHOOSE({1,2,3,4,5,6,7,8,9,10},$I$6,$I$7,$I$9,$I$10,$I$11,$I$12,$I$13,#REF!,$I$14,H$29))),IF($I$13&lt;&gt;0,XIRR(CHOOSE({1,2,3,4},$I$13,#REF!,$I$14,H$29),CHOOSE({1,2,3,4},$H$13,#REF!,$H$14,$C35),IRR(CHOOSE({1,2,3,4,5,6,7,8,9,10},$I$6,$I$7,$I$9,$I$10,$I$11,$I$12,$I$13,#REF!,$I$14,H$29))),IF(#REF!&lt;&gt;0,XIRR(CHOOSE({1,2,3},#REF!,$I$14,H$29),CHOOSE({1,2,3},#REF!,$H$14,$C35),IRR(CHOOSE({1,2,3,4,5,6,7,8,9,10},$I$6,$I$7,$I$9,$I$10,$I$11,$I$12,$I$13,#REF!,$I$14,H$29))),IF($I$14&lt;&gt;0,XIRR(CHOOSE({1,2},$I$14,H$29),CHOOSE({1,2},$H$14,$C35)))))))))))),"Negative")</f>
        <v>Negative</v>
      </c>
      <c r="I35" s="772" t="str">
        <f>IFERROR(IF(IF($I$6&lt;&gt;0,XIRR(CHOOSE({1,2,3,4,5,6,7,8,9,10},$I$6,$I$7,$I$9,$I$10,$I$11,$I$12,$I$13,#REF!,$I$14,I$29),CHOOSE({1,2,3,4,5,6,7,8,9,10},$H$6,$H$7,$H$9,$H$10,$H$11,$H$12,$H$13,#REF!,$H$14,$C35),IRR(CHOOSE({1,2,3,4,5,6,7,8,9,10},$I$6,$I$7,$I$9,$I$10,$I$11,$I$12,$I$13,#REF!,$I$14,I$29))),IF($I$7&lt;&gt;0,XIRR(CHOOSE({1,2,3,4,5,6,7,8,9},$I$7,$I$9,$I$10,$I$11,$I$12,$I$13,#REF!,$I$14,I$29),CHOOSE({1,2,3,4,5,6,7,8,9},$H$7,$H$9,$H$10,$H$11,$H$12,$H$13,#REF!,$H$14,$C35),IRR(CHOOSE({1,2,3,4,5,6,7,8,9,10},$I$6,$I$7,$I$9,$I$10,$I$11,$I$12,$I$13,#REF!,$I$14,I$29))),IF($I$9&lt;&gt;0,XIRR(CHOOSE({1,2,3,4,5,6,7,8},$I$9,$I$10,$I$11,$I$12,$I$13,#REF!,$I$14,I$29),CHOOSE({1,2,3,4,5,6,7,8},$H$9,$H$10,$H$11,$H$12,$H$13,#REF!,$H$14,$C35),IRR(CHOOSE({1,2,3,4,5,6,7,8,9,10},$I$6,$I$7,$I$9,$I$10,$I$11,$I$12,$I$13,#REF!,$I$14,I$29))),IF($I$10&lt;&gt;0,XIRR(CHOOSE({1,2,3,4,5,6,7},$I$10,$I$11,$I$12,$I$13,#REF!,$I$14,I$29),CHOOSE({1,2,3,4,5,6,7},$H$10,$H$11,$H$12,$H$13,#REF!,$H$14,$C35),IRR(CHOOSE({1,2,3,4,5,6,7,8,9,10},$I$6,$I$7,$I$9,$I$10,$I$11,$I$12,$I$13,#REF!,$I$14,I$29))),IF($I$11&lt;&gt;0,XIRR(CHOOSE({1,2,3,4,5,6},$I$11,$I$12,$I$13,#REF!,$I$14,I$29),CHOOSE({1,2,3,4,5,6},$H$11,$H$12,$H$13,#REF!,$H$14,$C35),IRR(CHOOSE({1,2,3,4,5,6,7,8,9,10},$I$6,$I$7,$I$9,$I$10,$I$11,$I$12,$I$13,#REF!,$I$14,I$29))),IF($I$12&lt;&gt;0,XIRR(CHOOSE({1,2,3,4,5},$I$12,$I$13,#REF!,$I$14,I$29),CHOOSE({1,2,3,4,5},$H$12,$H$13,#REF!,$H$14,$C35),IRR(CHOOSE({1,2,3,4,5,6,7,8,9,10},$I$6,$I$7,$I$9,$I$10,$I$11,$I$12,$I$13,#REF!,$I$14,I$29))),IF($I$13&lt;&gt;0,XIRR(CHOOSE({1,2,3,4},$I$13,#REF!,$I$14,I$29),CHOOSE({1,2,3,4},$H$13,#REF!,$H$14,$C35),IRR(CHOOSE({1,2,3,4,5,6,7,8,9,10},$I$6,$I$7,$I$9,$I$10,$I$11,$I$12,$I$13,#REF!,$I$14,I$29))),IF(#REF!&lt;&gt;0,XIRR(CHOOSE({1,2,3},#REF!,$I$14,I$29),CHOOSE({1,2,3},#REF!,$H$14,$C35),IRR(CHOOSE({1,2,3,4,5,6,7,8,9,10},$I$6,$I$7,$I$9,$I$10,$I$11,$I$12,$I$13,#REF!,$I$14,I$29))),IF($I$14&lt;&gt;0,XIRR(CHOOSE({1,2},$I$14,I$29),CHOOSE({1,2},$H$14,$C35)))))))))))&lt;0,"Negative",IF($I$6&lt;&gt;0,XIRR(CHOOSE({1,2,3,4,5,6,7,8,9,10},$I$6,$I$7,$I$9,$I$10,$I$11,$I$12,$I$13,#REF!,$I$14,I$29),CHOOSE({1,2,3,4,5,6,7,8,9,10},$H$6,$H$7,$H$9,$H$10,$H$11,$H$12,$H$13,#REF!,$H$14,$C35),IRR(CHOOSE({1,2,3,4,5,6,7,8,9,10},$I$6,$I$7,$I$9,$I$10,$I$11,$I$12,$I$13,#REF!,$I$14,I$29))),IF($I$7&lt;&gt;0,XIRR(CHOOSE({1,2,3,4,5,6,7,8,9},$I$7,$I$9,$I$10,$I$11,$I$12,$I$13,#REF!,$I$14,I$29),CHOOSE({1,2,3,4,5,6,7,8,9},$H$7,$H$9,$H$10,$H$11,$H$12,$H$13,#REF!,$H$14,$C35),IRR(CHOOSE({1,2,3,4,5,6,7,8,9,10},$I$6,$I$7,$I$9,$I$10,$I$11,$I$12,$I$13,#REF!,$I$14,I$29))),IF($I$9&lt;&gt;0,XIRR(CHOOSE({1,2,3,4,5,6,7,8},$I$9,$I$10,$I$11,$I$12,$I$13,#REF!,$I$14,I$29),CHOOSE({1,2,3,4,5,6,7,8},$H$9,$H$10,$H$11,$H$12,$H$13,#REF!,$H$14,$C35),IRR(CHOOSE({1,2,3,4,5,6,7,8,9,10},$I$6,$I$7,$I$9,$I$10,$I$11,$I$12,$I$13,#REF!,$I$14,I$29))),IF($I$10&lt;&gt;0,XIRR(CHOOSE({1,2,3,4,5,6,7},$I$10,$I$11,$I$12,$I$13,#REF!,$I$14,I$29),CHOOSE({1,2,3,4,5,6,7},$H$10,$H$11,$H$12,$H$13,#REF!,$H$14,$C35),IRR(CHOOSE({1,2,3,4,5,6,7,8,9,10},$I$6,$I$7,$I$9,$I$10,$I$11,$I$12,$I$13,#REF!,$I$14,I$29))),IF($I$11&lt;&gt;0,XIRR(CHOOSE({1,2,3,4,5,6},$I$11,$I$12,$I$13,#REF!,$I$14,I$29),CHOOSE({1,2,3,4,5,6},$H$11,$H$12,$H$13,#REF!,$H$14,$C35),IRR(CHOOSE({1,2,3,4,5,6,7,8,9,10},$I$6,$I$7,$I$9,$I$10,$I$11,$I$12,$I$13,#REF!,$I$14,I$29))),IF($I$12&lt;&gt;0,XIRR(CHOOSE({1,2,3,4,5},$I$12,$I$13,#REF!,$I$14,I$29),CHOOSE({1,2,3,4,5},$H$12,$H$13,#REF!,$H$14,$C35),IRR(CHOOSE({1,2,3,4,5,6,7,8,9,10},$I$6,$I$7,$I$9,$I$10,$I$11,$I$12,$I$13,#REF!,$I$14,I$29))),IF($I$13&lt;&gt;0,XIRR(CHOOSE({1,2,3,4},$I$13,#REF!,$I$14,I$29),CHOOSE({1,2,3,4},$H$13,#REF!,$H$14,$C35),IRR(CHOOSE({1,2,3,4,5,6,7,8,9,10},$I$6,$I$7,$I$9,$I$10,$I$11,$I$12,$I$13,#REF!,$I$14,I$29))),IF(#REF!&lt;&gt;0,XIRR(CHOOSE({1,2,3},#REF!,$I$14,I$29),CHOOSE({1,2,3},#REF!,$H$14,$C35),IRR(CHOOSE({1,2,3,4,5,6,7,8,9,10},$I$6,$I$7,$I$9,$I$10,$I$11,$I$12,$I$13,#REF!,$I$14,I$29))),IF($I$14&lt;&gt;0,XIRR(CHOOSE({1,2},$I$14,I$29),CHOOSE({1,2},$H$14,$C35)))))))))))),"Negative")</f>
        <v>Negative</v>
      </c>
      <c r="J35" s="769" t="str">
        <f>IFERROR(IF(IF($I$6&lt;&gt;0,XIRR(CHOOSE({1,2,3,4,5,6,7,8,9,10},$I$6,$I$7,$I$9,$I$10,$I$11,$I$12,$I$13,#REF!,$I$14,J$29),CHOOSE({1,2,3,4,5,6,7,8,9,10},$H$6,$H$7,$H$9,$H$10,$H$11,$H$12,$H$13,#REF!,$H$14,$C35),IRR(CHOOSE({1,2,3,4,5,6,7,8,9,10},$I$6,$I$7,$I$9,$I$10,$I$11,$I$12,$I$13,#REF!,$I$14,J$29))),IF($I$7&lt;&gt;0,XIRR(CHOOSE({1,2,3,4,5,6,7,8,9},$I$7,$I$9,$I$10,$I$11,$I$12,$I$13,#REF!,$I$14,J$29),CHOOSE({1,2,3,4,5,6,7,8,9},$H$7,$H$9,$H$10,$H$11,$H$12,$H$13,#REF!,$H$14,$C35),IRR(CHOOSE({1,2,3,4,5,6,7,8,9,10},$I$6,$I$7,$I$9,$I$10,$I$11,$I$12,$I$13,#REF!,$I$14,J$29))),IF($I$9&lt;&gt;0,XIRR(CHOOSE({1,2,3,4,5,6,7,8},$I$9,$I$10,$I$11,$I$12,$I$13,#REF!,$I$14,J$29),CHOOSE({1,2,3,4,5,6,7,8},$H$9,$H$10,$H$11,$H$12,$H$13,#REF!,$H$14,$C35),IRR(CHOOSE({1,2,3,4,5,6,7,8,9,10},$I$6,$I$7,$I$9,$I$10,$I$11,$I$12,$I$13,#REF!,$I$14,J$29))),IF($I$10&lt;&gt;0,XIRR(CHOOSE({1,2,3,4,5,6,7},$I$10,$I$11,$I$12,$I$13,#REF!,$I$14,J$29),CHOOSE({1,2,3,4,5,6,7},$H$10,$H$11,$H$12,$H$13,#REF!,$H$14,$C35),IRR(CHOOSE({1,2,3,4,5,6,7,8,9,10},$I$6,$I$7,$I$9,$I$10,$I$11,$I$12,$I$13,#REF!,$I$14,J$29))),IF($I$11&lt;&gt;0,XIRR(CHOOSE({1,2,3,4,5,6},$I$11,$I$12,$I$13,#REF!,$I$14,J$29),CHOOSE({1,2,3,4,5,6},$H$11,$H$12,$H$13,#REF!,$H$14,$C35),IRR(CHOOSE({1,2,3,4,5,6,7,8,9,10},$I$6,$I$7,$I$9,$I$10,$I$11,$I$12,$I$13,#REF!,$I$14,J$29))),IF($I$12&lt;&gt;0,XIRR(CHOOSE({1,2,3,4,5},$I$12,$I$13,#REF!,$I$14,J$29),CHOOSE({1,2,3,4,5},$H$12,$H$13,#REF!,$H$14,$C35),IRR(CHOOSE({1,2,3,4,5,6,7,8,9,10},$I$6,$I$7,$I$9,$I$10,$I$11,$I$12,$I$13,#REF!,$I$14,J$29))),IF($I$13&lt;&gt;0,XIRR(CHOOSE({1,2,3,4},$I$13,#REF!,$I$14,J$29),CHOOSE({1,2,3,4},$H$13,#REF!,$H$14,$C35),IRR(CHOOSE({1,2,3,4,5,6,7,8,9,10},$I$6,$I$7,$I$9,$I$10,$I$11,$I$12,$I$13,#REF!,$I$14,J$29))),IF(#REF!&lt;&gt;0,XIRR(CHOOSE({1,2,3},#REF!,$I$14,J$29),CHOOSE({1,2,3},#REF!,$H$14,$C35),IRR(CHOOSE({1,2,3,4,5,6,7,8,9,10},$I$6,$I$7,$I$9,$I$10,$I$11,$I$12,$I$13,#REF!,$I$14,J$29))),IF($I$14&lt;&gt;0,XIRR(CHOOSE({1,2},$I$14,J$29),CHOOSE({1,2},$H$14,$C35)))))))))))&lt;0,"Negative",IF($I$6&lt;&gt;0,XIRR(CHOOSE({1,2,3,4,5,6,7,8,9,10},$I$6,$I$7,$I$9,$I$10,$I$11,$I$12,$I$13,#REF!,$I$14,J$29),CHOOSE({1,2,3,4,5,6,7,8,9,10},$H$6,$H$7,$H$9,$H$10,$H$11,$H$12,$H$13,#REF!,$H$14,$C35),IRR(CHOOSE({1,2,3,4,5,6,7,8,9,10},$I$6,$I$7,$I$9,$I$10,$I$11,$I$12,$I$13,#REF!,$I$14,J$29))),IF($I$7&lt;&gt;0,XIRR(CHOOSE({1,2,3,4,5,6,7,8,9},$I$7,$I$9,$I$10,$I$11,$I$12,$I$13,#REF!,$I$14,J$29),CHOOSE({1,2,3,4,5,6,7,8,9},$H$7,$H$9,$H$10,$H$11,$H$12,$H$13,#REF!,$H$14,$C35),IRR(CHOOSE({1,2,3,4,5,6,7,8,9,10},$I$6,$I$7,$I$9,$I$10,$I$11,$I$12,$I$13,#REF!,$I$14,J$29))),IF($I$9&lt;&gt;0,XIRR(CHOOSE({1,2,3,4,5,6,7,8},$I$9,$I$10,$I$11,$I$12,$I$13,#REF!,$I$14,J$29),CHOOSE({1,2,3,4,5,6,7,8},$H$9,$H$10,$H$11,$H$12,$H$13,#REF!,$H$14,$C35),IRR(CHOOSE({1,2,3,4,5,6,7,8,9,10},$I$6,$I$7,$I$9,$I$10,$I$11,$I$12,$I$13,#REF!,$I$14,J$29))),IF($I$10&lt;&gt;0,XIRR(CHOOSE({1,2,3,4,5,6,7},$I$10,$I$11,$I$12,$I$13,#REF!,$I$14,J$29),CHOOSE({1,2,3,4,5,6,7},$H$10,$H$11,$H$12,$H$13,#REF!,$H$14,$C35),IRR(CHOOSE({1,2,3,4,5,6,7,8,9,10},$I$6,$I$7,$I$9,$I$10,$I$11,$I$12,$I$13,#REF!,$I$14,J$29))),IF($I$11&lt;&gt;0,XIRR(CHOOSE({1,2,3,4,5,6},$I$11,$I$12,$I$13,#REF!,$I$14,J$29),CHOOSE({1,2,3,4,5,6},$H$11,$H$12,$H$13,#REF!,$H$14,$C35),IRR(CHOOSE({1,2,3,4,5,6,7,8,9,10},$I$6,$I$7,$I$9,$I$10,$I$11,$I$12,$I$13,#REF!,$I$14,J$29))),IF($I$12&lt;&gt;0,XIRR(CHOOSE({1,2,3,4,5},$I$12,$I$13,#REF!,$I$14,J$29),CHOOSE({1,2,3,4,5},$H$12,$H$13,#REF!,$H$14,$C35),IRR(CHOOSE({1,2,3,4,5,6,7,8,9,10},$I$6,$I$7,$I$9,$I$10,$I$11,$I$12,$I$13,#REF!,$I$14,J$29))),IF($I$13&lt;&gt;0,XIRR(CHOOSE({1,2,3,4},$I$13,#REF!,$I$14,J$29),CHOOSE({1,2,3,4},$H$13,#REF!,$H$14,$C35),IRR(CHOOSE({1,2,3,4,5,6,7,8,9,10},$I$6,$I$7,$I$9,$I$10,$I$11,$I$12,$I$13,#REF!,$I$14,J$29))),IF(#REF!&lt;&gt;0,XIRR(CHOOSE({1,2,3},#REF!,$I$14,J$29),CHOOSE({1,2,3},#REF!,$H$14,$C35),IRR(CHOOSE({1,2,3,4,5,6,7,8,9,10},$I$6,$I$7,$I$9,$I$10,$I$11,$I$12,$I$13,#REF!,$I$14,J$29))),IF($I$14&lt;&gt;0,XIRR(CHOOSE({1,2},$I$14,J$29),CHOOSE({1,2},$H$14,$C35)))))))))))),"Negative")</f>
        <v>Negative</v>
      </c>
      <c r="K35" s="769" t="str">
        <f>IFERROR(IF(IF($I$6&lt;&gt;0,XIRR(CHOOSE({1,2,3,4,5,6,7,8,9,10},$I$6,$I$7,$I$9,$I$10,$I$11,$I$12,$I$13,#REF!,$I$14,K$29),CHOOSE({1,2,3,4,5,6,7,8,9,10},$H$6,$H$7,$H$9,$H$10,$H$11,$H$12,$H$13,#REF!,$H$14,$C35),IRR(CHOOSE({1,2,3,4,5,6,7,8,9,10},$I$6,$I$7,$I$9,$I$10,$I$11,$I$12,$I$13,#REF!,$I$14,K$29))),IF($I$7&lt;&gt;0,XIRR(CHOOSE({1,2,3,4,5,6,7,8,9},$I$7,$I$9,$I$10,$I$11,$I$12,$I$13,#REF!,$I$14,K$29),CHOOSE({1,2,3,4,5,6,7,8,9},$H$7,$H$9,$H$10,$H$11,$H$12,$H$13,#REF!,$H$14,$C35),IRR(CHOOSE({1,2,3,4,5,6,7,8,9,10},$I$6,$I$7,$I$9,$I$10,$I$11,$I$12,$I$13,#REF!,$I$14,K$29))),IF($I$9&lt;&gt;0,XIRR(CHOOSE({1,2,3,4,5,6,7,8},$I$9,$I$10,$I$11,$I$12,$I$13,#REF!,$I$14,K$29),CHOOSE({1,2,3,4,5,6,7,8},$H$9,$H$10,$H$11,$H$12,$H$13,#REF!,$H$14,$C35),IRR(CHOOSE({1,2,3,4,5,6,7,8,9,10},$I$6,$I$7,$I$9,$I$10,$I$11,$I$12,$I$13,#REF!,$I$14,K$29))),IF($I$10&lt;&gt;0,XIRR(CHOOSE({1,2,3,4,5,6,7},$I$10,$I$11,$I$12,$I$13,#REF!,$I$14,K$29),CHOOSE({1,2,3,4,5,6,7},$H$10,$H$11,$H$12,$H$13,#REF!,$H$14,$C35),IRR(CHOOSE({1,2,3,4,5,6,7,8,9,10},$I$6,$I$7,$I$9,$I$10,$I$11,$I$12,$I$13,#REF!,$I$14,K$29))),IF($I$11&lt;&gt;0,XIRR(CHOOSE({1,2,3,4,5,6},$I$11,$I$12,$I$13,#REF!,$I$14,K$29),CHOOSE({1,2,3,4,5,6},$H$11,$H$12,$H$13,#REF!,$H$14,$C35),IRR(CHOOSE({1,2,3,4,5,6,7,8,9,10},$I$6,$I$7,$I$9,$I$10,$I$11,$I$12,$I$13,#REF!,$I$14,K$29))),IF($I$12&lt;&gt;0,XIRR(CHOOSE({1,2,3,4,5},$I$12,$I$13,#REF!,$I$14,K$29),CHOOSE({1,2,3,4,5},$H$12,$H$13,#REF!,$H$14,$C35),IRR(CHOOSE({1,2,3,4,5,6,7,8,9,10},$I$6,$I$7,$I$9,$I$10,$I$11,$I$12,$I$13,#REF!,$I$14,K$29))),IF($I$13&lt;&gt;0,XIRR(CHOOSE({1,2,3,4},$I$13,#REF!,$I$14,K$29),CHOOSE({1,2,3,4},$H$13,#REF!,$H$14,$C35),IRR(CHOOSE({1,2,3,4,5,6,7,8,9,10},$I$6,$I$7,$I$9,$I$10,$I$11,$I$12,$I$13,#REF!,$I$14,K$29))),IF(#REF!&lt;&gt;0,XIRR(CHOOSE({1,2,3},#REF!,$I$14,K$29),CHOOSE({1,2,3},#REF!,$H$14,$C35),IRR(CHOOSE({1,2,3,4,5,6,7,8,9,10},$I$6,$I$7,$I$9,$I$10,$I$11,$I$12,$I$13,#REF!,$I$14,K$29))),IF($I$14&lt;&gt;0,XIRR(CHOOSE({1,2},$I$14,K$29),CHOOSE({1,2},$H$14,$C35)))))))))))&lt;0,"Negative",IF($I$6&lt;&gt;0,XIRR(CHOOSE({1,2,3,4,5,6,7,8,9,10},$I$6,$I$7,$I$9,$I$10,$I$11,$I$12,$I$13,#REF!,$I$14,K$29),CHOOSE({1,2,3,4,5,6,7,8,9,10},$H$6,$H$7,$H$9,$H$10,$H$11,$H$12,$H$13,#REF!,$H$14,$C35),IRR(CHOOSE({1,2,3,4,5,6,7,8,9,10},$I$6,$I$7,$I$9,$I$10,$I$11,$I$12,$I$13,#REF!,$I$14,K$29))),IF($I$7&lt;&gt;0,XIRR(CHOOSE({1,2,3,4,5,6,7,8,9},$I$7,$I$9,$I$10,$I$11,$I$12,$I$13,#REF!,$I$14,K$29),CHOOSE({1,2,3,4,5,6,7,8,9},$H$7,$H$9,$H$10,$H$11,$H$12,$H$13,#REF!,$H$14,$C35),IRR(CHOOSE({1,2,3,4,5,6,7,8,9,10},$I$6,$I$7,$I$9,$I$10,$I$11,$I$12,$I$13,#REF!,$I$14,K$29))),IF($I$9&lt;&gt;0,XIRR(CHOOSE({1,2,3,4,5,6,7,8},$I$9,$I$10,$I$11,$I$12,$I$13,#REF!,$I$14,K$29),CHOOSE({1,2,3,4,5,6,7,8},$H$9,$H$10,$H$11,$H$12,$H$13,#REF!,$H$14,$C35),IRR(CHOOSE({1,2,3,4,5,6,7,8,9,10},$I$6,$I$7,$I$9,$I$10,$I$11,$I$12,$I$13,#REF!,$I$14,K$29))),IF($I$10&lt;&gt;0,XIRR(CHOOSE({1,2,3,4,5,6,7},$I$10,$I$11,$I$12,$I$13,#REF!,$I$14,K$29),CHOOSE({1,2,3,4,5,6,7},$H$10,$H$11,$H$12,$H$13,#REF!,$H$14,$C35),IRR(CHOOSE({1,2,3,4,5,6,7,8,9,10},$I$6,$I$7,$I$9,$I$10,$I$11,$I$12,$I$13,#REF!,$I$14,K$29))),IF($I$11&lt;&gt;0,XIRR(CHOOSE({1,2,3,4,5,6},$I$11,$I$12,$I$13,#REF!,$I$14,K$29),CHOOSE({1,2,3,4,5,6},$H$11,$H$12,$H$13,#REF!,$H$14,$C35),IRR(CHOOSE({1,2,3,4,5,6,7,8,9,10},$I$6,$I$7,$I$9,$I$10,$I$11,$I$12,$I$13,#REF!,$I$14,K$29))),IF($I$12&lt;&gt;0,XIRR(CHOOSE({1,2,3,4,5},$I$12,$I$13,#REF!,$I$14,K$29),CHOOSE({1,2,3,4,5},$H$12,$H$13,#REF!,$H$14,$C35),IRR(CHOOSE({1,2,3,4,5,6,7,8,9,10},$I$6,$I$7,$I$9,$I$10,$I$11,$I$12,$I$13,#REF!,$I$14,K$29))),IF($I$13&lt;&gt;0,XIRR(CHOOSE({1,2,3,4},$I$13,#REF!,$I$14,K$29),CHOOSE({1,2,3,4},$H$13,#REF!,$H$14,$C35),IRR(CHOOSE({1,2,3,4,5,6,7,8,9,10},$I$6,$I$7,$I$9,$I$10,$I$11,$I$12,$I$13,#REF!,$I$14,K$29))),IF(#REF!&lt;&gt;0,XIRR(CHOOSE({1,2,3},#REF!,$I$14,K$29),CHOOSE({1,2,3},#REF!,$H$14,$C35),IRR(CHOOSE({1,2,3,4,5,6,7,8,9,10},$I$6,$I$7,$I$9,$I$10,$I$11,$I$12,$I$13,#REF!,$I$14,K$29))),IF($I$14&lt;&gt;0,XIRR(CHOOSE({1,2},$I$14,K$29),CHOOSE({1,2},$H$14,$C35)))))))))))),"Negative")</f>
        <v>Negative</v>
      </c>
      <c r="L35" s="769" t="str">
        <f>IFERROR(IF(IF($I$6&lt;&gt;0,XIRR(CHOOSE({1,2,3,4,5,6,7,8,9,10},$I$6,$I$7,$I$9,$I$10,$I$11,$I$12,$I$13,#REF!,$I$14,L$29),CHOOSE({1,2,3,4,5,6,7,8,9,10},$H$6,$H$7,$H$9,$H$10,$H$11,$H$12,$H$13,#REF!,$H$14,$C35),IRR(CHOOSE({1,2,3,4,5,6,7,8,9,10},$I$6,$I$7,$I$9,$I$10,$I$11,$I$12,$I$13,#REF!,$I$14,L$29))),IF($I$7&lt;&gt;0,XIRR(CHOOSE({1,2,3,4,5,6,7,8,9},$I$7,$I$9,$I$10,$I$11,$I$12,$I$13,#REF!,$I$14,L$29),CHOOSE({1,2,3,4,5,6,7,8,9},$H$7,$H$9,$H$10,$H$11,$H$12,$H$13,#REF!,$H$14,$C35),IRR(CHOOSE({1,2,3,4,5,6,7,8,9,10},$I$6,$I$7,$I$9,$I$10,$I$11,$I$12,$I$13,#REF!,$I$14,L$29))),IF($I$9&lt;&gt;0,XIRR(CHOOSE({1,2,3,4,5,6,7,8},$I$9,$I$10,$I$11,$I$12,$I$13,#REF!,$I$14,L$29),CHOOSE({1,2,3,4,5,6,7,8},$H$9,$H$10,$H$11,$H$12,$H$13,#REF!,$H$14,$C35),IRR(CHOOSE({1,2,3,4,5,6,7,8,9,10},$I$6,$I$7,$I$9,$I$10,$I$11,$I$12,$I$13,#REF!,$I$14,L$29))),IF($I$10&lt;&gt;0,XIRR(CHOOSE({1,2,3,4,5,6,7},$I$10,$I$11,$I$12,$I$13,#REF!,$I$14,L$29),CHOOSE({1,2,3,4,5,6,7},$H$10,$H$11,$H$12,$H$13,#REF!,$H$14,$C35),IRR(CHOOSE({1,2,3,4,5,6,7,8,9,10},$I$6,$I$7,$I$9,$I$10,$I$11,$I$12,$I$13,#REF!,$I$14,L$29))),IF($I$11&lt;&gt;0,XIRR(CHOOSE({1,2,3,4,5,6},$I$11,$I$12,$I$13,#REF!,$I$14,L$29),CHOOSE({1,2,3,4,5,6},$H$11,$H$12,$H$13,#REF!,$H$14,$C35),IRR(CHOOSE({1,2,3,4,5,6,7,8,9,10},$I$6,$I$7,$I$9,$I$10,$I$11,$I$12,$I$13,#REF!,$I$14,L$29))),IF($I$12&lt;&gt;0,XIRR(CHOOSE({1,2,3,4,5},$I$12,$I$13,#REF!,$I$14,L$29),CHOOSE({1,2,3,4,5},$H$12,$H$13,#REF!,$H$14,$C35),IRR(CHOOSE({1,2,3,4,5,6,7,8,9,10},$I$6,$I$7,$I$9,$I$10,$I$11,$I$12,$I$13,#REF!,$I$14,L$29))),IF($I$13&lt;&gt;0,XIRR(CHOOSE({1,2,3,4},$I$13,#REF!,$I$14,L$29),CHOOSE({1,2,3,4},$H$13,#REF!,$H$14,$C35),IRR(CHOOSE({1,2,3,4,5,6,7,8,9,10},$I$6,$I$7,$I$9,$I$10,$I$11,$I$12,$I$13,#REF!,$I$14,L$29))),IF(#REF!&lt;&gt;0,XIRR(CHOOSE({1,2,3},#REF!,$I$14,L$29),CHOOSE({1,2,3},#REF!,$H$14,$C35),IRR(CHOOSE({1,2,3,4,5,6,7,8,9,10},$I$6,$I$7,$I$9,$I$10,$I$11,$I$12,$I$13,#REF!,$I$14,L$29))),IF($I$14&lt;&gt;0,XIRR(CHOOSE({1,2},$I$14,L$29),CHOOSE({1,2},$H$14,$C35)))))))))))&lt;0,"Negative",IF($I$6&lt;&gt;0,XIRR(CHOOSE({1,2,3,4,5,6,7,8,9,10},$I$6,$I$7,$I$9,$I$10,$I$11,$I$12,$I$13,#REF!,$I$14,L$29),CHOOSE({1,2,3,4,5,6,7,8,9,10},$H$6,$H$7,$H$9,$H$10,$H$11,$H$12,$H$13,#REF!,$H$14,$C35),IRR(CHOOSE({1,2,3,4,5,6,7,8,9,10},$I$6,$I$7,$I$9,$I$10,$I$11,$I$12,$I$13,#REF!,$I$14,L$29))),IF($I$7&lt;&gt;0,XIRR(CHOOSE({1,2,3,4,5,6,7,8,9},$I$7,$I$9,$I$10,$I$11,$I$12,$I$13,#REF!,$I$14,L$29),CHOOSE({1,2,3,4,5,6,7,8,9},$H$7,$H$9,$H$10,$H$11,$H$12,$H$13,#REF!,$H$14,$C35),IRR(CHOOSE({1,2,3,4,5,6,7,8,9,10},$I$6,$I$7,$I$9,$I$10,$I$11,$I$12,$I$13,#REF!,$I$14,L$29))),IF($I$9&lt;&gt;0,XIRR(CHOOSE({1,2,3,4,5,6,7,8},$I$9,$I$10,$I$11,$I$12,$I$13,#REF!,$I$14,L$29),CHOOSE({1,2,3,4,5,6,7,8},$H$9,$H$10,$H$11,$H$12,$H$13,#REF!,$H$14,$C35),IRR(CHOOSE({1,2,3,4,5,6,7,8,9,10},$I$6,$I$7,$I$9,$I$10,$I$11,$I$12,$I$13,#REF!,$I$14,L$29))),IF($I$10&lt;&gt;0,XIRR(CHOOSE({1,2,3,4,5,6,7},$I$10,$I$11,$I$12,$I$13,#REF!,$I$14,L$29),CHOOSE({1,2,3,4,5,6,7},$H$10,$H$11,$H$12,$H$13,#REF!,$H$14,$C35),IRR(CHOOSE({1,2,3,4,5,6,7,8,9,10},$I$6,$I$7,$I$9,$I$10,$I$11,$I$12,$I$13,#REF!,$I$14,L$29))),IF($I$11&lt;&gt;0,XIRR(CHOOSE({1,2,3,4,5,6},$I$11,$I$12,$I$13,#REF!,$I$14,L$29),CHOOSE({1,2,3,4,5,6},$H$11,$H$12,$H$13,#REF!,$H$14,$C35),IRR(CHOOSE({1,2,3,4,5,6,7,8,9,10},$I$6,$I$7,$I$9,$I$10,$I$11,$I$12,$I$13,#REF!,$I$14,L$29))),IF($I$12&lt;&gt;0,XIRR(CHOOSE({1,2,3,4,5},$I$12,$I$13,#REF!,$I$14,L$29),CHOOSE({1,2,3,4,5},$H$12,$H$13,#REF!,$H$14,$C35),IRR(CHOOSE({1,2,3,4,5,6,7,8,9,10},$I$6,$I$7,$I$9,$I$10,$I$11,$I$12,$I$13,#REF!,$I$14,L$29))),IF($I$13&lt;&gt;0,XIRR(CHOOSE({1,2,3,4},$I$13,#REF!,$I$14,L$29),CHOOSE({1,2,3,4},$H$13,#REF!,$H$14,$C35),IRR(CHOOSE({1,2,3,4,5,6,7,8,9,10},$I$6,$I$7,$I$9,$I$10,$I$11,$I$12,$I$13,#REF!,$I$14,L$29))),IF(#REF!&lt;&gt;0,XIRR(CHOOSE({1,2,3},#REF!,$I$14,L$29),CHOOSE({1,2,3},#REF!,$H$14,$C35),IRR(CHOOSE({1,2,3,4,5,6,7,8,9,10},$I$6,$I$7,$I$9,$I$10,$I$11,$I$12,$I$13,#REF!,$I$14,L$29))),IF($I$14&lt;&gt;0,XIRR(CHOOSE({1,2},$I$14,L$29),CHOOSE({1,2},$H$14,$C35)))))))))))),"Negative")</f>
        <v>Negative</v>
      </c>
      <c r="M35" s="180"/>
      <c r="N35" s="180"/>
      <c r="T35" s="180"/>
    </row>
    <row r="36" spans="1:20" s="388" customFormat="1" ht="4.1500000000000004" customHeight="1" outlineLevel="1" x14ac:dyDescent="0.35">
      <c r="A36" s="2"/>
      <c r="B36" s="2"/>
      <c r="M36" s="189"/>
      <c r="N36" s="189"/>
      <c r="T36" s="189"/>
    </row>
    <row r="37" spans="1:20" s="3" customFormat="1" x14ac:dyDescent="0.35">
      <c r="C37" s="441"/>
      <c r="D37" s="441"/>
      <c r="M37" s="180"/>
      <c r="N37" s="180"/>
      <c r="T37" s="180"/>
    </row>
    <row r="38" spans="1:20" s="447" customFormat="1" x14ac:dyDescent="0.35">
      <c r="C38" s="448" t="s">
        <v>115</v>
      </c>
      <c r="D38" s="449"/>
      <c r="M38" s="450"/>
      <c r="N38" s="450"/>
      <c r="T38" s="450"/>
    </row>
    <row r="39" spans="1:20" s="388" customFormat="1" ht="4.1500000000000004" customHeight="1" thickBot="1" x14ac:dyDescent="0.4">
      <c r="A39" s="447"/>
      <c r="B39" s="447"/>
      <c r="M39" s="189"/>
      <c r="N39" s="189"/>
      <c r="T39" s="189"/>
    </row>
    <row r="40" spans="1:20" s="3" customFormat="1" ht="15.65" customHeight="1" outlineLevel="1" thickBot="1" x14ac:dyDescent="0.4">
      <c r="A40" s="447"/>
      <c r="B40" s="447"/>
      <c r="C40" s="389" t="s">
        <v>116</v>
      </c>
      <c r="D40" s="451"/>
      <c r="E40" s="452" t="s">
        <v>117</v>
      </c>
      <c r="G40" s="1339" t="s">
        <v>118</v>
      </c>
      <c r="H40" s="1341"/>
      <c r="I40" s="1341"/>
      <c r="J40" s="1342"/>
      <c r="K40" s="1343" t="s">
        <v>119</v>
      </c>
      <c r="L40" s="1344"/>
      <c r="M40" s="180"/>
      <c r="N40" s="180"/>
      <c r="T40" s="180"/>
    </row>
    <row r="41" spans="1:20" s="3" customFormat="1" outlineLevel="1" x14ac:dyDescent="0.35">
      <c r="A41" s="447"/>
      <c r="B41" s="447"/>
      <c r="C41" s="453" t="s">
        <v>96</v>
      </c>
      <c r="D41" s="398" t="e">
        <f>#REF!</f>
        <v>#REF!</v>
      </c>
      <c r="E41" s="454" t="e">
        <f>D41-D6</f>
        <v>#REF!</v>
      </c>
      <c r="G41" s="455" t="s">
        <v>90</v>
      </c>
      <c r="H41" s="456" t="s">
        <v>91</v>
      </c>
      <c r="I41" s="457" t="s">
        <v>120</v>
      </c>
      <c r="J41" s="393" t="s">
        <v>121</v>
      </c>
      <c r="K41" s="458" t="s">
        <v>120</v>
      </c>
      <c r="L41" s="393" t="s">
        <v>121</v>
      </c>
      <c r="M41" s="180"/>
      <c r="N41" s="180"/>
      <c r="Q41" s="430"/>
      <c r="T41" s="180"/>
    </row>
    <row r="42" spans="1:20" s="3" customFormat="1" outlineLevel="1" x14ac:dyDescent="0.35">
      <c r="A42" s="447"/>
      <c r="B42" s="447"/>
      <c r="C42" s="453" t="s">
        <v>97</v>
      </c>
      <c r="D42" s="398" t="e">
        <f>#REF!</f>
        <v>#REF!</v>
      </c>
      <c r="E42" s="454" t="e">
        <f>D42-D7</f>
        <v>#REF!</v>
      </c>
      <c r="G42" s="399" t="str">
        <f>'NoPlay-Cap Table'!K6</f>
        <v>Seed</v>
      </c>
      <c r="H42" s="459">
        <f>IF(ISNONTEXT('NoPlay-Cap Table'!H$14)=TRUE,'NoPlay-Cap Table'!H$14,0)</f>
        <v>0</v>
      </c>
      <c r="I42" s="460" t="e">
        <f>-'Cap Table'!H20*'Cap Table'!H16/1000000</f>
        <v>#DIV/0!</v>
      </c>
      <c r="J42" s="461" t="e">
        <f>-'Cap Table'!I20*'Cap Table'!I16/1000000</f>
        <v>#DIV/0!</v>
      </c>
      <c r="K42" s="462"/>
      <c r="L42" s="463"/>
      <c r="M42" s="181"/>
      <c r="N42" s="181"/>
      <c r="O42" s="464"/>
      <c r="P42" s="464"/>
      <c r="Q42" s="465"/>
      <c r="R42" s="430"/>
      <c r="S42" s="430"/>
      <c r="T42" s="181"/>
    </row>
    <row r="43" spans="1:20" s="3" customFormat="1" outlineLevel="1" x14ac:dyDescent="0.35">
      <c r="A43" s="447"/>
      <c r="B43" s="447"/>
      <c r="C43" s="453" t="s">
        <v>99</v>
      </c>
      <c r="D43" s="398" t="e">
        <f>SUM(#REF!)</f>
        <v>#REF!</v>
      </c>
      <c r="E43" s="454" t="e">
        <f>D43-D9</f>
        <v>#REF!</v>
      </c>
      <c r="G43" s="399" t="str">
        <f>'NoPlay-Cap Table'!K7</f>
        <v>Series A</v>
      </c>
      <c r="H43" s="459">
        <f>IF(ISNONTEXT('NoPlay-Cap Table'!P$14)=TRUE,'NoPlay-Cap Table'!P$14,0)</f>
        <v>0</v>
      </c>
      <c r="I43" s="460">
        <f>-'Cap Table'!P20*'Cap Table'!P16/1000000</f>
        <v>0</v>
      </c>
      <c r="J43" s="461">
        <f>-'Cap Table'!Q20*'Cap Table'!Q16/1000000</f>
        <v>0</v>
      </c>
      <c r="K43" s="462"/>
      <c r="L43" s="463"/>
      <c r="M43" s="181"/>
      <c r="N43" s="181"/>
      <c r="Q43" s="465"/>
      <c r="T43" s="181"/>
    </row>
    <row r="44" spans="1:20" s="3" customFormat="1" outlineLevel="1" x14ac:dyDescent="0.35">
      <c r="A44" s="447"/>
      <c r="B44" s="447"/>
      <c r="C44" s="453" t="s">
        <v>100</v>
      </c>
      <c r="D44" s="398" t="e">
        <f>SUM(#REF!)</f>
        <v>#REF!</v>
      </c>
      <c r="E44" s="454" t="e">
        <f>D44-D10</f>
        <v>#REF!</v>
      </c>
      <c r="G44" s="399" t="str">
        <f>'NoPlay-Cap Table'!K8</f>
        <v>Series B</v>
      </c>
      <c r="H44" s="459">
        <f>IF(ISNONTEXT('NoPlay-Cap Table'!X$14)=TRUE,'NoPlay-Cap Table'!X$14,0)</f>
        <v>0</v>
      </c>
      <c r="I44" s="460">
        <f>-'Cap Table'!X20*'Cap Table'!X16/1000000</f>
        <v>0</v>
      </c>
      <c r="J44" s="461">
        <f>-'Cap Table'!Y20*'Cap Table'!Y16/1000000</f>
        <v>0</v>
      </c>
      <c r="K44" s="462"/>
      <c r="L44" s="463"/>
      <c r="M44" s="181"/>
      <c r="N44" s="181"/>
      <c r="R44" s="430"/>
      <c r="S44" s="430"/>
      <c r="T44" s="181"/>
    </row>
    <row r="45" spans="1:20" s="3" customFormat="1" outlineLevel="1" x14ac:dyDescent="0.35">
      <c r="A45" s="447"/>
      <c r="B45" s="447"/>
      <c r="C45" s="453" t="s">
        <v>122</v>
      </c>
      <c r="D45" s="766" t="e">
        <f>'NoPlay-Cap Table'!BZ20</f>
        <v>#DIV/0!</v>
      </c>
      <c r="E45" s="774" t="e">
        <f>D45-D11</f>
        <v>#DIV/0!</v>
      </c>
      <c r="G45" s="399" t="str">
        <f>'NoPlay-Cap Table'!K9</f>
        <v>Series C</v>
      </c>
      <c r="H45" s="459">
        <f>IF(ISNONTEXT('NoPlay-Cap Table'!AF$14)=TRUE,'NoPlay-Cap Table'!AF$14,0)</f>
        <v>0</v>
      </c>
      <c r="I45" s="460">
        <f>-'Cap Table'!AF20*'Cap Table'!AF16/1000000</f>
        <v>0</v>
      </c>
      <c r="J45" s="461">
        <f>-'Cap Table'!AG20*'Cap Table'!AG16/1000000</f>
        <v>0</v>
      </c>
      <c r="K45" s="462"/>
      <c r="L45" s="463"/>
      <c r="M45" s="181"/>
      <c r="N45" s="181"/>
      <c r="Q45" s="430"/>
      <c r="T45" s="181"/>
    </row>
    <row r="46" spans="1:20" s="3" customFormat="1" outlineLevel="1" x14ac:dyDescent="0.35">
      <c r="A46" s="447"/>
      <c r="B46" s="447"/>
      <c r="C46" s="466" t="s">
        <v>123</v>
      </c>
      <c r="D46" s="767" t="e">
        <f>'NoPlay-Cap Table'!CA20</f>
        <v>#DIV/0!</v>
      </c>
      <c r="E46" s="775" t="e">
        <f>D46-D12</f>
        <v>#DIV/0!</v>
      </c>
      <c r="G46" s="399" t="str">
        <f>'NoPlay-Cap Table'!K10</f>
        <v>Series D</v>
      </c>
      <c r="H46" s="459">
        <f>IF(ISNONTEXT('NoPlay-Cap Table'!AN$14)=TRUE,'NoPlay-Cap Table'!AN$14,0)</f>
        <v>0</v>
      </c>
      <c r="I46" s="460">
        <f>-'Cap Table'!AN20*'Cap Table'!AN16/1000000</f>
        <v>0</v>
      </c>
      <c r="J46" s="461">
        <f>-'Cap Table'!AO20*'Cap Table'!AO16/1000000</f>
        <v>0</v>
      </c>
      <c r="K46" s="462"/>
      <c r="L46" s="463"/>
      <c r="M46" s="181"/>
      <c r="N46" s="181"/>
      <c r="R46" s="430"/>
      <c r="S46" s="430"/>
      <c r="T46" s="181"/>
    </row>
    <row r="47" spans="1:20" s="3" customFormat="1" outlineLevel="1" x14ac:dyDescent="0.35">
      <c r="A47" s="447"/>
      <c r="B47" s="447"/>
      <c r="C47" s="467"/>
      <c r="D47" s="467"/>
      <c r="E47" s="1302"/>
      <c r="G47" s="399" t="str">
        <f>'NoPlay-Cap Table'!K11</f>
        <v>Series E</v>
      </c>
      <c r="H47" s="459">
        <f>IF(ISNONTEXT('NoPlay-Cap Table'!AV$14)=TRUE,'NoPlay-Cap Table'!AV$14,0)</f>
        <v>0</v>
      </c>
      <c r="I47" s="460">
        <f>-'Cap Table'!AV20*'Cap Table'!AV16/1000000</f>
        <v>0</v>
      </c>
      <c r="J47" s="461">
        <f>-'Cap Table'!AW20*'Cap Table'!AW16/1000000</f>
        <v>0</v>
      </c>
      <c r="K47" s="462"/>
      <c r="L47" s="463"/>
      <c r="M47" s="181"/>
      <c r="N47" s="181"/>
      <c r="T47" s="181"/>
    </row>
    <row r="48" spans="1:20" s="3" customFormat="1" outlineLevel="1" x14ac:dyDescent="0.35">
      <c r="A48" s="447"/>
      <c r="B48" s="447"/>
      <c r="C48" s="467"/>
      <c r="D48" s="467"/>
      <c r="E48" s="1302"/>
      <c r="G48" s="399" t="str">
        <f>'NoPlay-Cap Table'!M6</f>
        <v>Series E-1</v>
      </c>
      <c r="H48" s="468">
        <f>IF(ISNONTEXT('NoPlay-Cap Table'!BD$14)=TRUE,'NoPlay-Cap Table'!BD$14,0)</f>
        <v>0</v>
      </c>
      <c r="I48" s="469">
        <f>-'Cap Table'!BD20*'Cap Table'!BD16/1000000</f>
        <v>0</v>
      </c>
      <c r="J48" s="470">
        <f>-'Cap Table'!BE20*'Cap Table'!BE16/1000000</f>
        <v>0</v>
      </c>
      <c r="K48" s="471"/>
      <c r="L48" s="472"/>
      <c r="M48" s="181"/>
      <c r="N48" s="181"/>
      <c r="T48" s="181"/>
    </row>
    <row r="49" spans="1:20" s="3" customFormat="1" outlineLevel="1" x14ac:dyDescent="0.35">
      <c r="A49" s="447"/>
      <c r="B49" s="447"/>
      <c r="C49" s="467"/>
      <c r="D49" s="467"/>
      <c r="E49" s="1302"/>
      <c r="G49" s="399" t="str">
        <f>'NoPlay-Cap Table'!M7</f>
        <v>Series F</v>
      </c>
      <c r="H49" s="468">
        <f>IF(ISNONTEXT('NoPlay-Cap Table'!BL$14)=TRUE,'NoPlay-Cap Table'!BL$14,0)</f>
        <v>0</v>
      </c>
      <c r="I49" s="469">
        <f>-'Cap Table'!BL20*'Cap Table'!BL16/1000000</f>
        <v>0</v>
      </c>
      <c r="J49" s="470">
        <f>-'Cap Table'!BM20*'Cap Table'!BM16/1000000</f>
        <v>0</v>
      </c>
      <c r="K49" s="471"/>
      <c r="L49" s="472"/>
      <c r="M49" s="181"/>
      <c r="N49" s="181"/>
      <c r="T49" s="181"/>
    </row>
    <row r="50" spans="1:20" s="3" customFormat="1" ht="16" outlineLevel="1" thickBot="1" x14ac:dyDescent="0.4">
      <c r="A50" s="447"/>
      <c r="B50" s="447"/>
      <c r="C50" s="31"/>
      <c r="D50" s="467"/>
      <c r="E50" s="1302"/>
      <c r="G50" s="409" t="str">
        <f>'NoPlay-Cap Table'!M8</f>
        <v>Series G</v>
      </c>
      <c r="H50" s="473">
        <f>IF(ISNONTEXT('NoPlay-Cap Table'!BT$14)=TRUE,'NoPlay-Cap Table'!BT$14,0)</f>
        <v>0</v>
      </c>
      <c r="I50" s="474">
        <f>-'Cap Table'!BT20*'Cap Table'!BT16/1000000</f>
        <v>0</v>
      </c>
      <c r="J50" s="475">
        <f>-'Cap Table'!BU20*'Cap Table'!BU16/1000000</f>
        <v>0</v>
      </c>
      <c r="K50" s="476"/>
      <c r="L50" s="477"/>
      <c r="M50" s="181"/>
      <c r="N50" s="181"/>
      <c r="Q50" s="820"/>
      <c r="T50" s="181"/>
    </row>
    <row r="51" spans="1:20" s="3" customFormat="1" outlineLevel="1" x14ac:dyDescent="0.35">
      <c r="A51" s="447"/>
      <c r="B51" s="447"/>
      <c r="C51" s="31"/>
      <c r="D51" s="467"/>
      <c r="E51" s="1302"/>
      <c r="G51" s="439"/>
      <c r="H51" s="478"/>
      <c r="I51" s="479" t="s">
        <v>124</v>
      </c>
      <c r="J51" s="478"/>
      <c r="K51" s="478"/>
      <c r="L51" s="478"/>
      <c r="M51" s="181"/>
      <c r="N51" s="181"/>
      <c r="Q51" s="421"/>
      <c r="T51" s="181"/>
    </row>
    <row r="52" spans="1:20" s="3" customFormat="1" ht="16" thickBot="1" x14ac:dyDescent="0.4">
      <c r="A52" s="447"/>
      <c r="B52" s="447"/>
      <c r="D52" s="421"/>
      <c r="E52" s="421"/>
      <c r="F52" s="421"/>
      <c r="G52" s="421"/>
      <c r="H52" s="421"/>
      <c r="I52" s="421"/>
      <c r="J52" s="421"/>
      <c r="K52" s="421"/>
      <c r="L52" s="421"/>
      <c r="M52" s="181"/>
      <c r="N52" s="181"/>
      <c r="Q52" s="421"/>
      <c r="T52" s="181"/>
    </row>
    <row r="53" spans="1:20" s="3" customFormat="1" outlineLevel="1" collapsed="1" x14ac:dyDescent="0.35">
      <c r="A53" s="447"/>
      <c r="B53" s="447"/>
      <c r="C53" s="31" t="s">
        <v>125</v>
      </c>
      <c r="H53" s="419" t="s">
        <v>105</v>
      </c>
      <c r="M53" s="181"/>
      <c r="N53" s="181"/>
      <c r="Q53" s="480"/>
      <c r="T53" s="181"/>
    </row>
    <row r="54" spans="1:20" s="3" customFormat="1" outlineLevel="1" x14ac:dyDescent="0.35">
      <c r="A54" s="447"/>
      <c r="B54" s="447"/>
      <c r="C54" s="422" t="s">
        <v>106</v>
      </c>
      <c r="D54" s="443">
        <f>D17</f>
        <v>0</v>
      </c>
      <c r="E54" s="443">
        <f t="shared" ref="E54:L54" si="10">E17</f>
        <v>0</v>
      </c>
      <c r="F54" s="443">
        <f t="shared" si="10"/>
        <v>0</v>
      </c>
      <c r="G54" s="444" t="e">
        <f t="shared" si="10"/>
        <v>#DIV/0!</v>
      </c>
      <c r="H54" s="481" t="e">
        <f t="shared" si="10"/>
        <v>#DIV/0!</v>
      </c>
      <c r="I54" s="445" t="e">
        <f t="shared" si="10"/>
        <v>#DIV/0!</v>
      </c>
      <c r="J54" s="443" t="e">
        <f t="shared" si="10"/>
        <v>#DIV/0!</v>
      </c>
      <c r="K54" s="443" t="e">
        <f t="shared" si="10"/>
        <v>#DIV/0!</v>
      </c>
      <c r="L54" s="443" t="e">
        <f t="shared" si="10"/>
        <v>#DIV/0!</v>
      </c>
      <c r="M54" s="181"/>
      <c r="N54" s="181"/>
      <c r="Q54" s="408"/>
      <c r="T54" s="181"/>
    </row>
    <row r="55" spans="1:20" s="430" customFormat="1" outlineLevel="1" x14ac:dyDescent="0.35">
      <c r="A55" s="482"/>
      <c r="B55" s="482"/>
      <c r="C55" s="424" t="s">
        <v>107</v>
      </c>
      <c r="D55" s="425" t="e">
        <f t="shared" ref="D55:L55" si="11">D54/$H$17-1</f>
        <v>#DIV/0!</v>
      </c>
      <c r="E55" s="425" t="e">
        <f t="shared" si="11"/>
        <v>#DIV/0!</v>
      </c>
      <c r="F55" s="425" t="e">
        <f t="shared" si="11"/>
        <v>#DIV/0!</v>
      </c>
      <c r="G55" s="426" t="e">
        <f t="shared" si="11"/>
        <v>#DIV/0!</v>
      </c>
      <c r="H55" s="427" t="e">
        <f t="shared" si="11"/>
        <v>#DIV/0!</v>
      </c>
      <c r="I55" s="428" t="e">
        <f t="shared" si="11"/>
        <v>#DIV/0!</v>
      </c>
      <c r="J55" s="425" t="e">
        <f t="shared" si="11"/>
        <v>#DIV/0!</v>
      </c>
      <c r="K55" s="425" t="e">
        <f t="shared" si="11"/>
        <v>#DIV/0!</v>
      </c>
      <c r="L55" s="425" t="e">
        <f t="shared" si="11"/>
        <v>#DIV/0!</v>
      </c>
      <c r="M55" s="483"/>
      <c r="N55" s="483"/>
      <c r="Q55" s="776"/>
      <c r="T55" s="483"/>
    </row>
    <row r="56" spans="1:20" s="3" customFormat="1" outlineLevel="1" collapsed="1" x14ac:dyDescent="0.35">
      <c r="A56" s="447"/>
      <c r="B56" s="447"/>
      <c r="C56" s="431" t="s">
        <v>108</v>
      </c>
      <c r="D56" s="432" t="e">
        <f>IF(((D54*(1-'Transaction Expenses'!$F$6)-('Transaction Expenses'!$D$6/1000000))&lt;=$D$43),
IF(((D54*(1-'Transaction Expenses'!$F$6)-('Transaction Expenses'!$D$6/1000000))&lt;=#REF!),
IFERROR(((D54*(1-'Transaction Expenses'!$F$6)-('Transaction Expenses'!$D$6/1000000))*(#REF!/#REF!)),
IFERROR((#REF!+((D54*(1-'Transaction Expenses'!$F$6)-('Transaction Expenses'!$D$6/1000000))-#REF!)*(#REF!/#REF!)),
(SUM(#REF!)+((D54*(1-'Transaction Expenses'!$F$6)-('Transaction Expenses'!$D$6/1000000))-SUM(#REF!))*(#REF!/#REF!)))),
IF((D54*(1-'Transaction Expenses'!$F$6)-('Transaction Expenses'!$D$6/1000000))&lt;=(SUM(#REF!)),
(#REF!+((D54*(1-'Transaction Expenses'!$F$6)-('Transaction Expenses'!$D$6/1000000))-#REF!)*(#REF!/#REF!)),
(SUM(#REF!)+((D54*(1-'Transaction Expenses'!$F$6)-('Transaction Expenses'!$D$6/1000000))-SUM(#REF!))*(#REF!/#REF!)))),
($D$43*($D$44/$D$43)+((D54*(1-'Transaction Expenses'!$F$6)-('Transaction Expenses'!$D$6/1000000))-$D$43)*$D$46))</f>
        <v>#REF!</v>
      </c>
      <c r="E56" s="432" t="e">
        <f>IF(((E54*(1-'Transaction Expenses'!$F$6)-('Transaction Expenses'!$D$6/1000000))&lt;=$D$43),
IF(((E54*(1-'Transaction Expenses'!$F$6)-('Transaction Expenses'!$D$6/1000000))&lt;=#REF!),
IFERROR(((E54*(1-'Transaction Expenses'!$F$6)-('Transaction Expenses'!$D$6/1000000))*(#REF!/#REF!)),
IFERROR((#REF!+((E54*(1-'Transaction Expenses'!$F$6)-('Transaction Expenses'!$D$6/1000000))-#REF!)*(#REF!/#REF!)),
(SUM(#REF!)+((E54*(1-'Transaction Expenses'!$F$6)-('Transaction Expenses'!$D$6/1000000))-SUM(#REF!))*(#REF!/#REF!)))),
IF((E54*(1-'Transaction Expenses'!$F$6)-('Transaction Expenses'!$D$6/1000000))&lt;=(SUM(#REF!)),
(#REF!+((E54*(1-'Transaction Expenses'!$F$6)-('Transaction Expenses'!$D$6/1000000))-#REF!)*(#REF!/#REF!)),
(SUM(#REF!)+((E54*(1-'Transaction Expenses'!$F$6)-('Transaction Expenses'!$D$6/1000000))-SUM(#REF!))*(#REF!/#REF!)))),
($D$43*($D$44/$D$43)+((E54*(1-'Transaction Expenses'!$F$6)-('Transaction Expenses'!$D$6/1000000))-$D$43)*$D$46))</f>
        <v>#REF!</v>
      </c>
      <c r="F56" s="432" t="e">
        <f>IF(((F54*(1-'Transaction Expenses'!$F$6)-('Transaction Expenses'!$D$6/1000000))&lt;=$D$43),
IF(((F54*(1-'Transaction Expenses'!$F$6)-('Transaction Expenses'!$D$6/1000000))&lt;=#REF!),
IFERROR(((F54*(1-'Transaction Expenses'!$F$6)-('Transaction Expenses'!$D$6/1000000))*(#REF!/#REF!)),
IFERROR((#REF!+((F54*(1-'Transaction Expenses'!$F$6)-('Transaction Expenses'!$D$6/1000000))-#REF!)*(#REF!/#REF!)),
(SUM(#REF!)+((F54*(1-'Transaction Expenses'!$F$6)-('Transaction Expenses'!$D$6/1000000))-SUM(#REF!))*(#REF!/#REF!)))),
IF((F54*(1-'Transaction Expenses'!$F$6)-('Transaction Expenses'!$D$6/1000000))&lt;=(SUM(#REF!)),
(#REF!+((F54*(1-'Transaction Expenses'!$F$6)-('Transaction Expenses'!$D$6/1000000))-#REF!)*(#REF!/#REF!)),
(SUM(#REF!)+((F54*(1-'Transaction Expenses'!$F$6)-('Transaction Expenses'!$D$6/1000000))-SUM(#REF!))*(#REF!/#REF!)))),
($D$43*($D$44/$D$43)+((F54*(1-'Transaction Expenses'!$F$6)-('Transaction Expenses'!$D$6/1000000))-$D$43)*$D$46))</f>
        <v>#REF!</v>
      </c>
      <c r="G56" s="432" t="e">
        <f>IF(((G54*(1-'Transaction Expenses'!$F$6)-('Transaction Expenses'!$D$6/1000000))&lt;=$D$43),
IF(((G54*(1-'Transaction Expenses'!$F$6)-('Transaction Expenses'!$D$6/1000000))&lt;=#REF!),
IFERROR(((G54*(1-'Transaction Expenses'!$F$6)-('Transaction Expenses'!$D$6/1000000))*(#REF!/#REF!)),
IFERROR((#REF!+((G54*(1-'Transaction Expenses'!$F$6)-('Transaction Expenses'!$D$6/1000000))-#REF!)*(#REF!/#REF!)),
(SUM(#REF!)+((G54*(1-'Transaction Expenses'!$F$6)-('Transaction Expenses'!$D$6/1000000))-SUM(#REF!))*(#REF!/#REF!)))),
IF((G54*(1-'Transaction Expenses'!$F$6)-('Transaction Expenses'!$D$6/1000000))&lt;=(SUM(#REF!)),
(#REF!+((G54*(1-'Transaction Expenses'!$F$6)-('Transaction Expenses'!$D$6/1000000))-#REF!)*(#REF!/#REF!)),
(SUM(#REF!)+((G54*(1-'Transaction Expenses'!$F$6)-('Transaction Expenses'!$D$6/1000000))-SUM(#REF!))*(#REF!/#REF!)))),
($D$43*($D$44/$D$43)+((G54*(1-'Transaction Expenses'!$F$6)-('Transaction Expenses'!$D$6/1000000))-$D$43)*$D$46))</f>
        <v>#DIV/0!</v>
      </c>
      <c r="H56" s="433" t="e">
        <f>IF(((H54*(1-'Transaction Expenses'!$F$6)-('Transaction Expenses'!$D$6/1000000))&lt;=$D$43),
IF(((H54*(1-'Transaction Expenses'!$F$6)-('Transaction Expenses'!$D$6/1000000))&lt;=#REF!),
IFERROR(((H54*(1-'Transaction Expenses'!$F$6)-('Transaction Expenses'!$D$6/1000000))*(#REF!/#REF!)),
IFERROR((#REF!+((H54*(1-'Transaction Expenses'!$F$6)-('Transaction Expenses'!$D$6/1000000))-#REF!)*(#REF!/#REF!)),
(SUM(#REF!)+((H54*(1-'Transaction Expenses'!$F$6)-('Transaction Expenses'!$D$6/1000000))-SUM(#REF!))*(#REF!/#REF!)))),
IF((H54*(1-'Transaction Expenses'!$F$6)-('Transaction Expenses'!$D$6/1000000))&lt;=(SUM(#REF!)),
(#REF!+((H54*(1-'Transaction Expenses'!$F$6)-('Transaction Expenses'!$D$6/1000000))-#REF!)*(#REF!/#REF!)),
(SUM(#REF!)+((H54*(1-'Transaction Expenses'!$F$6)-('Transaction Expenses'!$D$6/1000000))-SUM(#REF!))*(#REF!/#REF!)))),
($D$43*($D$44/$D$43)+((H54*(1-'Transaction Expenses'!$F$6)-('Transaction Expenses'!$D$6/1000000))-$D$43)*$D$46))</f>
        <v>#DIV/0!</v>
      </c>
      <c r="I56" s="432" t="e">
        <f>IF(((I54*(1-'Transaction Expenses'!$F$6)-('Transaction Expenses'!$D$6/1000000))&lt;=$D$43),
IF(((I54*(1-'Transaction Expenses'!$F$6)-('Transaction Expenses'!$D$6/1000000))&lt;=#REF!),
IFERROR(((I54*(1-'Transaction Expenses'!$F$6)-('Transaction Expenses'!$D$6/1000000))*(#REF!/#REF!)),
IFERROR((#REF!+((I54*(1-'Transaction Expenses'!$F$6)-('Transaction Expenses'!$D$6/1000000))-#REF!)*(#REF!/#REF!)),
(SUM(#REF!)+((I54*(1-'Transaction Expenses'!$F$6)-('Transaction Expenses'!$D$6/1000000))-SUM(#REF!))*(#REF!/#REF!)))),
IF((I54*(1-'Transaction Expenses'!$F$6)-('Transaction Expenses'!$D$6/1000000))&lt;=(SUM(#REF!)),
(#REF!+((I54*(1-'Transaction Expenses'!$F$6)-('Transaction Expenses'!$D$6/1000000))-#REF!)*(#REF!/#REF!)),
(SUM(#REF!)+((I54*(1-'Transaction Expenses'!$F$6)-('Transaction Expenses'!$D$6/1000000))-SUM(#REF!))*(#REF!/#REF!)))),
($D$43*($D$44/$D$43)+((I54*(1-'Transaction Expenses'!$F$6)-('Transaction Expenses'!$D$6/1000000))-$D$43)*$D$46))</f>
        <v>#DIV/0!</v>
      </c>
      <c r="J56" s="432" t="e">
        <f>IF(((J54*(1-'Transaction Expenses'!$F$6)-('Transaction Expenses'!$D$6/1000000))&lt;=$D$43),
IF(((J54*(1-'Transaction Expenses'!$F$6)-('Transaction Expenses'!$D$6/1000000))&lt;=#REF!),
IFERROR(((J54*(1-'Transaction Expenses'!$F$6)-('Transaction Expenses'!$D$6/1000000))*(#REF!/#REF!)),
IFERROR((#REF!+((J54*(1-'Transaction Expenses'!$F$6)-('Transaction Expenses'!$D$6/1000000))-#REF!)*(#REF!/#REF!)),
(SUM(#REF!)+((J54*(1-'Transaction Expenses'!$F$6)-('Transaction Expenses'!$D$6/1000000))-SUM(#REF!))*(#REF!/#REF!)))),
IF((J54*(1-'Transaction Expenses'!$F$6)-('Transaction Expenses'!$D$6/1000000))&lt;=(SUM(#REF!)),
(#REF!+((J54*(1-'Transaction Expenses'!$F$6)-('Transaction Expenses'!$D$6/1000000))-#REF!)*(#REF!/#REF!)),
(SUM(#REF!)+((J54*(1-'Transaction Expenses'!$F$6)-('Transaction Expenses'!$D$6/1000000))-SUM(#REF!))*(#REF!/#REF!)))),
($D$43*($D$44/$D$43)+((J54*(1-'Transaction Expenses'!$F$6)-('Transaction Expenses'!$D$6/1000000))-$D$43)*$D$46))</f>
        <v>#DIV/0!</v>
      </c>
      <c r="K56" s="432" t="e">
        <f>IF(((K54*(1-'Transaction Expenses'!$F$6)-('Transaction Expenses'!$D$6/1000000))&lt;=$D$43),
IF(((K54*(1-'Transaction Expenses'!$F$6)-('Transaction Expenses'!$D$6/1000000))&lt;=#REF!),
IFERROR(((K54*(1-'Transaction Expenses'!$F$6)-('Transaction Expenses'!$D$6/1000000))*(#REF!/#REF!)),
IFERROR((#REF!+((K54*(1-'Transaction Expenses'!$F$6)-('Transaction Expenses'!$D$6/1000000))-#REF!)*(#REF!/#REF!)),
(SUM(#REF!)+((K54*(1-'Transaction Expenses'!$F$6)-('Transaction Expenses'!$D$6/1000000))-SUM(#REF!))*(#REF!/#REF!)))),
IF((K54*(1-'Transaction Expenses'!$F$6)-('Transaction Expenses'!$D$6/1000000))&lt;=(SUM(#REF!)),
(#REF!+((K54*(1-'Transaction Expenses'!$F$6)-('Transaction Expenses'!$D$6/1000000))-#REF!)*(#REF!/#REF!)),
(SUM(#REF!)+((K54*(1-'Transaction Expenses'!$F$6)-('Transaction Expenses'!$D$6/1000000))-SUM(#REF!))*(#REF!/#REF!)))),
($D$43*($D$44/$D$43)+((K54*(1-'Transaction Expenses'!$F$6)-('Transaction Expenses'!$D$6/1000000))-$D$43)*$D$46))</f>
        <v>#DIV/0!</v>
      </c>
      <c r="L56" s="432" t="e">
        <f>IF(((L54*(1-'Transaction Expenses'!$F$6)-('Transaction Expenses'!$D$6/1000000))&lt;=$D$43),
IF(((L54*(1-'Transaction Expenses'!$F$6)-('Transaction Expenses'!$D$6/1000000))&lt;=#REF!),
IFERROR(((L54*(1-'Transaction Expenses'!$F$6)-('Transaction Expenses'!$D$6/1000000))*(#REF!/#REF!)),
IFERROR((#REF!+((L54*(1-'Transaction Expenses'!$F$6)-('Transaction Expenses'!$D$6/1000000))-#REF!)*(#REF!/#REF!)),
(SUM(#REF!)+((L54*(1-'Transaction Expenses'!$F$6)-('Transaction Expenses'!$D$6/1000000))-SUM(#REF!))*(#REF!/#REF!)))),
IF((L54*(1-'Transaction Expenses'!$F$6)-('Transaction Expenses'!$D$6/1000000))&lt;=(SUM(#REF!)),
(#REF!+((L54*(1-'Transaction Expenses'!$F$6)-('Transaction Expenses'!$D$6/1000000))-#REF!)*(#REF!/#REF!)),
(SUM(#REF!)+((L54*(1-'Transaction Expenses'!$F$6)-('Transaction Expenses'!$D$6/1000000))-SUM(#REF!))*(#REF!/#REF!)))),
($D$43*($D$44/$D$43)+((L54*(1-'Transaction Expenses'!$F$6)-('Transaction Expenses'!$D$6/1000000))-$D$43)*$D$46))</f>
        <v>#DIV/0!</v>
      </c>
      <c r="M56" s="181"/>
      <c r="N56" s="181"/>
      <c r="Q56" s="408"/>
      <c r="T56" s="181"/>
    </row>
    <row r="57" spans="1:20" s="430" customFormat="1" outlineLevel="1" x14ac:dyDescent="0.35">
      <c r="A57" s="482"/>
      <c r="B57" s="482"/>
      <c r="C57" s="424" t="s">
        <v>126</v>
      </c>
      <c r="D57" s="484" t="e">
        <f>D56-D19</f>
        <v>#REF!</v>
      </c>
      <c r="E57" s="484" t="e">
        <f t="shared" ref="E57:L57" si="12">E56-E19</f>
        <v>#REF!</v>
      </c>
      <c r="F57" s="484" t="e">
        <f t="shared" si="12"/>
        <v>#REF!</v>
      </c>
      <c r="G57" s="484" t="e">
        <f t="shared" si="12"/>
        <v>#DIV/0!</v>
      </c>
      <c r="H57" s="485" t="e">
        <f t="shared" si="12"/>
        <v>#DIV/0!</v>
      </c>
      <c r="I57" s="484" t="e">
        <f t="shared" si="12"/>
        <v>#DIV/0!</v>
      </c>
      <c r="J57" s="484" t="e">
        <f t="shared" si="12"/>
        <v>#DIV/0!</v>
      </c>
      <c r="K57" s="484" t="e">
        <f t="shared" si="12"/>
        <v>#DIV/0!</v>
      </c>
      <c r="L57" s="484" t="e">
        <f t="shared" si="12"/>
        <v>#DIV/0!</v>
      </c>
      <c r="M57" s="483"/>
      <c r="N57" s="483"/>
      <c r="Q57" s="486"/>
      <c r="T57" s="483"/>
    </row>
    <row r="58" spans="1:20" s="3" customFormat="1" outlineLevel="1" collapsed="1" x14ac:dyDescent="0.35">
      <c r="A58" s="447"/>
      <c r="B58" s="447"/>
      <c r="C58" s="422" t="s">
        <v>109</v>
      </c>
      <c r="D58" s="434" t="e">
        <f t="shared" ref="D58:L58" si="13">D56/$D$42</f>
        <v>#REF!</v>
      </c>
      <c r="E58" s="434" t="e">
        <f t="shared" si="13"/>
        <v>#REF!</v>
      </c>
      <c r="F58" s="434" t="e">
        <f t="shared" si="13"/>
        <v>#REF!</v>
      </c>
      <c r="G58" s="435" t="e">
        <f t="shared" si="13"/>
        <v>#DIV/0!</v>
      </c>
      <c r="H58" s="436" t="e">
        <f t="shared" si="13"/>
        <v>#DIV/0!</v>
      </c>
      <c r="I58" s="437" t="e">
        <f t="shared" si="13"/>
        <v>#DIV/0!</v>
      </c>
      <c r="J58" s="434" t="e">
        <f t="shared" si="13"/>
        <v>#DIV/0!</v>
      </c>
      <c r="K58" s="434" t="e">
        <f t="shared" si="13"/>
        <v>#DIV/0!</v>
      </c>
      <c r="L58" s="434" t="e">
        <f t="shared" si="13"/>
        <v>#DIV/0!</v>
      </c>
      <c r="M58" s="181"/>
      <c r="N58" s="181"/>
      <c r="Q58" s="408"/>
      <c r="T58" s="181"/>
    </row>
    <row r="59" spans="1:20" s="430" customFormat="1" outlineLevel="1" x14ac:dyDescent="0.35">
      <c r="A59" s="482"/>
      <c r="B59" s="482"/>
      <c r="C59" s="424" t="s">
        <v>126</v>
      </c>
      <c r="D59" s="487" t="e">
        <f>D58-D20</f>
        <v>#REF!</v>
      </c>
      <c r="E59" s="487" t="e">
        <f t="shared" ref="E59:L59" si="14">E58-E20</f>
        <v>#REF!</v>
      </c>
      <c r="F59" s="487" t="e">
        <f t="shared" si="14"/>
        <v>#REF!</v>
      </c>
      <c r="G59" s="487" t="e">
        <f t="shared" si="14"/>
        <v>#DIV/0!</v>
      </c>
      <c r="H59" s="488" t="e">
        <f t="shared" si="14"/>
        <v>#DIV/0!</v>
      </c>
      <c r="I59" s="487" t="e">
        <f t="shared" si="14"/>
        <v>#DIV/0!</v>
      </c>
      <c r="J59" s="487" t="e">
        <f t="shared" si="14"/>
        <v>#DIV/0!</v>
      </c>
      <c r="K59" s="487" t="e">
        <f t="shared" si="14"/>
        <v>#DIV/0!</v>
      </c>
      <c r="L59" s="487" t="e">
        <f t="shared" si="14"/>
        <v>#DIV/0!</v>
      </c>
      <c r="M59" s="483"/>
      <c r="N59" s="483"/>
      <c r="Q59" s="489"/>
      <c r="T59" s="483"/>
    </row>
    <row r="60" spans="1:20" s="3" customFormat="1" outlineLevel="1" collapsed="1" x14ac:dyDescent="0.35">
      <c r="A60" s="447"/>
      <c r="B60" s="447"/>
      <c r="C60" s="446">
        <f ca="1">C21</f>
        <v>46752</v>
      </c>
      <c r="D60" s="769" t="str">
        <f>IFERROR(IF(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60)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60)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60)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60)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60)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60)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60)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60)))))))))))&lt;0,"Negative",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60)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60)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60)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60)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60)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60)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60)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60)))))))))))),"Negative")</f>
        <v>Negative</v>
      </c>
      <c r="E60" s="769" t="str">
        <f>IFERROR(IF(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60)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60)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60)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60)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60)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60)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60)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60)))))))))))&lt;0,"Negative",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60)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60)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60)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60)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60)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60)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60)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60)))))))))))),"Negative")</f>
        <v>Negative</v>
      </c>
      <c r="F60" s="769" t="str">
        <f>IFERROR(IF(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60)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60)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60)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60)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60)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60)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60)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60)))))))))))&lt;0,"Negative",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60)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60)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60)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60)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60)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60)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60)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60)))))))))))),"Negative")</f>
        <v>Negative</v>
      </c>
      <c r="G60" s="770" t="str">
        <f>IFERROR(IF(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60)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60)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60)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60)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60)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60)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60)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60)))))))))))&lt;0,"Negative",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60)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60)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60)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60)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60)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60)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60)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60)))))))))))),"Negative")</f>
        <v>Negative</v>
      </c>
      <c r="H60" s="771" t="str">
        <f>IFERROR(IF(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60)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60)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60)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60)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60)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60)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60)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60)))))))))))&lt;0,"Negative",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60)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60)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60)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60)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60)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60)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60)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60)))))))))))),"Negative")</f>
        <v>Negative</v>
      </c>
      <c r="I60" s="772" t="str">
        <f>IFERROR(IF(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60)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60)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60)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60)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60)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60)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60)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60)))))))))))&lt;0,"Negative",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60)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60)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60)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60)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60)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60)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60)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60)))))))))))),"Negative")</f>
        <v>Negative</v>
      </c>
      <c r="J60" s="769" t="str">
        <f>IFERROR(IF(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60)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60)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60)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60)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60)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60)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60)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60)))))))))))&lt;0,"Negative",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60)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60)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60)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60)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60)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60)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60)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60)))))))))))),"Negative")</f>
        <v>Negative</v>
      </c>
      <c r="K60" s="769" t="str">
        <f>IFERROR(IF(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60)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60)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60)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60)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60)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60)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60)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60)))))))))))&lt;0,"Negative",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60)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60)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60)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60)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60)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60)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60)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60)))))))))))),"Negative")</f>
        <v>Negative</v>
      </c>
      <c r="L60" s="769" t="str">
        <f>IFERROR(
IF(
IF(SUM($I$42:$J$42)&lt;&gt;0,
XIRR(CHOOSE({1,2,3,4,5,6,7,8,9,10},SUM($I$42:$J$42),SUM($I$43:$J$43),SUM($I$44:$J$44),SUM($I$45:$J$45),SUM($I$46:$J$46),SUM($I$47:$J$47),SUM($I$48:$J$48),SUM($I$49:$J$49),SUM($I$50:$J$50),L$56),
CHOOSE({1,2,3,4,5,6,7,8,9,10},$H$42,$H$43,$H$44,$H$45,$H$46,$H$47,$H$48,$H$49,$H$50,$C60),
IRR(CHOOSE({1,2,3,4,5,6,7,8,9,10},SUM($I$42:$J$42),SUM($I$43:$J$43),SUM($I$44:$J$44),SUM($I$45:$J$45),SUM($I$46:$J$46),SUM($I$47:$J$47),SUM($I$48:$J$48),SUM($I$49:$J$49),SUM($I$50:$J$50),L$56))),
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60)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60)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60)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60)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60)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60)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60)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60)))))))))))&lt;0,"Negative",IF(SUM($I$42:$J$42)&lt;&gt;0,XIRR(CHOOSE({1,2,3,4,5,6,7,8,9,10},SUM($I$42:$J$42),SUM($I$43:$J$43),SUM($I$44:$J$44),SUM($I$45:$J$45),SUM($I$46:$J$46),SUM($I$47:$J$47),SUM($I$48:$J$48),SUM($I$49:$J$49),SUM($I$50:$J$50),L$56),CHOOSE({1,2,3,4,5,6,7,8,9,10},$H$42,$H$43,$H$44,$H$45,$H$46,$H$47,$H$48,$H$49,$H$50,$C60),IRR(CHOOSE({1,2,3,4,5,6,7,8,9,10},SUM($I$42:$J$42),SUM($I$43:$J$43),SUM($I$44:$J$44),SUM($I$45:$J$45),SUM($I$46:$J$46),SUM($I$47:$J$47),SUM($I$48:$J$48),SUM($I$49:$J$49),SUM($I$50:$J$50),L$56))),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60)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60)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60)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60)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60)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60)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60)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60)))))))))))),
"Negative")</f>
        <v>Negative</v>
      </c>
      <c r="M60" s="181"/>
      <c r="N60" s="181"/>
      <c r="T60" s="181"/>
    </row>
    <row r="61" spans="1:20" s="3" customFormat="1" outlineLevel="1" x14ac:dyDescent="0.35">
      <c r="A61" s="447"/>
      <c r="B61" s="447"/>
      <c r="C61" s="446">
        <f ca="1">C22</f>
        <v>47118</v>
      </c>
      <c r="D61" s="769" t="str">
        <f>IFERROR(IF(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61)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61)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61)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61)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61)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61)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61)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61)))))))))))&lt;0,"Negative",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61)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61)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61)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61)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61)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61)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61)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61)))))))))))),"Negative")</f>
        <v>Negative</v>
      </c>
      <c r="E61" s="769" t="str">
        <f>IFERROR(IF(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61)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61)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61)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61)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61)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61)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61)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61)))))))))))&lt;0,"Negative",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61)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61)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61)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61)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61)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61)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61)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61)))))))))))),"Negative")</f>
        <v>Negative</v>
      </c>
      <c r="F61" s="769" t="str">
        <f>IFERROR(IF(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61)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61)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61)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61)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61)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61)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61)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61)))))))))))&lt;0,"Negative",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61)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61)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61)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61)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61)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61)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61)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61)))))))))))),"Negative")</f>
        <v>Negative</v>
      </c>
      <c r="G61" s="770" t="str">
        <f>IFERROR(IF(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61)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61)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61)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61)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61)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61)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61)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61)))))))))))&lt;0,"Negative",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61)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61)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61)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61)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61)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61)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61)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61)))))))))))),"Negative")</f>
        <v>Negative</v>
      </c>
      <c r="H61" s="771" t="str">
        <f>IFERROR(IF(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61)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61)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61)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61)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61)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61)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61)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61)))))))))))&lt;0,"Negative",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61)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61)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61)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61)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61)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61)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61)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61)))))))))))),"Negative")</f>
        <v>Negative</v>
      </c>
      <c r="I61" s="772" t="str">
        <f>IFERROR(IF(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61)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61)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61)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61)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61)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61)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61)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61)))))))))))&lt;0,"Negative",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61)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61)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61)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61)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61)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61)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61)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61)))))))))))),"Negative")</f>
        <v>Negative</v>
      </c>
      <c r="J61" s="769" t="str">
        <f>IFERROR(IF(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61)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61)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61)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61)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61)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61)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61)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61)))))))))))&lt;0,"Negative",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61)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61)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61)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61)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61)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61)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61)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61)))))))))))),"Negative")</f>
        <v>Negative</v>
      </c>
      <c r="K61" s="769" t="str">
        <f>IFERROR(IF(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61)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61)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61)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61)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61)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61)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61)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61)))))))))))&lt;0,"Negative",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61)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61)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61)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61)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61)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61)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61)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61)))))))))))),"Negative")</f>
        <v>Negative</v>
      </c>
      <c r="L61" s="769" t="str">
        <f>IFERROR(IF(IF(SUM($I$42:$J$42)&lt;&gt;0,XIRR(CHOOSE({1,2,3,4,5,6,7,8,9,10},SUM($I$42:$J$42),SUM($I$43:$J$43),SUM($I$44:$J$44),SUM($I$45:$J$45),SUM($I$46:$J$46),SUM($I$47:$J$47),SUM($I$48:$J$48),SUM($I$49:$J$49),SUM($I$50:$J$50),L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L$56))),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61)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61)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61)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61)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61)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61)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61)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61)))))))))))&lt;0,"Negative",IF(SUM($I$42:$J$42)&lt;&gt;0,XIRR(CHOOSE({1,2,3,4,5,6,7,8,9,10},SUM($I$42:$J$42),SUM($I$43:$J$43),SUM($I$44:$J$44),SUM($I$45:$J$45),SUM($I$46:$J$46),SUM($I$47:$J$47),SUM($I$48:$J$48),SUM($I$49:$J$49),SUM($I$50:$J$50),L$56),CHOOSE({1,2,3,4,5,6,7,8,9,10},$H$42,$H$43,$H$44,$H$45,$H$46,$H$47,$H$48,$H$49,$H$50,$C61),IRR(CHOOSE({1,2,3,4,5,6,7,8,9,10},SUM($I$42:$J$42),SUM($I$43:$J$43),SUM($I$44:$J$44),SUM($I$45:$J$45),SUM($I$46:$J$46),SUM($I$47:$J$47),SUM($I$48:$J$48),SUM($I$49:$J$49),SUM($I$50:$J$50),L$56))),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61)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61)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61)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61)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61)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61)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61)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61)))))))))))),"Negative")</f>
        <v>Negative</v>
      </c>
      <c r="M61" s="181"/>
      <c r="N61" s="181"/>
      <c r="T61" s="181"/>
    </row>
    <row r="62" spans="1:20" s="3" customFormat="1" ht="16" outlineLevel="1" thickBot="1" x14ac:dyDescent="0.4">
      <c r="A62" s="447"/>
      <c r="B62" s="447"/>
      <c r="C62" s="446">
        <f ca="1">C23</f>
        <v>47483</v>
      </c>
      <c r="D62" s="769" t="str">
        <f>IFERROR(IF(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62)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62)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62)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62)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62)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62)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62)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62)))))))))))&lt;0,"Negative",IF(SUM($I$42:$J$42)&lt;&gt;0,XIRR(CHOOSE({1,2,3,4,5,6,7,8,9,10},SUM($I$42:$J$42),SUM($I$43:$J$43),SUM($I$44:$J$44),SUM($I$45:$J$45),SUM($I$46:$J$46),SUM($I$47:$J$47),SUM($I$48:$J$48),SUM($I$49:$J$49),SUM($I$50:$J$50),D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D$56))),IF(SUM($I$43:$J$43)&lt;&gt;0,XIRR(CHOOSE({1,2,3,4,5,6,7,8,9},SUM($I$43:$J$43),SUM($I$44:$J$44),SUM($I$45:$J$45),SUM($I$46:$J$46),SUM($I$47:$J$47),SUM($I$48:$J$48),SUM($I$49:$J$49),SUM($I$50:$J$50),D$56),CHOOSE({1,2,3,4,5,6,7,8,9},$H$43,$H$44,$H$45,$H$46,$H$47,$H$48,$H$49,$H$50,$C62),IRR(CHOOSE({1,2,3,4,5,6,7,8,9,10},SUM($I$42:$J$42),SUM($I$43:$J$43),SUM($I$44:$J$44),SUM($I$45:$J$45),SUM($I$46:$J$46),SUM($I$47:$J$47),SUM($I$48:$J$48),SUM($I$49:$J$49),SUM($I$50:$J$50),D$56))),IF(SUM($I$44:$J$44)&lt;&gt;0,XIRR(CHOOSE({1,2,3,4,5,6,7,8},SUM($I$44:$J$44),SUM($I$45:$J$45),SUM($I$46:$J$46),SUM($I$47:$J$47),SUM($I$48:$J$48),SUM($I$49:$J$49),SUM($I$50:$J$50),D$56),CHOOSE({1,2,3,4,5,6,7,8},$H$44,$H$45,$H$46,$H$47,$H$48,$H$49,$H$50,$C62),IRR(CHOOSE({1,2,3,4,5,6,7,8,9,10},SUM($I$42:$J$42),SUM($I$43:$J$43),SUM($I$44:$J$44),SUM($I$45:$J$45),SUM($I$46:$J$46),SUM($I$47:$J$47),SUM($I$48:$J$48),SUM($I$49:$J$49),SUM($I$50:$J$50),D$56))),IF(SUM($I$45:$J$45)&lt;&gt;0,XIRR(CHOOSE({1,2,3,4,5,6,7},SUM($I$45:$J$45),SUM($I$46:$J$46),SUM($I$47:$J$47),SUM($I$48:$J$48),SUM($I$49:$J$49),SUM($I$50:$J$50),D$56),CHOOSE({1,2,3,4,5,6,7},$H$45,$H$46,$H$47,$H$48,$H$49,$H$50,$C62),IRR(CHOOSE({1,2,3,4,5,6,7,8,9,10},SUM($I$42:$J$42),SUM($I$43:$J$43),SUM($I$44:$J$44),SUM($I$45:$J$45),SUM($I$46:$J$46),SUM($I$47:$J$47),SUM($I$48:$J$48),SUM($I$49:$J$49),SUM($I$50:$J$50),D$56))),IF(SUM($I$46:$J$46)&lt;&gt;0,XIRR(CHOOSE({1,2,3,4,5,6},SUM($I$46:$J$46),SUM($I$47:$J$47),SUM($I$48:$J$48),SUM($I$49:$J$49),SUM($I$50:$J$50),D$56),CHOOSE({1,2,3,4,5,6},$H$46,$H$47,$H$48,$H$49,$H$50,$C62),IRR(CHOOSE({1,2,3,4,5,6,7,8,9,10},SUM($I$42:$J$42),SUM($I$43:$J$43),SUM($I$44:$J$44),SUM($I$45:$J$45),SUM($I$46:$J$46),SUM($I$47:$J$47),SUM($I$48:$J$48),SUM($I$49:$J$49),SUM($I$50:$J$50),D$56))),IF(SUM($I$47:$J$47)&lt;&gt;0,XIRR(CHOOSE({1,2,3,4,5},SUM($I$47:$J$47),SUM($I$48:$J$48),SUM($I$49:$J$49),SUM($I$50:$J$50),D$56),CHOOSE({1,2,3,4,5},$H$47,$H$48,$H$49,$H$50,$C62),IRR(CHOOSE({1,2,3,4,5,6,7,8,9,10},SUM($I$42:$J$42),SUM($I$43:$J$43),SUM($I$44:$J$44),SUM($I$45:$J$45),SUM($I$46:$J$46),SUM($I$47:$J$47),SUM($I$48:$J$48),SUM($I$49:$J$49),SUM($I$50:$J$50),D$56))),IF(SUM($I$48:$J$48)&lt;&gt;0,XIRR(CHOOSE({1,2,3,4},SUM($I$48:$J$48),SUM($I$49:$J$49),SUM($I$50:$J$50),D$56),CHOOSE({1,2,3,4},$H$48,$H$49,$H$50,$C62),IRR(CHOOSE({1,2,3,4,5,6,7,8,9,10},SUM($I$42:$J$42),SUM($I$43:$J$43),SUM($I$44:$J$44),SUM($I$45:$J$45),SUM($I$46:$J$46),SUM($I$47:$J$47),SUM($I$48:$J$48),SUM($I$49:$J$49),SUM($I$50:$J$50),D$56))),IF(SUM($I$49:$J$49)&lt;&gt;0,XIRR(CHOOSE({1,2,3},SUM($I$49:$J$49),SUM($I$50:$J$50),D$56),CHOOSE({1,2,3},$H$49,$H$50,$C62),IRR(CHOOSE({1,2,3,4,5,6,7,8,9,10},SUM($I$42:$J$42),SUM($I$43:$J$43),SUM($I$44:$J$44),SUM($I$45:$J$45),SUM($I$46:$J$46),SUM($I$47:$J$47),SUM($I$48:$J$48),SUM($I$49:$J$49),SUM($I$50:$J$50),D$56))),IF(SUM($I$50:$J$50)&lt;&gt;0,XIRR(CHOOSE({1,2},SUM($I$50:$J$50),D$56),CHOOSE({1,2},$H$50,$C62)))))))))))),"Negative")</f>
        <v>Negative</v>
      </c>
      <c r="E62" s="769" t="str">
        <f>IFERROR(IF(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62)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62)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62)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62)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62)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62)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62)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62)))))))))))&lt;0,"Negative",IF(SUM($I$42:$J$42)&lt;&gt;0,XIRR(CHOOSE({1,2,3,4,5,6,7,8,9,10},SUM($I$42:$J$42),SUM($I$43:$J$43),SUM($I$44:$J$44),SUM($I$45:$J$45),SUM($I$46:$J$46),SUM($I$47:$J$47),SUM($I$48:$J$48),SUM($I$49:$J$49),SUM($I$50:$J$50),E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E$56))),IF(SUM($I$43:$J$43)&lt;&gt;0,XIRR(CHOOSE({1,2,3,4,5,6,7,8,9},SUM($I$43:$J$43),SUM($I$44:$J$44),SUM($I$45:$J$45),SUM($I$46:$J$46),SUM($I$47:$J$47),SUM($I$48:$J$48),SUM($I$49:$J$49),SUM($I$50:$J$50),E$56),CHOOSE({1,2,3,4,5,6,7,8,9},$H$43,$H$44,$H$45,$H$46,$H$47,$H$48,$H$49,$H$50,$C62),IRR(CHOOSE({1,2,3,4,5,6,7,8,9,10},SUM($I$42:$J$42),SUM($I$43:$J$43),SUM($I$44:$J$44),SUM($I$45:$J$45),SUM($I$46:$J$46),SUM($I$47:$J$47),SUM($I$48:$J$48),SUM($I$49:$J$49),SUM($I$50:$J$50),E$56))),IF(SUM($I$44:$J$44)&lt;&gt;0,XIRR(CHOOSE({1,2,3,4,5,6,7,8},SUM($I$44:$J$44),SUM($I$45:$J$45),SUM($I$46:$J$46),SUM($I$47:$J$47),SUM($I$48:$J$48),SUM($I$49:$J$49),SUM($I$50:$J$50),E$56),CHOOSE({1,2,3,4,5,6,7,8},$H$44,$H$45,$H$46,$H$47,$H$48,$H$49,$H$50,$C62),IRR(CHOOSE({1,2,3,4,5,6,7,8,9,10},SUM($I$42:$J$42),SUM($I$43:$J$43),SUM($I$44:$J$44),SUM($I$45:$J$45),SUM($I$46:$J$46),SUM($I$47:$J$47),SUM($I$48:$J$48),SUM($I$49:$J$49),SUM($I$50:$J$50),E$56))),IF(SUM($I$45:$J$45)&lt;&gt;0,XIRR(CHOOSE({1,2,3,4,5,6,7},SUM($I$45:$J$45),SUM($I$46:$J$46),SUM($I$47:$J$47),SUM($I$48:$J$48),SUM($I$49:$J$49),SUM($I$50:$J$50),E$56),CHOOSE({1,2,3,4,5,6,7},$H$45,$H$46,$H$47,$H$48,$H$49,$H$50,$C62),IRR(CHOOSE({1,2,3,4,5,6,7,8,9,10},SUM($I$42:$J$42),SUM($I$43:$J$43),SUM($I$44:$J$44),SUM($I$45:$J$45),SUM($I$46:$J$46),SUM($I$47:$J$47),SUM($I$48:$J$48),SUM($I$49:$J$49),SUM($I$50:$J$50),E$56))),IF(SUM($I$46:$J$46)&lt;&gt;0,XIRR(CHOOSE({1,2,3,4,5,6},SUM($I$46:$J$46),SUM($I$47:$J$47),SUM($I$48:$J$48),SUM($I$49:$J$49),SUM($I$50:$J$50),E$56),CHOOSE({1,2,3,4,5,6},$H$46,$H$47,$H$48,$H$49,$H$50,$C62),IRR(CHOOSE({1,2,3,4,5,6,7,8,9,10},SUM($I$42:$J$42),SUM($I$43:$J$43),SUM($I$44:$J$44),SUM($I$45:$J$45),SUM($I$46:$J$46),SUM($I$47:$J$47),SUM($I$48:$J$48),SUM($I$49:$J$49),SUM($I$50:$J$50),E$56))),IF(SUM($I$47:$J$47)&lt;&gt;0,XIRR(CHOOSE({1,2,3,4,5},SUM($I$47:$J$47),SUM($I$48:$J$48),SUM($I$49:$J$49),SUM($I$50:$J$50),E$56),CHOOSE({1,2,3,4,5},$H$47,$H$48,$H$49,$H$50,$C62),IRR(CHOOSE({1,2,3,4,5,6,7,8,9,10},SUM($I$42:$J$42),SUM($I$43:$J$43),SUM($I$44:$J$44),SUM($I$45:$J$45),SUM($I$46:$J$46),SUM($I$47:$J$47),SUM($I$48:$J$48),SUM($I$49:$J$49),SUM($I$50:$J$50),E$56))),IF(SUM($I$48:$J$48)&lt;&gt;0,XIRR(CHOOSE({1,2,3,4},SUM($I$48:$J$48),SUM($I$49:$J$49),SUM($I$50:$J$50),E$56),CHOOSE({1,2,3,4},$H$48,$H$49,$H$50,$C62),IRR(CHOOSE({1,2,3,4,5,6,7,8,9,10},SUM($I$42:$J$42),SUM($I$43:$J$43),SUM($I$44:$J$44),SUM($I$45:$J$45),SUM($I$46:$J$46),SUM($I$47:$J$47),SUM($I$48:$J$48),SUM($I$49:$J$49),SUM($I$50:$J$50),E$56))),IF(SUM($I$49:$J$49)&lt;&gt;0,XIRR(CHOOSE({1,2,3},SUM($I$49:$J$49),SUM($I$50:$J$50),E$56),CHOOSE({1,2,3},$H$49,$H$50,$C62),IRR(CHOOSE({1,2,3,4,5,6,7,8,9,10},SUM($I$42:$J$42),SUM($I$43:$J$43),SUM($I$44:$J$44),SUM($I$45:$J$45),SUM($I$46:$J$46),SUM($I$47:$J$47),SUM($I$48:$J$48),SUM($I$49:$J$49),SUM($I$50:$J$50),E$56))),IF(SUM($I$50:$J$50)&lt;&gt;0,XIRR(CHOOSE({1,2},SUM($I$50:$J$50),E$56),CHOOSE({1,2},$H$50,$C62)))))))))))),"Negative")</f>
        <v>Negative</v>
      </c>
      <c r="F62" s="769" t="str">
        <f>IFERROR(IF(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62)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62)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62)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62)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62)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62)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62)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62)))))))))))&lt;0,"Negative",IF(SUM($I$42:$J$42)&lt;&gt;0,XIRR(CHOOSE({1,2,3,4,5,6,7,8,9,10},SUM($I$42:$J$42),SUM($I$43:$J$43),SUM($I$44:$J$44),SUM($I$45:$J$45),SUM($I$46:$J$46),SUM($I$47:$J$47),SUM($I$48:$J$48),SUM($I$49:$J$49),SUM($I$50:$J$50),F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F$56))),IF(SUM($I$43:$J$43)&lt;&gt;0,XIRR(CHOOSE({1,2,3,4,5,6,7,8,9},SUM($I$43:$J$43),SUM($I$44:$J$44),SUM($I$45:$J$45),SUM($I$46:$J$46),SUM($I$47:$J$47),SUM($I$48:$J$48),SUM($I$49:$J$49),SUM($I$50:$J$50),F$56),CHOOSE({1,2,3,4,5,6,7,8,9},$H$43,$H$44,$H$45,$H$46,$H$47,$H$48,$H$49,$H$50,$C62),IRR(CHOOSE({1,2,3,4,5,6,7,8,9,10},SUM($I$42:$J$42),SUM($I$43:$J$43),SUM($I$44:$J$44),SUM($I$45:$J$45),SUM($I$46:$J$46),SUM($I$47:$J$47),SUM($I$48:$J$48),SUM($I$49:$J$49),SUM($I$50:$J$50),F$56))),IF(SUM($I$44:$J$44)&lt;&gt;0,XIRR(CHOOSE({1,2,3,4,5,6,7,8},SUM($I$44:$J$44),SUM($I$45:$J$45),SUM($I$46:$J$46),SUM($I$47:$J$47),SUM($I$48:$J$48),SUM($I$49:$J$49),SUM($I$50:$J$50),F$56),CHOOSE({1,2,3,4,5,6,7,8},$H$44,$H$45,$H$46,$H$47,$H$48,$H$49,$H$50,$C62),IRR(CHOOSE({1,2,3,4,5,6,7,8,9,10},SUM($I$42:$J$42),SUM($I$43:$J$43),SUM($I$44:$J$44),SUM($I$45:$J$45),SUM($I$46:$J$46),SUM($I$47:$J$47),SUM($I$48:$J$48),SUM($I$49:$J$49),SUM($I$50:$J$50),F$56))),IF(SUM($I$45:$J$45)&lt;&gt;0,XIRR(CHOOSE({1,2,3,4,5,6,7},SUM($I$45:$J$45),SUM($I$46:$J$46),SUM($I$47:$J$47),SUM($I$48:$J$48),SUM($I$49:$J$49),SUM($I$50:$J$50),F$56),CHOOSE({1,2,3,4,5,6,7},$H$45,$H$46,$H$47,$H$48,$H$49,$H$50,$C62),IRR(CHOOSE({1,2,3,4,5,6,7,8,9,10},SUM($I$42:$J$42),SUM($I$43:$J$43),SUM($I$44:$J$44),SUM($I$45:$J$45),SUM($I$46:$J$46),SUM($I$47:$J$47),SUM($I$48:$J$48),SUM($I$49:$J$49),SUM($I$50:$J$50),F$56))),IF(SUM($I$46:$J$46)&lt;&gt;0,XIRR(CHOOSE({1,2,3,4,5,6},SUM($I$46:$J$46),SUM($I$47:$J$47),SUM($I$48:$J$48),SUM($I$49:$J$49),SUM($I$50:$J$50),F$56),CHOOSE({1,2,3,4,5,6},$H$46,$H$47,$H$48,$H$49,$H$50,$C62),IRR(CHOOSE({1,2,3,4,5,6,7,8,9,10},SUM($I$42:$J$42),SUM($I$43:$J$43),SUM($I$44:$J$44),SUM($I$45:$J$45),SUM($I$46:$J$46),SUM($I$47:$J$47),SUM($I$48:$J$48),SUM($I$49:$J$49),SUM($I$50:$J$50),F$56))),IF(SUM($I$47:$J$47)&lt;&gt;0,XIRR(CHOOSE({1,2,3,4,5},SUM($I$47:$J$47),SUM($I$48:$J$48),SUM($I$49:$J$49),SUM($I$50:$J$50),F$56),CHOOSE({1,2,3,4,5},$H$47,$H$48,$H$49,$H$50,$C62),IRR(CHOOSE({1,2,3,4,5,6,7,8,9,10},SUM($I$42:$J$42),SUM($I$43:$J$43),SUM($I$44:$J$44),SUM($I$45:$J$45),SUM($I$46:$J$46),SUM($I$47:$J$47),SUM($I$48:$J$48),SUM($I$49:$J$49),SUM($I$50:$J$50),F$56))),IF(SUM($I$48:$J$48)&lt;&gt;0,XIRR(CHOOSE({1,2,3,4},SUM($I$48:$J$48),SUM($I$49:$J$49),SUM($I$50:$J$50),F$56),CHOOSE({1,2,3,4},$H$48,$H$49,$H$50,$C62),IRR(CHOOSE({1,2,3,4,5,6,7,8,9,10},SUM($I$42:$J$42),SUM($I$43:$J$43),SUM($I$44:$J$44),SUM($I$45:$J$45),SUM($I$46:$J$46),SUM($I$47:$J$47),SUM($I$48:$J$48),SUM($I$49:$J$49),SUM($I$50:$J$50),F$56))),IF(SUM($I$49:$J$49)&lt;&gt;0,XIRR(CHOOSE({1,2,3},SUM($I$49:$J$49),SUM($I$50:$J$50),F$56),CHOOSE({1,2,3},$H$49,$H$50,$C62),IRR(CHOOSE({1,2,3,4,5,6,7,8,9,10},SUM($I$42:$J$42),SUM($I$43:$J$43),SUM($I$44:$J$44),SUM($I$45:$J$45),SUM($I$46:$J$46),SUM($I$47:$J$47),SUM($I$48:$J$48),SUM($I$49:$J$49),SUM($I$50:$J$50),F$56))),IF(SUM($I$50:$J$50)&lt;&gt;0,XIRR(CHOOSE({1,2},SUM($I$50:$J$50),F$56),CHOOSE({1,2},$H$50,$C62)))))))))))),"Negative")</f>
        <v>Negative</v>
      </c>
      <c r="G62" s="770" t="str">
        <f>IFERROR(IF(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62)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62)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62)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62)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62)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62)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62)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62)))))))))))&lt;0,"Negative",IF(SUM($I$42:$J$42)&lt;&gt;0,XIRR(CHOOSE({1,2,3,4,5,6,7,8,9,10},SUM($I$42:$J$42),SUM($I$43:$J$43),SUM($I$44:$J$44),SUM($I$45:$J$45),SUM($I$46:$J$46),SUM($I$47:$J$47),SUM($I$48:$J$48),SUM($I$49:$J$49),SUM($I$50:$J$50),G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G$56))),IF(SUM($I$43:$J$43)&lt;&gt;0,XIRR(CHOOSE({1,2,3,4,5,6,7,8,9},SUM($I$43:$J$43),SUM($I$44:$J$44),SUM($I$45:$J$45),SUM($I$46:$J$46),SUM($I$47:$J$47),SUM($I$48:$J$48),SUM($I$49:$J$49),SUM($I$50:$J$50),G$56),CHOOSE({1,2,3,4,5,6,7,8,9},$H$43,$H$44,$H$45,$H$46,$H$47,$H$48,$H$49,$H$50,$C62),IRR(CHOOSE({1,2,3,4,5,6,7,8,9,10},SUM($I$42:$J$42),SUM($I$43:$J$43),SUM($I$44:$J$44),SUM($I$45:$J$45),SUM($I$46:$J$46),SUM($I$47:$J$47),SUM($I$48:$J$48),SUM($I$49:$J$49),SUM($I$50:$J$50),G$56))),IF(SUM($I$44:$J$44)&lt;&gt;0,XIRR(CHOOSE({1,2,3,4,5,6,7,8},SUM($I$44:$J$44),SUM($I$45:$J$45),SUM($I$46:$J$46),SUM($I$47:$J$47),SUM($I$48:$J$48),SUM($I$49:$J$49),SUM($I$50:$J$50),G$56),CHOOSE({1,2,3,4,5,6,7,8},$H$44,$H$45,$H$46,$H$47,$H$48,$H$49,$H$50,$C62),IRR(CHOOSE({1,2,3,4,5,6,7,8,9,10},SUM($I$42:$J$42),SUM($I$43:$J$43),SUM($I$44:$J$44),SUM($I$45:$J$45),SUM($I$46:$J$46),SUM($I$47:$J$47),SUM($I$48:$J$48),SUM($I$49:$J$49),SUM($I$50:$J$50),G$56))),IF(SUM($I$45:$J$45)&lt;&gt;0,XIRR(CHOOSE({1,2,3,4,5,6,7},SUM($I$45:$J$45),SUM($I$46:$J$46),SUM($I$47:$J$47),SUM($I$48:$J$48),SUM($I$49:$J$49),SUM($I$50:$J$50),G$56),CHOOSE({1,2,3,4,5,6,7},$H$45,$H$46,$H$47,$H$48,$H$49,$H$50,$C62),IRR(CHOOSE({1,2,3,4,5,6,7,8,9,10},SUM($I$42:$J$42),SUM($I$43:$J$43),SUM($I$44:$J$44),SUM($I$45:$J$45),SUM($I$46:$J$46),SUM($I$47:$J$47),SUM($I$48:$J$48),SUM($I$49:$J$49),SUM($I$50:$J$50),G$56))),IF(SUM($I$46:$J$46)&lt;&gt;0,XIRR(CHOOSE({1,2,3,4,5,6},SUM($I$46:$J$46),SUM($I$47:$J$47),SUM($I$48:$J$48),SUM($I$49:$J$49),SUM($I$50:$J$50),G$56),CHOOSE({1,2,3,4,5,6},$H$46,$H$47,$H$48,$H$49,$H$50,$C62),IRR(CHOOSE({1,2,3,4,5,6,7,8,9,10},SUM($I$42:$J$42),SUM($I$43:$J$43),SUM($I$44:$J$44),SUM($I$45:$J$45),SUM($I$46:$J$46),SUM($I$47:$J$47),SUM($I$48:$J$48),SUM($I$49:$J$49),SUM($I$50:$J$50),G$56))),IF(SUM($I$47:$J$47)&lt;&gt;0,XIRR(CHOOSE({1,2,3,4,5},SUM($I$47:$J$47),SUM($I$48:$J$48),SUM($I$49:$J$49),SUM($I$50:$J$50),G$56),CHOOSE({1,2,3,4,5},$H$47,$H$48,$H$49,$H$50,$C62),IRR(CHOOSE({1,2,3,4,5,6,7,8,9,10},SUM($I$42:$J$42),SUM($I$43:$J$43),SUM($I$44:$J$44),SUM($I$45:$J$45),SUM($I$46:$J$46),SUM($I$47:$J$47),SUM($I$48:$J$48),SUM($I$49:$J$49),SUM($I$50:$J$50),G$56))),IF(SUM($I$48:$J$48)&lt;&gt;0,XIRR(CHOOSE({1,2,3,4},SUM($I$48:$J$48),SUM($I$49:$J$49),SUM($I$50:$J$50),G$56),CHOOSE({1,2,3,4},$H$48,$H$49,$H$50,$C62),IRR(CHOOSE({1,2,3,4,5,6,7,8,9,10},SUM($I$42:$J$42),SUM($I$43:$J$43),SUM($I$44:$J$44),SUM($I$45:$J$45),SUM($I$46:$J$46),SUM($I$47:$J$47),SUM($I$48:$J$48),SUM($I$49:$J$49),SUM($I$50:$J$50),G$56))),IF(SUM($I$49:$J$49)&lt;&gt;0,XIRR(CHOOSE({1,2,3},SUM($I$49:$J$49),SUM($I$50:$J$50),G$56),CHOOSE({1,2,3},$H$49,$H$50,$C62),IRR(CHOOSE({1,2,3,4,5,6,7,8,9,10},SUM($I$42:$J$42),SUM($I$43:$J$43),SUM($I$44:$J$44),SUM($I$45:$J$45),SUM($I$46:$J$46),SUM($I$47:$J$47),SUM($I$48:$J$48),SUM($I$49:$J$49),SUM($I$50:$J$50),G$56))),IF(SUM($I$50:$J$50)&lt;&gt;0,XIRR(CHOOSE({1,2},SUM($I$50:$J$50),G$56),CHOOSE({1,2},$H$50,$C62)))))))))))),"Negative")</f>
        <v>Negative</v>
      </c>
      <c r="H62" s="773" t="str">
        <f>IFERROR(IF(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62)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62)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62)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62)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62)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62)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62)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62)))))))))))&lt;0,"Negative",IF(SUM($I$42:$J$42)&lt;&gt;0,XIRR(CHOOSE({1,2,3,4,5,6,7,8,9,10},SUM($I$42:$J$42),SUM($I$43:$J$43),SUM($I$44:$J$44),SUM($I$45:$J$45),SUM($I$46:$J$46),SUM($I$47:$J$47),SUM($I$48:$J$48),SUM($I$49:$J$49),SUM($I$50:$J$50),H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H$56))),IF(SUM($I$43:$J$43)&lt;&gt;0,XIRR(CHOOSE({1,2,3,4,5,6,7,8,9},SUM($I$43:$J$43),SUM($I$44:$J$44),SUM($I$45:$J$45),SUM($I$46:$J$46),SUM($I$47:$J$47),SUM($I$48:$J$48),SUM($I$49:$J$49),SUM($I$50:$J$50),H$56),CHOOSE({1,2,3,4,5,6,7,8,9},$H$43,$H$44,$H$45,$H$46,$H$47,$H$48,$H$49,$H$50,$C62),IRR(CHOOSE({1,2,3,4,5,6,7,8,9,10},SUM($I$42:$J$42),SUM($I$43:$J$43),SUM($I$44:$J$44),SUM($I$45:$J$45),SUM($I$46:$J$46),SUM($I$47:$J$47),SUM($I$48:$J$48),SUM($I$49:$J$49),SUM($I$50:$J$50),H$56))),IF(SUM($I$44:$J$44)&lt;&gt;0,XIRR(CHOOSE({1,2,3,4,5,6,7,8},SUM($I$44:$J$44),SUM($I$45:$J$45),SUM($I$46:$J$46),SUM($I$47:$J$47),SUM($I$48:$J$48),SUM($I$49:$J$49),SUM($I$50:$J$50),H$56),CHOOSE({1,2,3,4,5,6,7,8},$H$44,$H$45,$H$46,$H$47,$H$48,$H$49,$H$50,$C62),IRR(CHOOSE({1,2,3,4,5,6,7,8,9,10},SUM($I$42:$J$42),SUM($I$43:$J$43),SUM($I$44:$J$44),SUM($I$45:$J$45),SUM($I$46:$J$46),SUM($I$47:$J$47),SUM($I$48:$J$48),SUM($I$49:$J$49),SUM($I$50:$J$50),H$56))),IF(SUM($I$45:$J$45)&lt;&gt;0,XIRR(CHOOSE({1,2,3,4,5,6,7},SUM($I$45:$J$45),SUM($I$46:$J$46),SUM($I$47:$J$47),SUM($I$48:$J$48),SUM($I$49:$J$49),SUM($I$50:$J$50),H$56),CHOOSE({1,2,3,4,5,6,7},$H$45,$H$46,$H$47,$H$48,$H$49,$H$50,$C62),IRR(CHOOSE({1,2,3,4,5,6,7,8,9,10},SUM($I$42:$J$42),SUM($I$43:$J$43),SUM($I$44:$J$44),SUM($I$45:$J$45),SUM($I$46:$J$46),SUM($I$47:$J$47),SUM($I$48:$J$48),SUM($I$49:$J$49),SUM($I$50:$J$50),H$56))),IF(SUM($I$46:$J$46)&lt;&gt;0,XIRR(CHOOSE({1,2,3,4,5,6},SUM($I$46:$J$46),SUM($I$47:$J$47),SUM($I$48:$J$48),SUM($I$49:$J$49),SUM($I$50:$J$50),H$56),CHOOSE({1,2,3,4,5,6},$H$46,$H$47,$H$48,$H$49,$H$50,$C62),IRR(CHOOSE({1,2,3,4,5,6,7,8,9,10},SUM($I$42:$J$42),SUM($I$43:$J$43),SUM($I$44:$J$44),SUM($I$45:$J$45),SUM($I$46:$J$46),SUM($I$47:$J$47),SUM($I$48:$J$48),SUM($I$49:$J$49),SUM($I$50:$J$50),H$56))),IF(SUM($I$47:$J$47)&lt;&gt;0,XIRR(CHOOSE({1,2,3,4,5},SUM($I$47:$J$47),SUM($I$48:$J$48),SUM($I$49:$J$49),SUM($I$50:$J$50),H$56),CHOOSE({1,2,3,4,5},$H$47,$H$48,$H$49,$H$50,$C62),IRR(CHOOSE({1,2,3,4,5,6,7,8,9,10},SUM($I$42:$J$42),SUM($I$43:$J$43),SUM($I$44:$J$44),SUM($I$45:$J$45),SUM($I$46:$J$46),SUM($I$47:$J$47),SUM($I$48:$J$48),SUM($I$49:$J$49),SUM($I$50:$J$50),H$56))),IF(SUM($I$48:$J$48)&lt;&gt;0,XIRR(CHOOSE({1,2,3,4},SUM($I$48:$J$48),SUM($I$49:$J$49),SUM($I$50:$J$50),H$56),CHOOSE({1,2,3,4},$H$48,$H$49,$H$50,$C62),IRR(CHOOSE({1,2,3,4,5,6,7,8,9,10},SUM($I$42:$J$42),SUM($I$43:$J$43),SUM($I$44:$J$44),SUM($I$45:$J$45),SUM($I$46:$J$46),SUM($I$47:$J$47),SUM($I$48:$J$48),SUM($I$49:$J$49),SUM($I$50:$J$50),H$56))),IF(SUM($I$49:$J$49)&lt;&gt;0,XIRR(CHOOSE({1,2,3},SUM($I$49:$J$49),SUM($I$50:$J$50),H$56),CHOOSE({1,2,3},$H$49,$H$50,$C62),IRR(CHOOSE({1,2,3,4,5,6,7,8,9,10},SUM($I$42:$J$42),SUM($I$43:$J$43),SUM($I$44:$J$44),SUM($I$45:$J$45),SUM($I$46:$J$46),SUM($I$47:$J$47),SUM($I$48:$J$48),SUM($I$49:$J$49),SUM($I$50:$J$50),H$56))),IF(SUM($I$50:$J$50)&lt;&gt;0,XIRR(CHOOSE({1,2},SUM($I$50:$J$50),H$56),CHOOSE({1,2},$H$50,$C62)))))))))))),"Negative")</f>
        <v>Negative</v>
      </c>
      <c r="I62" s="772" t="str">
        <f>IFERROR(IF(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62)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62)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62)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62)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62)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62)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62)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62)))))))))))&lt;0,"Negative",IF(SUM($I$42:$J$42)&lt;&gt;0,XIRR(CHOOSE({1,2,3,4,5,6,7,8,9,10},SUM($I$42:$J$42),SUM($I$43:$J$43),SUM($I$44:$J$44),SUM($I$45:$J$45),SUM($I$46:$J$46),SUM($I$47:$J$47),SUM($I$48:$J$48),SUM($I$49:$J$49),SUM($I$50:$J$50),I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I$56))),IF(SUM($I$43:$J$43)&lt;&gt;0,XIRR(CHOOSE({1,2,3,4,5,6,7,8,9},SUM($I$43:$J$43),SUM($I$44:$J$44),SUM($I$45:$J$45),SUM($I$46:$J$46),SUM($I$47:$J$47),SUM($I$48:$J$48),SUM($I$49:$J$49),SUM($I$50:$J$50),I$56),CHOOSE({1,2,3,4,5,6,7,8,9},$H$43,$H$44,$H$45,$H$46,$H$47,$H$48,$H$49,$H$50,$C62),IRR(CHOOSE({1,2,3,4,5,6,7,8,9,10},SUM($I$42:$J$42),SUM($I$43:$J$43),SUM($I$44:$J$44),SUM($I$45:$J$45),SUM($I$46:$J$46),SUM($I$47:$J$47),SUM($I$48:$J$48),SUM($I$49:$J$49),SUM($I$50:$J$50),I$56))),IF(SUM($I$44:$J$44)&lt;&gt;0,XIRR(CHOOSE({1,2,3,4,5,6,7,8},SUM($I$44:$J$44),SUM($I$45:$J$45),SUM($I$46:$J$46),SUM($I$47:$J$47),SUM($I$48:$J$48),SUM($I$49:$J$49),SUM($I$50:$J$50),I$56),CHOOSE({1,2,3,4,5,6,7,8},$H$44,$H$45,$H$46,$H$47,$H$48,$H$49,$H$50,$C62),IRR(CHOOSE({1,2,3,4,5,6,7,8,9,10},SUM($I$42:$J$42),SUM($I$43:$J$43),SUM($I$44:$J$44),SUM($I$45:$J$45),SUM($I$46:$J$46),SUM($I$47:$J$47),SUM($I$48:$J$48),SUM($I$49:$J$49),SUM($I$50:$J$50),I$56))),IF(SUM($I$45:$J$45)&lt;&gt;0,XIRR(CHOOSE({1,2,3,4,5,6,7},SUM($I$45:$J$45),SUM($I$46:$J$46),SUM($I$47:$J$47),SUM($I$48:$J$48),SUM($I$49:$J$49),SUM($I$50:$J$50),I$56),CHOOSE({1,2,3,4,5,6,7},$H$45,$H$46,$H$47,$H$48,$H$49,$H$50,$C62),IRR(CHOOSE({1,2,3,4,5,6,7,8,9,10},SUM($I$42:$J$42),SUM($I$43:$J$43),SUM($I$44:$J$44),SUM($I$45:$J$45),SUM($I$46:$J$46),SUM($I$47:$J$47),SUM($I$48:$J$48),SUM($I$49:$J$49),SUM($I$50:$J$50),I$56))),IF(SUM($I$46:$J$46)&lt;&gt;0,XIRR(CHOOSE({1,2,3,4,5,6},SUM($I$46:$J$46),SUM($I$47:$J$47),SUM($I$48:$J$48),SUM($I$49:$J$49),SUM($I$50:$J$50),I$56),CHOOSE({1,2,3,4,5,6},$H$46,$H$47,$H$48,$H$49,$H$50,$C62),IRR(CHOOSE({1,2,3,4,5,6,7,8,9,10},SUM($I$42:$J$42),SUM($I$43:$J$43),SUM($I$44:$J$44),SUM($I$45:$J$45),SUM($I$46:$J$46),SUM($I$47:$J$47),SUM($I$48:$J$48),SUM($I$49:$J$49),SUM($I$50:$J$50),I$56))),IF(SUM($I$47:$J$47)&lt;&gt;0,XIRR(CHOOSE({1,2,3,4,5},SUM($I$47:$J$47),SUM($I$48:$J$48),SUM($I$49:$J$49),SUM($I$50:$J$50),I$56),CHOOSE({1,2,3,4,5},$H$47,$H$48,$H$49,$H$50,$C62),IRR(CHOOSE({1,2,3,4,5,6,7,8,9,10},SUM($I$42:$J$42),SUM($I$43:$J$43),SUM($I$44:$J$44),SUM($I$45:$J$45),SUM($I$46:$J$46),SUM($I$47:$J$47),SUM($I$48:$J$48),SUM($I$49:$J$49),SUM($I$50:$J$50),I$56))),IF(SUM($I$48:$J$48)&lt;&gt;0,XIRR(CHOOSE({1,2,3,4},SUM($I$48:$J$48),SUM($I$49:$J$49),SUM($I$50:$J$50),I$56),CHOOSE({1,2,3,4},$H$48,$H$49,$H$50,$C62),IRR(CHOOSE({1,2,3,4,5,6,7,8,9,10},SUM($I$42:$J$42),SUM($I$43:$J$43),SUM($I$44:$J$44),SUM($I$45:$J$45),SUM($I$46:$J$46),SUM($I$47:$J$47),SUM($I$48:$J$48),SUM($I$49:$J$49),SUM($I$50:$J$50),I$56))),IF(SUM($I$49:$J$49)&lt;&gt;0,XIRR(CHOOSE({1,2,3},SUM($I$49:$J$49),SUM($I$50:$J$50),I$56),CHOOSE({1,2,3},$H$49,$H$50,$C62),IRR(CHOOSE({1,2,3,4,5,6,7,8,9,10},SUM($I$42:$J$42),SUM($I$43:$J$43),SUM($I$44:$J$44),SUM($I$45:$J$45),SUM($I$46:$J$46),SUM($I$47:$J$47),SUM($I$48:$J$48),SUM($I$49:$J$49),SUM($I$50:$J$50),I$56))),IF(SUM($I$50:$J$50)&lt;&gt;0,XIRR(CHOOSE({1,2},SUM($I$50:$J$50),I$56),CHOOSE({1,2},$H$50,$C62)))))))))))),"Negative")</f>
        <v>Negative</v>
      </c>
      <c r="J62" s="769" t="str">
        <f>IFERROR(IF(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62)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62)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62)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62)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62)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62)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62)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62)))))))))))&lt;0,"Negative",IF(SUM($I$42:$J$42)&lt;&gt;0,XIRR(CHOOSE({1,2,3,4,5,6,7,8,9,10},SUM($I$42:$J$42),SUM($I$43:$J$43),SUM($I$44:$J$44),SUM($I$45:$J$45),SUM($I$46:$J$46),SUM($I$47:$J$47),SUM($I$48:$J$48),SUM($I$49:$J$49),SUM($I$50:$J$50),J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J$56))),IF(SUM($I$43:$J$43)&lt;&gt;0,XIRR(CHOOSE({1,2,3,4,5,6,7,8,9},SUM($I$43:$J$43),SUM($I$44:$J$44),SUM($I$45:$J$45),SUM($I$46:$J$46),SUM($I$47:$J$47),SUM($I$48:$J$48),SUM($I$49:$J$49),SUM($I$50:$J$50),J$56),CHOOSE({1,2,3,4,5,6,7,8,9},$H$43,$H$44,$H$45,$H$46,$H$47,$H$48,$H$49,$H$50,$C62),IRR(CHOOSE({1,2,3,4,5,6,7,8,9,10},SUM($I$42:$J$42),SUM($I$43:$J$43),SUM($I$44:$J$44),SUM($I$45:$J$45),SUM($I$46:$J$46),SUM($I$47:$J$47),SUM($I$48:$J$48),SUM($I$49:$J$49),SUM($I$50:$J$50),J$56))),IF(SUM($I$44:$J$44)&lt;&gt;0,XIRR(CHOOSE({1,2,3,4,5,6,7,8},SUM($I$44:$J$44),SUM($I$45:$J$45),SUM($I$46:$J$46),SUM($I$47:$J$47),SUM($I$48:$J$48),SUM($I$49:$J$49),SUM($I$50:$J$50),J$56),CHOOSE({1,2,3,4,5,6,7,8},$H$44,$H$45,$H$46,$H$47,$H$48,$H$49,$H$50,$C62),IRR(CHOOSE({1,2,3,4,5,6,7,8,9,10},SUM($I$42:$J$42),SUM($I$43:$J$43),SUM($I$44:$J$44),SUM($I$45:$J$45),SUM($I$46:$J$46),SUM($I$47:$J$47),SUM($I$48:$J$48),SUM($I$49:$J$49),SUM($I$50:$J$50),J$56))),IF(SUM($I$45:$J$45)&lt;&gt;0,XIRR(CHOOSE({1,2,3,4,5,6,7},SUM($I$45:$J$45),SUM($I$46:$J$46),SUM($I$47:$J$47),SUM($I$48:$J$48),SUM($I$49:$J$49),SUM($I$50:$J$50),J$56),CHOOSE({1,2,3,4,5,6,7},$H$45,$H$46,$H$47,$H$48,$H$49,$H$50,$C62),IRR(CHOOSE({1,2,3,4,5,6,7,8,9,10},SUM($I$42:$J$42),SUM($I$43:$J$43),SUM($I$44:$J$44),SUM($I$45:$J$45),SUM($I$46:$J$46),SUM($I$47:$J$47),SUM($I$48:$J$48),SUM($I$49:$J$49),SUM($I$50:$J$50),J$56))),IF(SUM($I$46:$J$46)&lt;&gt;0,XIRR(CHOOSE({1,2,3,4,5,6},SUM($I$46:$J$46),SUM($I$47:$J$47),SUM($I$48:$J$48),SUM($I$49:$J$49),SUM($I$50:$J$50),J$56),CHOOSE({1,2,3,4,5,6},$H$46,$H$47,$H$48,$H$49,$H$50,$C62),IRR(CHOOSE({1,2,3,4,5,6,7,8,9,10},SUM($I$42:$J$42),SUM($I$43:$J$43),SUM($I$44:$J$44),SUM($I$45:$J$45),SUM($I$46:$J$46),SUM($I$47:$J$47),SUM($I$48:$J$48),SUM($I$49:$J$49),SUM($I$50:$J$50),J$56))),IF(SUM($I$47:$J$47)&lt;&gt;0,XIRR(CHOOSE({1,2,3,4,5},SUM($I$47:$J$47),SUM($I$48:$J$48),SUM($I$49:$J$49),SUM($I$50:$J$50),J$56),CHOOSE({1,2,3,4,5},$H$47,$H$48,$H$49,$H$50,$C62),IRR(CHOOSE({1,2,3,4,5,6,7,8,9,10},SUM($I$42:$J$42),SUM($I$43:$J$43),SUM($I$44:$J$44),SUM($I$45:$J$45),SUM($I$46:$J$46),SUM($I$47:$J$47),SUM($I$48:$J$48),SUM($I$49:$J$49),SUM($I$50:$J$50),J$56))),IF(SUM($I$48:$J$48)&lt;&gt;0,XIRR(CHOOSE({1,2,3,4},SUM($I$48:$J$48),SUM($I$49:$J$49),SUM($I$50:$J$50),J$56),CHOOSE({1,2,3,4},$H$48,$H$49,$H$50,$C62),IRR(CHOOSE({1,2,3,4,5,6,7,8,9,10},SUM($I$42:$J$42),SUM($I$43:$J$43),SUM($I$44:$J$44),SUM($I$45:$J$45),SUM($I$46:$J$46),SUM($I$47:$J$47),SUM($I$48:$J$48),SUM($I$49:$J$49),SUM($I$50:$J$50),J$56))),IF(SUM($I$49:$J$49)&lt;&gt;0,XIRR(CHOOSE({1,2,3},SUM($I$49:$J$49),SUM($I$50:$J$50),J$56),CHOOSE({1,2,3},$H$49,$H$50,$C62),IRR(CHOOSE({1,2,3,4,5,6,7,8,9,10},SUM($I$42:$J$42),SUM($I$43:$J$43),SUM($I$44:$J$44),SUM($I$45:$J$45),SUM($I$46:$J$46),SUM($I$47:$J$47),SUM($I$48:$J$48),SUM($I$49:$J$49),SUM($I$50:$J$50),J$56))),IF(SUM($I$50:$J$50)&lt;&gt;0,XIRR(CHOOSE({1,2},SUM($I$50:$J$50),J$56),CHOOSE({1,2},$H$50,$C62)))))))))))),"Negative")</f>
        <v>Negative</v>
      </c>
      <c r="K62" s="769" t="str">
        <f>IFERROR(IF(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62)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62)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62)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62)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62)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62)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62)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62)))))))))))&lt;0,"Negative",IF(SUM($I$42:$J$42)&lt;&gt;0,XIRR(CHOOSE({1,2,3,4,5,6,7,8,9,10},SUM($I$42:$J$42),SUM($I$43:$J$43),SUM($I$44:$J$44),SUM($I$45:$J$45),SUM($I$46:$J$46),SUM($I$47:$J$47),SUM($I$48:$J$48),SUM($I$49:$J$49),SUM($I$50:$J$50),K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K$56))),IF(SUM($I$43:$J$43)&lt;&gt;0,XIRR(CHOOSE({1,2,3,4,5,6,7,8,9},SUM($I$43:$J$43),SUM($I$44:$J$44),SUM($I$45:$J$45),SUM($I$46:$J$46),SUM($I$47:$J$47),SUM($I$48:$J$48),SUM($I$49:$J$49),SUM($I$50:$J$50),K$56),CHOOSE({1,2,3,4,5,6,7,8,9},$H$43,$H$44,$H$45,$H$46,$H$47,$H$48,$H$49,$H$50,$C62),IRR(CHOOSE({1,2,3,4,5,6,7,8,9,10},SUM($I$42:$J$42),SUM($I$43:$J$43),SUM($I$44:$J$44),SUM($I$45:$J$45),SUM($I$46:$J$46),SUM($I$47:$J$47),SUM($I$48:$J$48),SUM($I$49:$J$49),SUM($I$50:$J$50),K$56))),IF(SUM($I$44:$J$44)&lt;&gt;0,XIRR(CHOOSE({1,2,3,4,5,6,7,8},SUM($I$44:$J$44),SUM($I$45:$J$45),SUM($I$46:$J$46),SUM($I$47:$J$47),SUM($I$48:$J$48),SUM($I$49:$J$49),SUM($I$50:$J$50),K$56),CHOOSE({1,2,3,4,5,6,7,8},$H$44,$H$45,$H$46,$H$47,$H$48,$H$49,$H$50,$C62),IRR(CHOOSE({1,2,3,4,5,6,7,8,9,10},SUM($I$42:$J$42),SUM($I$43:$J$43),SUM($I$44:$J$44),SUM($I$45:$J$45),SUM($I$46:$J$46),SUM($I$47:$J$47),SUM($I$48:$J$48),SUM($I$49:$J$49),SUM($I$50:$J$50),K$56))),IF(SUM($I$45:$J$45)&lt;&gt;0,XIRR(CHOOSE({1,2,3,4,5,6,7},SUM($I$45:$J$45),SUM($I$46:$J$46),SUM($I$47:$J$47),SUM($I$48:$J$48),SUM($I$49:$J$49),SUM($I$50:$J$50),K$56),CHOOSE({1,2,3,4,5,6,7},$H$45,$H$46,$H$47,$H$48,$H$49,$H$50,$C62),IRR(CHOOSE({1,2,3,4,5,6,7,8,9,10},SUM($I$42:$J$42),SUM($I$43:$J$43),SUM($I$44:$J$44),SUM($I$45:$J$45),SUM($I$46:$J$46),SUM($I$47:$J$47),SUM($I$48:$J$48),SUM($I$49:$J$49),SUM($I$50:$J$50),K$56))),IF(SUM($I$46:$J$46)&lt;&gt;0,XIRR(CHOOSE({1,2,3,4,5,6},SUM($I$46:$J$46),SUM($I$47:$J$47),SUM($I$48:$J$48),SUM($I$49:$J$49),SUM($I$50:$J$50),K$56),CHOOSE({1,2,3,4,5,6},$H$46,$H$47,$H$48,$H$49,$H$50,$C62),IRR(CHOOSE({1,2,3,4,5,6,7,8,9,10},SUM($I$42:$J$42),SUM($I$43:$J$43),SUM($I$44:$J$44),SUM($I$45:$J$45),SUM($I$46:$J$46),SUM($I$47:$J$47),SUM($I$48:$J$48),SUM($I$49:$J$49),SUM($I$50:$J$50),K$56))),IF(SUM($I$47:$J$47)&lt;&gt;0,XIRR(CHOOSE({1,2,3,4,5},SUM($I$47:$J$47),SUM($I$48:$J$48),SUM($I$49:$J$49),SUM($I$50:$J$50),K$56),CHOOSE({1,2,3,4,5},$H$47,$H$48,$H$49,$H$50,$C62),IRR(CHOOSE({1,2,3,4,5,6,7,8,9,10},SUM($I$42:$J$42),SUM($I$43:$J$43),SUM($I$44:$J$44),SUM($I$45:$J$45),SUM($I$46:$J$46),SUM($I$47:$J$47),SUM($I$48:$J$48),SUM($I$49:$J$49),SUM($I$50:$J$50),K$56))),IF(SUM($I$48:$J$48)&lt;&gt;0,XIRR(CHOOSE({1,2,3,4},SUM($I$48:$J$48),SUM($I$49:$J$49),SUM($I$50:$J$50),K$56),CHOOSE({1,2,3,4},$H$48,$H$49,$H$50,$C62),IRR(CHOOSE({1,2,3,4,5,6,7,8,9,10},SUM($I$42:$J$42),SUM($I$43:$J$43),SUM($I$44:$J$44),SUM($I$45:$J$45),SUM($I$46:$J$46),SUM($I$47:$J$47),SUM($I$48:$J$48),SUM($I$49:$J$49),SUM($I$50:$J$50),K$56))),IF(SUM($I$49:$J$49)&lt;&gt;0,XIRR(CHOOSE({1,2,3},SUM($I$49:$J$49),SUM($I$50:$J$50),K$56),CHOOSE({1,2,3},$H$49,$H$50,$C62),IRR(CHOOSE({1,2,3,4,5,6,7,8,9,10},SUM($I$42:$J$42),SUM($I$43:$J$43),SUM($I$44:$J$44),SUM($I$45:$J$45),SUM($I$46:$J$46),SUM($I$47:$J$47),SUM($I$48:$J$48),SUM($I$49:$J$49),SUM($I$50:$J$50),K$56))),IF(SUM($I$50:$J$50)&lt;&gt;0,XIRR(CHOOSE({1,2},SUM($I$50:$J$50),K$56),CHOOSE({1,2},$H$50,$C62)))))))))))),"Negative")</f>
        <v>Negative</v>
      </c>
      <c r="L62" s="769" t="str">
        <f>IFERROR(IF(IF(SUM($I$42:$J$42)&lt;&gt;0,XIRR(CHOOSE({1,2,3,4,5,6,7,8,9,10},SUM($I$42:$J$42),SUM($I$43:$J$43),SUM($I$44:$J$44),SUM($I$45:$J$45),SUM($I$46:$J$46),SUM($I$47:$J$47),SUM($I$48:$J$48),SUM($I$49:$J$49),SUM($I$50:$J$50),L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L$56))),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62)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62)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62)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62)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62)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62)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62)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62)))))))))))&lt;0,"Negative",IF(SUM($I$42:$J$42)&lt;&gt;0,XIRR(CHOOSE({1,2,3,4,5,6,7,8,9,10},SUM($I$42:$J$42),SUM($I$43:$J$43),SUM($I$44:$J$44),SUM($I$45:$J$45),SUM($I$46:$J$46),SUM($I$47:$J$47),SUM($I$48:$J$48),SUM($I$49:$J$49),SUM($I$50:$J$50),L$56),CHOOSE({1,2,3,4,5,6,7,8,9,10},$H$42,$H$43,$H$44,$H$45,$H$46,$H$47,$H$48,$H$49,$H$50,$C62),IRR(CHOOSE({1,2,3,4,5,6,7,8,9,10},SUM($I$42:$J$42),SUM($I$43:$J$43),SUM($I$44:$J$44),SUM($I$45:$J$45),SUM($I$46:$J$46),SUM($I$47:$J$47),SUM($I$48:$J$48),SUM($I$49:$J$49),SUM($I$50:$J$50),L$56))),IF(SUM($I$43:$J$43)&lt;&gt;0,XIRR(CHOOSE({1,2,3,4,5,6,7,8,9},SUM($I$43:$J$43),SUM($I$44:$J$44),SUM($I$45:$J$45),SUM($I$46:$J$46),SUM($I$47:$J$47),SUM($I$48:$J$48),SUM($I$49:$J$49),SUM($I$50:$J$50),L$56),CHOOSE({1,2,3,4,5,6,7,8,9},$H$43,$H$44,$H$45,$H$46,$H$47,$H$48,$H$49,$H$50,$C62),IRR(CHOOSE({1,2,3,4,5,6,7,8,9,10},SUM($I$42:$J$42),SUM($I$43:$J$43),SUM($I$44:$J$44),SUM($I$45:$J$45),SUM($I$46:$J$46),SUM($I$47:$J$47),SUM($I$48:$J$48),SUM($I$49:$J$49),SUM($I$50:$J$50),L$56))),IF(SUM($I$44:$J$44)&lt;&gt;0,XIRR(CHOOSE({1,2,3,4,5,6,7,8},SUM($I$44:$J$44),SUM($I$45:$J$45),SUM($I$46:$J$46),SUM($I$47:$J$47),SUM($I$48:$J$48),SUM($I$49:$J$49),SUM($I$50:$J$50),L$56),CHOOSE({1,2,3,4,5,6,7,8},$H$44,$H$45,$H$46,$H$47,$H$48,$H$49,$H$50,$C62),IRR(CHOOSE({1,2,3,4,5,6,7,8,9,10},SUM($I$42:$J$42),SUM($I$43:$J$43),SUM($I$44:$J$44),SUM($I$45:$J$45),SUM($I$46:$J$46),SUM($I$47:$J$47),SUM($I$48:$J$48),SUM($I$49:$J$49),SUM($I$50:$J$50),L$56))),IF(SUM($I$45:$J$45)&lt;&gt;0,XIRR(CHOOSE({1,2,3,4,5,6,7},SUM($I$45:$J$45),SUM($I$46:$J$46),SUM($I$47:$J$47),SUM($I$48:$J$48),SUM($I$49:$J$49),SUM($I$50:$J$50),L$56),CHOOSE({1,2,3,4,5,6,7},$H$45,$H$46,$H$47,$H$48,$H$49,$H$50,$C62),IRR(CHOOSE({1,2,3,4,5,6,7,8,9,10},SUM($I$42:$J$42),SUM($I$43:$J$43),SUM($I$44:$J$44),SUM($I$45:$J$45),SUM($I$46:$J$46),SUM($I$47:$J$47),SUM($I$48:$J$48),SUM($I$49:$J$49),SUM($I$50:$J$50),L$56))),IF(SUM($I$46:$J$46)&lt;&gt;0,XIRR(CHOOSE({1,2,3,4,5,6},SUM($I$46:$J$46),SUM($I$47:$J$47),SUM($I$48:$J$48),SUM($I$49:$J$49),SUM($I$50:$J$50),L$56),CHOOSE({1,2,3,4,5,6},$H$46,$H$47,$H$48,$H$49,$H$50,$C62),IRR(CHOOSE({1,2,3,4,5,6,7,8,9,10},SUM($I$42:$J$42),SUM($I$43:$J$43),SUM($I$44:$J$44),SUM($I$45:$J$45),SUM($I$46:$J$46),SUM($I$47:$J$47),SUM($I$48:$J$48),SUM($I$49:$J$49),SUM($I$50:$J$50),L$56))),IF(SUM($I$47:$J$47)&lt;&gt;0,XIRR(CHOOSE({1,2,3,4,5},SUM($I$47:$J$47),SUM($I$48:$J$48),SUM($I$49:$J$49),SUM($I$50:$J$50),L$56),CHOOSE({1,2,3,4,5},$H$47,$H$48,$H$49,$H$50,$C62),IRR(CHOOSE({1,2,3,4,5,6,7,8,9,10},SUM($I$42:$J$42),SUM($I$43:$J$43),SUM($I$44:$J$44),SUM($I$45:$J$45),SUM($I$46:$J$46),SUM($I$47:$J$47),SUM($I$48:$J$48),SUM($I$49:$J$49),SUM($I$50:$J$50),L$56))),IF(SUM($I$48:$J$48)&lt;&gt;0,XIRR(CHOOSE({1,2,3,4},SUM($I$48:$J$48),SUM($I$49:$J$49),SUM($I$50:$J$50),L$56),CHOOSE({1,2,3,4},$H$48,$H$49,$H$50,$C62),IRR(CHOOSE({1,2,3,4,5,6,7,8,9,10},SUM($I$42:$J$42),SUM($I$43:$J$43),SUM($I$44:$J$44),SUM($I$45:$J$45),SUM($I$46:$J$46),SUM($I$47:$J$47),SUM($I$48:$J$48),SUM($I$49:$J$49),SUM($I$50:$J$50),L$56))),IF(SUM($I$49:$J$49)&lt;&gt;0,XIRR(CHOOSE({1,2,3},SUM($I$49:$J$49),SUM($I$50:$J$50),L$56),CHOOSE({1,2,3},$H$49,$H$50,$C62),IRR(CHOOSE({1,2,3,4,5,6,7,8,9,10},SUM($I$42:$J$42),SUM($I$43:$J$43),SUM($I$44:$J$44),SUM($I$45:$J$45),SUM($I$46:$J$46),SUM($I$47:$J$47),SUM($I$48:$J$48),SUM($I$49:$J$49),SUM($I$50:$J$50),L$56))),IF(SUM($I$50:$J$50)&lt;&gt;0,XIRR(CHOOSE({1,2},SUM($I$50:$J$50),L$56),CHOOSE({1,2},$H$50,$C62)))))))))))),"Negative")</f>
        <v>Negative</v>
      </c>
      <c r="M62" s="181"/>
      <c r="N62" s="181"/>
      <c r="T62" s="181"/>
    </row>
    <row r="63" spans="1:20" s="388" customFormat="1" ht="4.1500000000000004" customHeight="1" outlineLevel="1" thickBot="1" x14ac:dyDescent="0.4">
      <c r="A63" s="447"/>
      <c r="B63" s="447"/>
      <c r="M63" s="189"/>
      <c r="N63" s="189"/>
      <c r="T63" s="189"/>
    </row>
    <row r="64" spans="1:20" s="3" customFormat="1" ht="16" outlineLevel="1" thickBot="1" x14ac:dyDescent="0.4">
      <c r="A64" s="447"/>
      <c r="B64" s="447"/>
      <c r="C64" s="490" t="s">
        <v>127</v>
      </c>
      <c r="D64" s="434">
        <f>IFERROR(D57/$E$42,)</f>
        <v>0</v>
      </c>
      <c r="E64" s="434">
        <f t="shared" ref="E64:L64" si="15">IFERROR(E57/$E$42,)</f>
        <v>0</v>
      </c>
      <c r="F64" s="434">
        <f t="shared" si="15"/>
        <v>0</v>
      </c>
      <c r="G64" s="435">
        <f t="shared" si="15"/>
        <v>0</v>
      </c>
      <c r="H64" s="491">
        <f t="shared" si="15"/>
        <v>0</v>
      </c>
      <c r="I64" s="437">
        <f t="shared" si="15"/>
        <v>0</v>
      </c>
      <c r="J64" s="434">
        <f t="shared" si="15"/>
        <v>0</v>
      </c>
      <c r="K64" s="434">
        <f t="shared" si="15"/>
        <v>0</v>
      </c>
      <c r="L64" s="434">
        <f t="shared" si="15"/>
        <v>0</v>
      </c>
      <c r="M64" s="181"/>
      <c r="N64" s="181"/>
      <c r="T64" s="181"/>
    </row>
    <row r="65" spans="1:20" s="3" customFormat="1" ht="16" thickBot="1" x14ac:dyDescent="0.4">
      <c r="A65" s="447"/>
      <c r="B65" s="447"/>
      <c r="C65" s="492"/>
      <c r="D65" s="492"/>
      <c r="M65" s="181"/>
      <c r="N65" s="181"/>
      <c r="T65" s="181"/>
    </row>
    <row r="66" spans="1:20" s="3" customFormat="1" outlineLevel="1" x14ac:dyDescent="0.35">
      <c r="A66" s="447"/>
      <c r="B66" s="447"/>
      <c r="C66" s="31" t="s">
        <v>128</v>
      </c>
      <c r="H66" s="419" t="s">
        <v>105</v>
      </c>
      <c r="M66" s="181"/>
      <c r="N66" s="181"/>
      <c r="T66" s="181"/>
    </row>
    <row r="67" spans="1:20" s="3" customFormat="1" outlineLevel="1" x14ac:dyDescent="0.35">
      <c r="A67" s="447"/>
      <c r="B67" s="447"/>
      <c r="C67" s="422" t="s">
        <v>106</v>
      </c>
      <c r="D67" s="443">
        <f>D54</f>
        <v>0</v>
      </c>
      <c r="E67" s="443">
        <f t="shared" ref="E67:L67" si="16">E54</f>
        <v>0</v>
      </c>
      <c r="F67" s="443">
        <f t="shared" si="16"/>
        <v>0</v>
      </c>
      <c r="G67" s="444" t="e">
        <f t="shared" si="16"/>
        <v>#DIV/0!</v>
      </c>
      <c r="H67" s="481" t="e">
        <f t="shared" si="16"/>
        <v>#DIV/0!</v>
      </c>
      <c r="I67" s="445" t="e">
        <f t="shared" si="16"/>
        <v>#DIV/0!</v>
      </c>
      <c r="J67" s="443" t="e">
        <f t="shared" si="16"/>
        <v>#DIV/0!</v>
      </c>
      <c r="K67" s="443" t="e">
        <f t="shared" si="16"/>
        <v>#DIV/0!</v>
      </c>
      <c r="L67" s="443" t="e">
        <f t="shared" si="16"/>
        <v>#DIV/0!</v>
      </c>
      <c r="M67" s="181"/>
      <c r="N67" s="181"/>
      <c r="T67" s="181"/>
    </row>
    <row r="68" spans="1:20" s="493" customFormat="1" outlineLevel="1" x14ac:dyDescent="0.35">
      <c r="A68" s="482"/>
      <c r="B68" s="482"/>
      <c r="C68" s="424" t="s">
        <v>107</v>
      </c>
      <c r="D68" s="425" t="e">
        <f t="shared" ref="D68:L68" si="17">D67/$H$17-1</f>
        <v>#DIV/0!</v>
      </c>
      <c r="E68" s="425" t="e">
        <f t="shared" si="17"/>
        <v>#DIV/0!</v>
      </c>
      <c r="F68" s="425" t="e">
        <f t="shared" si="17"/>
        <v>#DIV/0!</v>
      </c>
      <c r="G68" s="426" t="e">
        <f t="shared" si="17"/>
        <v>#DIV/0!</v>
      </c>
      <c r="H68" s="427" t="e">
        <f t="shared" si="17"/>
        <v>#DIV/0!</v>
      </c>
      <c r="I68" s="428" t="e">
        <f t="shared" si="17"/>
        <v>#DIV/0!</v>
      </c>
      <c r="J68" s="425" t="e">
        <f t="shared" si="17"/>
        <v>#DIV/0!</v>
      </c>
      <c r="K68" s="425" t="e">
        <f t="shared" si="17"/>
        <v>#DIV/0!</v>
      </c>
      <c r="L68" s="425" t="e">
        <f t="shared" si="17"/>
        <v>#DIV/0!</v>
      </c>
      <c r="M68" s="483"/>
      <c r="N68" s="483"/>
      <c r="T68" s="483"/>
    </row>
    <row r="69" spans="1:20" outlineLevel="1" collapsed="1" x14ac:dyDescent="0.35">
      <c r="A69" s="447"/>
      <c r="B69" s="447"/>
      <c r="C69" s="431" t="s">
        <v>108</v>
      </c>
      <c r="D69" s="432" t="e">
        <f>IF((D67*(1-'Transaction Expenses'!$F$6)-('Transaction Expenses'!$D$6/1000000))&gt;$D$43,
IF(((D67*(1-'Transaction Expenses'!$F$6)-('Transaction Expenses'!$D$6/1000000))*$D$46)&lt;$D$44,$D$44,
(D67*(1-'Transaction Expenses'!$F$6)-('Transaction Expenses'!$D$6/1000000))*$D$46),
IF(((D67*(1-'Transaction Expenses'!$F$6)-('Transaction Expenses'!$D$6/1000000))&lt;=#REF!),
IFERROR(((D67*(1-'Transaction Expenses'!$F$6)-('Transaction Expenses'!$D$6/1000000))*(#REF!/#REF!)),
IFERROR((#REF!+((D67*(1-'Transaction Expenses'!$F$6)-('Transaction Expenses'!$D$6/1000000))-#REF!)*(#REF!/#REF!)),
(SUM(#REF!)+((D67*(1-'Transaction Expenses'!$F$6)-('Transaction Expenses'!$D$6/1000000))-SUM(#REF!))*(#REF!/#REF!)))),
IF((D67*(1-'Transaction Expenses'!$F$6)-('Transaction Expenses'!$D$6/1000000))&lt;=(SUM(#REF!)),
(#REF!+((D67*(1-'Transaction Expenses'!$F$6)-('Transaction Expenses'!$D$6/1000000))-#REF!)*(#REF!/#REF!)),
(SUM(#REF!)+((D67*(1-'Transaction Expenses'!$F$6)-('Transaction Expenses'!$D$6/1000000))-SUM(#REF!))*(#REF!/#REF!)))))</f>
        <v>#REF!</v>
      </c>
      <c r="E69" s="432" t="e">
        <f>IF((E67*(1-'Transaction Expenses'!$F$6)-('Transaction Expenses'!$D$6/1000000))&gt;$D$43,
IF(((E67*(1-'Transaction Expenses'!$F$6)-('Transaction Expenses'!$D$6/1000000))*$D$46)&lt;$D$44,$D$44,
(E67*(1-'Transaction Expenses'!$F$6)-('Transaction Expenses'!$D$6/1000000))*$D$46),
IF(((E67*(1-'Transaction Expenses'!$F$6)-('Transaction Expenses'!$D$6/1000000))&lt;=#REF!),
IFERROR(((E67*(1-'Transaction Expenses'!$F$6)-('Transaction Expenses'!$D$6/1000000))*(#REF!/#REF!)),
IFERROR((#REF!+((E67*(1-'Transaction Expenses'!$F$6)-('Transaction Expenses'!$D$6/1000000))-#REF!)*(#REF!/#REF!)),
(SUM(#REF!)+((E67*(1-'Transaction Expenses'!$F$6)-('Transaction Expenses'!$D$6/1000000))-SUM(#REF!))*(#REF!/#REF!)))),
IF((E67*(1-'Transaction Expenses'!$F$6)-('Transaction Expenses'!$D$6/1000000))&lt;=(SUM(#REF!)),
(#REF!+((E67*(1-'Transaction Expenses'!$F$6)-('Transaction Expenses'!$D$6/1000000))-#REF!)*(#REF!/#REF!)),
(SUM(#REF!)+((E67*(1-'Transaction Expenses'!$F$6)-('Transaction Expenses'!$D$6/1000000))-SUM(#REF!))*(#REF!/#REF!)))))</f>
        <v>#REF!</v>
      </c>
      <c r="F69" s="432" t="e">
        <f>IF((F67*(1-'Transaction Expenses'!$F$6)-('Transaction Expenses'!$D$6/1000000))&gt;$D$43,
IF(((F67*(1-'Transaction Expenses'!$F$6)-('Transaction Expenses'!$D$6/1000000))*$D$46)&lt;$D$44,$D$44,
(F67*(1-'Transaction Expenses'!$F$6)-('Transaction Expenses'!$D$6/1000000))*$D$46),
IF(((F67*(1-'Transaction Expenses'!$F$6)-('Transaction Expenses'!$D$6/1000000))&lt;=#REF!),
IFERROR(((F67*(1-'Transaction Expenses'!$F$6)-('Transaction Expenses'!$D$6/1000000))*(#REF!/#REF!)),
IFERROR((#REF!+((F67*(1-'Transaction Expenses'!$F$6)-('Transaction Expenses'!$D$6/1000000))-#REF!)*(#REF!/#REF!)),
(SUM(#REF!)+((F67*(1-'Transaction Expenses'!$F$6)-('Transaction Expenses'!$D$6/1000000))-SUM(#REF!))*(#REF!/#REF!)))),
IF((F67*(1-'Transaction Expenses'!$F$6)-('Transaction Expenses'!$D$6/1000000))&lt;=(SUM(#REF!)),
(#REF!+((F67*(1-'Transaction Expenses'!$F$6)-('Transaction Expenses'!$D$6/1000000))-#REF!)*(#REF!/#REF!)),
(SUM(#REF!)+((F67*(1-'Transaction Expenses'!$F$6)-('Transaction Expenses'!$D$6/1000000))-SUM(#REF!))*(#REF!/#REF!)))))</f>
        <v>#REF!</v>
      </c>
      <c r="G69" s="432" t="e">
        <f>IF((G67*(1-'Transaction Expenses'!$F$6)-('Transaction Expenses'!$D$6/1000000))&gt;$D$43,
IF(((G67*(1-'Transaction Expenses'!$F$6)-('Transaction Expenses'!$D$6/1000000))*$D$46)&lt;$D$44,$D$44,
(G67*(1-'Transaction Expenses'!$F$6)-('Transaction Expenses'!$D$6/1000000))*$D$46),
IF(((G67*(1-'Transaction Expenses'!$F$6)-('Transaction Expenses'!$D$6/1000000))&lt;=#REF!),
IFERROR(((G67*(1-'Transaction Expenses'!$F$6)-('Transaction Expenses'!$D$6/1000000))*(#REF!/#REF!)),
IFERROR((#REF!+((G67*(1-'Transaction Expenses'!$F$6)-('Transaction Expenses'!$D$6/1000000))-#REF!)*(#REF!/#REF!)),
(SUM(#REF!)+((G67*(1-'Transaction Expenses'!$F$6)-('Transaction Expenses'!$D$6/1000000))-SUM(#REF!))*(#REF!/#REF!)))),
IF((G67*(1-'Transaction Expenses'!$F$6)-('Transaction Expenses'!$D$6/1000000))&lt;=(SUM(#REF!)),
(#REF!+((G67*(1-'Transaction Expenses'!$F$6)-('Transaction Expenses'!$D$6/1000000))-#REF!)*(#REF!/#REF!)),
(SUM(#REF!)+((G67*(1-'Transaction Expenses'!$F$6)-('Transaction Expenses'!$D$6/1000000))-SUM(#REF!))*(#REF!/#REF!)))))</f>
        <v>#DIV/0!</v>
      </c>
      <c r="H69" s="433" t="e">
        <f>IF((H67*(1-'Transaction Expenses'!$F$6)-('Transaction Expenses'!$D$6/1000000))&gt;$D$43,
IF(((H67*(1-'Transaction Expenses'!$F$6)-('Transaction Expenses'!$D$6/1000000))*$D$46)&lt;$D$44,$D$44,
(H67*(1-'Transaction Expenses'!$F$6)-('Transaction Expenses'!$D$6/1000000))*$D$46),
IF(((H67*(1-'Transaction Expenses'!$F$6)-('Transaction Expenses'!$D$6/1000000))&lt;=#REF!),
IFERROR(((H67*(1-'Transaction Expenses'!$F$6)-('Transaction Expenses'!$D$6/1000000))*(#REF!/#REF!)),
IFERROR((#REF!+((H67*(1-'Transaction Expenses'!$F$6)-('Transaction Expenses'!$D$6/1000000))-#REF!)*(#REF!/#REF!)),
(SUM(#REF!)+((H67*(1-'Transaction Expenses'!$F$6)-('Transaction Expenses'!$D$6/1000000))-SUM(#REF!))*(#REF!/#REF!)))),
IF((H67*(1-'Transaction Expenses'!$F$6)-('Transaction Expenses'!$D$6/1000000))&lt;=(SUM(#REF!)),
(#REF!+((H67*(1-'Transaction Expenses'!$F$6)-('Transaction Expenses'!$D$6/1000000))-#REF!)*(#REF!/#REF!)),
(SUM(#REF!)+((H67*(1-'Transaction Expenses'!$F$6)-('Transaction Expenses'!$D$6/1000000))-SUM(#REF!))*(#REF!/#REF!)))))</f>
        <v>#DIV/0!</v>
      </c>
      <c r="I69" s="432" t="e">
        <f>IF((I67*(1-'Transaction Expenses'!$F$6)-('Transaction Expenses'!$D$6/1000000))&gt;$D$43,
IF(((I67*(1-'Transaction Expenses'!$F$6)-('Transaction Expenses'!$D$6/1000000))*$D$46)&lt;$D$44,$D$44,
(I67*(1-'Transaction Expenses'!$F$6)-('Transaction Expenses'!$D$6/1000000))*$D$46),
IF(((I67*(1-'Transaction Expenses'!$F$6)-('Transaction Expenses'!$D$6/1000000))&lt;=#REF!),
IFERROR(((I67*(1-'Transaction Expenses'!$F$6)-('Transaction Expenses'!$D$6/1000000))*(#REF!/#REF!)),
IFERROR((#REF!+((I67*(1-'Transaction Expenses'!$F$6)-('Transaction Expenses'!$D$6/1000000))-#REF!)*(#REF!/#REF!)),
(SUM(#REF!)+((I67*(1-'Transaction Expenses'!$F$6)-('Transaction Expenses'!$D$6/1000000))-SUM(#REF!))*(#REF!/#REF!)))),
IF((I67*(1-'Transaction Expenses'!$F$6)-('Transaction Expenses'!$D$6/1000000))&lt;=(SUM(#REF!)),
(#REF!+((I67*(1-'Transaction Expenses'!$F$6)-('Transaction Expenses'!$D$6/1000000))-#REF!)*(#REF!/#REF!)),
(SUM(#REF!)+((I67*(1-'Transaction Expenses'!$F$6)-('Transaction Expenses'!$D$6/1000000))-SUM(#REF!))*(#REF!/#REF!)))))</f>
        <v>#DIV/0!</v>
      </c>
      <c r="J69" s="432" t="e">
        <f>IF((J67*(1-'Transaction Expenses'!$F$6)-('Transaction Expenses'!$D$6/1000000))&gt;$D$43,
IF(((J67*(1-'Transaction Expenses'!$F$6)-('Transaction Expenses'!$D$6/1000000))*$D$46)&lt;$D$44,$D$44,
(J67*(1-'Transaction Expenses'!$F$6)-('Transaction Expenses'!$D$6/1000000))*$D$46),
IF(((J67*(1-'Transaction Expenses'!$F$6)-('Transaction Expenses'!$D$6/1000000))&lt;=#REF!),
IFERROR(((J67*(1-'Transaction Expenses'!$F$6)-('Transaction Expenses'!$D$6/1000000))*(#REF!/#REF!)),
IFERROR((#REF!+((J67*(1-'Transaction Expenses'!$F$6)-('Transaction Expenses'!$D$6/1000000))-#REF!)*(#REF!/#REF!)),
(SUM(#REF!)+((J67*(1-'Transaction Expenses'!$F$6)-('Transaction Expenses'!$D$6/1000000))-SUM(#REF!))*(#REF!/#REF!)))),
IF((J67*(1-'Transaction Expenses'!$F$6)-('Transaction Expenses'!$D$6/1000000))&lt;=(SUM(#REF!)),
(#REF!+((J67*(1-'Transaction Expenses'!$F$6)-('Transaction Expenses'!$D$6/1000000))-#REF!)*(#REF!/#REF!)),
(SUM(#REF!)+((J67*(1-'Transaction Expenses'!$F$6)-('Transaction Expenses'!$D$6/1000000))-SUM(#REF!))*(#REF!/#REF!)))))</f>
        <v>#DIV/0!</v>
      </c>
      <c r="K69" s="432" t="e">
        <f>IF((K67*(1-'Transaction Expenses'!$F$6)-('Transaction Expenses'!$D$6/1000000))&gt;$D$43,
IF(((K67*(1-'Transaction Expenses'!$F$6)-('Transaction Expenses'!$D$6/1000000))*$D$46)&lt;$D$44,$D$44,
(K67*(1-'Transaction Expenses'!$F$6)-('Transaction Expenses'!$D$6/1000000))*$D$46),
IF(((K67*(1-'Transaction Expenses'!$F$6)-('Transaction Expenses'!$D$6/1000000))&lt;=#REF!),
IFERROR(((K67*(1-'Transaction Expenses'!$F$6)-('Transaction Expenses'!$D$6/1000000))*(#REF!/#REF!)),
IFERROR((#REF!+((K67*(1-'Transaction Expenses'!$F$6)-('Transaction Expenses'!$D$6/1000000))-#REF!)*(#REF!/#REF!)),
(SUM(#REF!)+((K67*(1-'Transaction Expenses'!$F$6)-('Transaction Expenses'!$D$6/1000000))-SUM(#REF!))*(#REF!/#REF!)))),
IF((K67*(1-'Transaction Expenses'!$F$6)-('Transaction Expenses'!$D$6/1000000))&lt;=(SUM(#REF!)),
(#REF!+((K67*(1-'Transaction Expenses'!$F$6)-('Transaction Expenses'!$D$6/1000000))-#REF!)*(#REF!/#REF!)),
(SUM(#REF!)+((K67*(1-'Transaction Expenses'!$F$6)-('Transaction Expenses'!$D$6/1000000))-SUM(#REF!))*(#REF!/#REF!)))))</f>
        <v>#DIV/0!</v>
      </c>
      <c r="L69" s="432" t="e">
        <f>IF((L67*(1-'Transaction Expenses'!$F$6)-('Transaction Expenses'!$D$6/1000000))&gt;$D$43,
IF(((L67*(1-'Transaction Expenses'!$F$6)-('Transaction Expenses'!$D$6/1000000))*$D$46)&lt;$D$44,$D$44,
(L67*(1-'Transaction Expenses'!$F$6)-('Transaction Expenses'!$D$6/1000000))*$D$46),
IF(((L67*(1-'Transaction Expenses'!$F$6)-('Transaction Expenses'!$D$6/1000000))&lt;=#REF!),
IFERROR(((L67*(1-'Transaction Expenses'!$F$6)-('Transaction Expenses'!$D$6/1000000))*(#REF!/#REF!)),
IFERROR((#REF!+((L67*(1-'Transaction Expenses'!$F$6)-('Transaction Expenses'!$D$6/1000000))-#REF!)*(#REF!/#REF!)),
(SUM(#REF!)+((L67*(1-'Transaction Expenses'!$F$6)-('Transaction Expenses'!$D$6/1000000))-SUM(#REF!))*(#REF!/#REF!)))),
IF((L67*(1-'Transaction Expenses'!$F$6)-('Transaction Expenses'!$D$6/1000000))&lt;=(SUM(#REF!)),
(#REF!+((L67*(1-'Transaction Expenses'!$F$6)-('Transaction Expenses'!$D$6/1000000))-#REF!)*(#REF!/#REF!)),
(SUM(#REF!)+((L67*(1-'Transaction Expenses'!$F$6)-('Transaction Expenses'!$D$6/1000000))-SUM(#REF!))*(#REF!/#REF!)))))</f>
        <v>#DIV/0!</v>
      </c>
      <c r="O69" s="1301"/>
      <c r="P69" s="1301"/>
      <c r="Q69" s="1302"/>
      <c r="R69" s="1302"/>
      <c r="S69" s="1302"/>
    </row>
    <row r="70" spans="1:20" s="430" customFormat="1" outlineLevel="1" x14ac:dyDescent="0.35">
      <c r="A70" s="482"/>
      <c r="B70" s="482"/>
      <c r="C70" s="424" t="s">
        <v>126</v>
      </c>
      <c r="D70" s="484" t="e">
        <f>D69-D29</f>
        <v>#REF!</v>
      </c>
      <c r="E70" s="484" t="e">
        <f t="shared" ref="E70:L70" si="18">E69-E29</f>
        <v>#REF!</v>
      </c>
      <c r="F70" s="484" t="e">
        <f t="shared" si="18"/>
        <v>#REF!</v>
      </c>
      <c r="G70" s="484" t="e">
        <f t="shared" si="18"/>
        <v>#DIV/0!</v>
      </c>
      <c r="H70" s="485" t="e">
        <f t="shared" si="18"/>
        <v>#DIV/0!</v>
      </c>
      <c r="I70" s="484" t="e">
        <f t="shared" si="18"/>
        <v>#DIV/0!</v>
      </c>
      <c r="J70" s="484" t="e">
        <f t="shared" si="18"/>
        <v>#DIV/0!</v>
      </c>
      <c r="K70" s="484" t="e">
        <f t="shared" si="18"/>
        <v>#DIV/0!</v>
      </c>
      <c r="L70" s="484" t="e">
        <f t="shared" si="18"/>
        <v>#DIV/0!</v>
      </c>
      <c r="M70" s="483"/>
      <c r="N70" s="483"/>
      <c r="O70" s="489"/>
      <c r="P70" s="489"/>
      <c r="T70" s="483"/>
    </row>
    <row r="71" spans="1:20" outlineLevel="1" collapsed="1" x14ac:dyDescent="0.35">
      <c r="A71" s="447"/>
      <c r="B71" s="447"/>
      <c r="C71" s="422" t="s">
        <v>109</v>
      </c>
      <c r="D71" s="434" t="e">
        <f t="shared" ref="D71:L71" si="19">D69/$D$42</f>
        <v>#REF!</v>
      </c>
      <c r="E71" s="434" t="e">
        <f t="shared" si="19"/>
        <v>#REF!</v>
      </c>
      <c r="F71" s="434" t="e">
        <f t="shared" si="19"/>
        <v>#REF!</v>
      </c>
      <c r="G71" s="435" t="e">
        <f t="shared" si="19"/>
        <v>#DIV/0!</v>
      </c>
      <c r="H71" s="436" t="e">
        <f t="shared" si="19"/>
        <v>#DIV/0!</v>
      </c>
      <c r="I71" s="437" t="e">
        <f t="shared" si="19"/>
        <v>#DIV/0!</v>
      </c>
      <c r="J71" s="434" t="e">
        <f t="shared" si="19"/>
        <v>#DIV/0!</v>
      </c>
      <c r="K71" s="434" t="e">
        <f t="shared" si="19"/>
        <v>#DIV/0!</v>
      </c>
      <c r="L71" s="434" t="e">
        <f t="shared" si="19"/>
        <v>#DIV/0!</v>
      </c>
      <c r="O71" s="1302"/>
      <c r="P71" s="1302"/>
      <c r="Q71" s="1302"/>
      <c r="R71" s="1302"/>
      <c r="S71" s="1302"/>
    </row>
    <row r="72" spans="1:20" s="430" customFormat="1" outlineLevel="1" x14ac:dyDescent="0.35">
      <c r="A72" s="482"/>
      <c r="B72" s="482"/>
      <c r="C72" s="424" t="s">
        <v>126</v>
      </c>
      <c r="D72" s="487" t="e">
        <f>D71-D30</f>
        <v>#REF!</v>
      </c>
      <c r="E72" s="487" t="e">
        <f t="shared" ref="E72:L72" si="20">E71-E30</f>
        <v>#REF!</v>
      </c>
      <c r="F72" s="487" t="e">
        <f t="shared" si="20"/>
        <v>#REF!</v>
      </c>
      <c r="G72" s="487" t="e">
        <f t="shared" si="20"/>
        <v>#DIV/0!</v>
      </c>
      <c r="H72" s="488" t="e">
        <f t="shared" si="20"/>
        <v>#DIV/0!</v>
      </c>
      <c r="I72" s="487" t="e">
        <f t="shared" si="20"/>
        <v>#DIV/0!</v>
      </c>
      <c r="J72" s="487" t="e">
        <f t="shared" si="20"/>
        <v>#DIV/0!</v>
      </c>
      <c r="K72" s="487" t="e">
        <f t="shared" si="20"/>
        <v>#DIV/0!</v>
      </c>
      <c r="L72" s="487" t="e">
        <f t="shared" si="20"/>
        <v>#DIV/0!</v>
      </c>
      <c r="M72" s="483"/>
      <c r="N72" s="483"/>
      <c r="T72" s="483"/>
    </row>
    <row r="73" spans="1:20" outlineLevel="1" collapsed="1" x14ac:dyDescent="0.35">
      <c r="A73" s="447"/>
      <c r="B73" s="447"/>
      <c r="C73" s="446">
        <f ca="1">C60</f>
        <v>46752</v>
      </c>
      <c r="D73" s="769" t="str">
        <f>IFERROR(IF(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73)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73)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73)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73)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73)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73)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73)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73)))))))))))&lt;0,"Negative",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73)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73)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73)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73)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73)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73)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73)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73)))))))))))),"Negative")</f>
        <v>Negative</v>
      </c>
      <c r="E73" s="769" t="str">
        <f>IFERROR(IF(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73)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73)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73)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73)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73)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73)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73)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73)))))))))))&lt;0,"Negative",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73)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73)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73)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73)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73)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73)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73)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73)))))))))))),"Negative")</f>
        <v>Negative</v>
      </c>
      <c r="F73" s="769" t="str">
        <f>IFERROR(IF(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73)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73)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73)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73)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73)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73)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73)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73)))))))))))&lt;0,"Negative",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73)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73)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73)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73)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73)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73)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73)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73)))))))))))),"Negative")</f>
        <v>Negative</v>
      </c>
      <c r="G73" s="770" t="str">
        <f>IFERROR(IF(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73)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73)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73)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73)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73)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73)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73)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73)))))))))))&lt;0,"Negative",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73)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73)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73)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73)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73)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73)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73)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73)))))))))))),"Negative")</f>
        <v>Negative</v>
      </c>
      <c r="H73" s="771" t="str">
        <f>IFERROR(IF(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73)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73)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73)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73)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73)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73)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73)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73)))))))))))&lt;0,"Negative",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73)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73)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73)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73)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73)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73)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73)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73)))))))))))),"Negative")</f>
        <v>Negative</v>
      </c>
      <c r="I73" s="772" t="str">
        <f>IFERROR(IF(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73)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73)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73)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73)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73)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73)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73)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73)))))))))))&lt;0,"Negative",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73)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73)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73)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73)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73)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73)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73)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73)))))))))))),"Negative")</f>
        <v>Negative</v>
      </c>
      <c r="J73" s="769" t="str">
        <f>IFERROR(IF(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73)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73)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73)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73)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73)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73)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73)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73)))))))))))&lt;0,"Negative",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73)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73)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73)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73)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73)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73)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73)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73)))))))))))),"Negative")</f>
        <v>Negative</v>
      </c>
      <c r="K73" s="769" t="str">
        <f>IFERROR(IF(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73)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73)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73)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73)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73)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73)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73)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73)))))))))))&lt;0,"Negative",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73)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73)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73)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73)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73)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73)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73)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73)))))))))))),"Negative")</f>
        <v>Negative</v>
      </c>
      <c r="L73" s="769" t="str">
        <f>IFERROR(IF(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73)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73)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73)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73)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73)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73)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73)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73)))))))))))&lt;0,"Negative",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73)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73)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73)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73)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73)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73)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73)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73)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73)))))))))))),"Negative")</f>
        <v>Negative</v>
      </c>
      <c r="O73" s="1302"/>
      <c r="P73" s="1302"/>
      <c r="Q73" s="1302"/>
      <c r="R73" s="1302"/>
      <c r="S73" s="1302"/>
    </row>
    <row r="74" spans="1:20" outlineLevel="1" x14ac:dyDescent="0.35">
      <c r="A74" s="447"/>
      <c r="B74" s="447"/>
      <c r="C74" s="446">
        <f ca="1">C61</f>
        <v>47118</v>
      </c>
      <c r="D74" s="769" t="str">
        <f>IFERROR(IF(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74)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74)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74)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74)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74)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74)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74)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74)))))))))))&lt;0,"Negative",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74)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74)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74)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74)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74)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74)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74)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74)))))))))))),"Negative")</f>
        <v>Negative</v>
      </c>
      <c r="E74" s="769" t="str">
        <f>IFERROR(IF(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74)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74)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74)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74)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74)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74)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74)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74)))))))))))&lt;0,"Negative",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74)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74)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74)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74)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74)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74)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74)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74)))))))))))),"Negative")</f>
        <v>Negative</v>
      </c>
      <c r="F74" s="769" t="str">
        <f>IFERROR(IF(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74)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74)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74)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74)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74)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74)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74)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74)))))))))))&lt;0,"Negative",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74)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74)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74)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74)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74)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74)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74)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74)))))))))))),"Negative")</f>
        <v>Negative</v>
      </c>
      <c r="G74" s="770" t="str">
        <f>IFERROR(IF(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74)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74)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74)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74)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74)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74)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74)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74)))))))))))&lt;0,"Negative",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74)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74)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74)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74)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74)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74)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74)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74)))))))))))),"Negative")</f>
        <v>Negative</v>
      </c>
      <c r="H74" s="771" t="str">
        <f>IFERROR(IF(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74)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74)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74)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74)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74)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74)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74)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74)))))))))))&lt;0,"Negative",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74)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74)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74)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74)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74)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74)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74)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74)))))))))))),"Negative")</f>
        <v>Negative</v>
      </c>
      <c r="I74" s="772" t="str">
        <f>IFERROR(IF(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74)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74)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74)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74)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74)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74)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74)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74)))))))))))&lt;0,"Negative",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74)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74)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74)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74)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74)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74)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74)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74)))))))))))),"Negative")</f>
        <v>Negative</v>
      </c>
      <c r="J74" s="769" t="str">
        <f>IFERROR(IF(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74)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74)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74)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74)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74)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74)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74)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74)))))))))))&lt;0,"Negative",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74)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74)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74)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74)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74)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74)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74)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74)))))))))))),"Negative")</f>
        <v>Negative</v>
      </c>
      <c r="K74" s="769" t="str">
        <f>IFERROR(IF(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74)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74)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74)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74)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74)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74)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74)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74)))))))))))&lt;0,"Negative",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74)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74)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74)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74)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74)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74)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74)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74)))))))))))),"Negative")</f>
        <v>Negative</v>
      </c>
      <c r="L74" s="769" t="str">
        <f>IFERROR(IF(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74)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74)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74)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74)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74)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74)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74)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74)))))))))))&lt;0,"Negative",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74)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74)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74)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74)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74)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74)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74)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74)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74)))))))))))),"Negative")</f>
        <v>Negative</v>
      </c>
      <c r="O74" s="1302"/>
      <c r="P74" s="1302"/>
      <c r="Q74" s="1302"/>
      <c r="R74" s="1302"/>
      <c r="S74" s="1302"/>
    </row>
    <row r="75" spans="1:20" ht="16" outlineLevel="1" thickBot="1" x14ac:dyDescent="0.4">
      <c r="A75" s="447"/>
      <c r="B75" s="447"/>
      <c r="C75" s="446">
        <f ca="1">C62</f>
        <v>47483</v>
      </c>
      <c r="D75" s="769" t="str">
        <f>IFERROR(IF(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75)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75)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75)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75)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75)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75)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75)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75)))))))))))&lt;0,"Negative",IF(SUM($I$42:$J$42)&lt;&gt;0,XIRR(CHOOSE({1,2,3,4,5,6,7,8,9,10},SUM($I$42:$J$42),SUM($I$43:$J$43),SUM($I$44:$J$44),SUM($I$45:$J$45),SUM($I$46:$J$46),SUM($I$47:$J$47),SUM($I$48:$J$48),SUM($I$49:$J$49),SUM($I$50:$J$50),D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D$69))),IF(SUM($I$43:$J$43)&lt;&gt;0,XIRR(CHOOSE({1,2,3,4,5,6,7,8,9},SUM($I$43:$J$43),SUM($I$44:$J$44),SUM($I$45:$J$45),SUM($I$46:$J$46),SUM($I$47:$J$47),SUM($I$48:$J$48),SUM($I$49:$J$49),SUM($I$50:$J$50),D$69),CHOOSE({1,2,3,4,5,6,7,8,9},$H$43,$H$44,$H$45,$H$46,$H$47,$H$48,$H$49,$H$50,$C75),IRR(CHOOSE({1,2,3,4,5,6,7,8,9,10},SUM($I$42:$J$42),SUM($I$43:$J$43),SUM($I$44:$J$44),SUM($I$45:$J$45),SUM($I$46:$J$46),SUM($I$47:$J$47),SUM($I$48:$J$48),SUM($I$49:$J$49),SUM($I$50:$J$50),D$69))),IF(SUM($I$44:$J$44)&lt;&gt;0,XIRR(CHOOSE({1,2,3,4,5,6,7,8},SUM($I$44:$J$44),SUM($I$45:$J$45),SUM($I$46:$J$46),SUM($I$47:$J$47),SUM($I$48:$J$48),SUM($I$49:$J$49),SUM($I$50:$J$50),D$69),CHOOSE({1,2,3,4,5,6,7,8},$H$44,$H$45,$H$46,$H$47,$H$48,$H$49,$H$50,$C75),IRR(CHOOSE({1,2,3,4,5,6,7,8,9,10},SUM($I$42:$J$42),SUM($I$43:$J$43),SUM($I$44:$J$44),SUM($I$45:$J$45),SUM($I$46:$J$46),SUM($I$47:$J$47),SUM($I$48:$J$48),SUM($I$49:$J$49),SUM($I$50:$J$50),D$69))),IF(SUM($I$45:$J$45)&lt;&gt;0,XIRR(CHOOSE({1,2,3,4,5,6,7},SUM($I$45:$J$45),SUM($I$46:$J$46),SUM($I$47:$J$47),SUM($I$48:$J$48),SUM($I$49:$J$49),SUM($I$50:$J$50),D$69),CHOOSE({1,2,3,4,5,6,7},$H$45,$H$46,$H$47,$H$48,$H$49,$H$50,$C75),IRR(CHOOSE({1,2,3,4,5,6,7,8,9,10},SUM($I$42:$J$42),SUM($I$43:$J$43),SUM($I$44:$J$44),SUM($I$45:$J$45),SUM($I$46:$J$46),SUM($I$47:$J$47),SUM($I$48:$J$48),SUM($I$49:$J$49),SUM($I$50:$J$50),D$69))),IF(SUM($I$46:$J$46)&lt;&gt;0,XIRR(CHOOSE({1,2,3,4,5,6},SUM($I$46:$J$46),SUM($I$47:$J$47),SUM($I$48:$J$48),SUM($I$49:$J$49),SUM($I$50:$J$50),D$69),CHOOSE({1,2,3,4,5,6},$H$46,$H$47,$H$48,$H$49,$H$50,$C75),IRR(CHOOSE({1,2,3,4,5,6,7,8,9,10},SUM($I$42:$J$42),SUM($I$43:$J$43),SUM($I$44:$J$44),SUM($I$45:$J$45),SUM($I$46:$J$46),SUM($I$47:$J$47),SUM($I$48:$J$48),SUM($I$49:$J$49),SUM($I$50:$J$50),D$69))),IF(SUM($I$47:$J$47)&lt;&gt;0,XIRR(CHOOSE({1,2,3,4,5},SUM($I$47:$J$47),SUM($I$48:$J$48),SUM($I$49:$J$49),SUM($I$50:$J$50),D$69),CHOOSE({1,2,3,4,5},$H$47,$H$48,$H$49,$H$50,$C75),IRR(CHOOSE({1,2,3,4,5,6,7,8,9,10},SUM($I$42:$J$42),SUM($I$43:$J$43),SUM($I$44:$J$44),SUM($I$45:$J$45),SUM($I$46:$J$46),SUM($I$47:$J$47),SUM($I$48:$J$48),SUM($I$49:$J$49),SUM($I$50:$J$50),D$69))),IF(SUM($I$48:$J$48)&lt;&gt;0,XIRR(CHOOSE({1,2,3,4},SUM($I$48:$J$48),SUM($I$49:$J$49),SUM($I$50:$J$50),D$69),CHOOSE({1,2,3,4},$H$48,$H$49,$H$50,$C75),IRR(CHOOSE({1,2,3,4,5,6,7,8,9,10},SUM($I$42:$J$42),SUM($I$43:$J$43),SUM($I$44:$J$44),SUM($I$45:$J$45),SUM($I$46:$J$46),SUM($I$47:$J$47),SUM($I$48:$J$48),SUM($I$49:$J$49),SUM($I$50:$J$50),D$69))),IF(SUM($I$49:$J$49)&lt;&gt;0,XIRR(CHOOSE({1,2,3},SUM($I$49:$J$49),SUM($I$50:$J$50),D$69),CHOOSE({1,2,3},$H$49,$H$50,$C75),IRR(CHOOSE({1,2,3,4,5,6,7,8,9,10},SUM($I$42:$J$42),SUM($I$43:$J$43),SUM($I$44:$J$44),SUM($I$45:$J$45),SUM($I$46:$J$46),SUM($I$47:$J$47),SUM($I$48:$J$48),SUM($I$49:$J$49),SUM($I$50:$J$50),D$69))),IF(SUM($I$50:$J$50)&lt;&gt;0,XIRR(CHOOSE({1,2},SUM($I$50:$J$50),D$69),CHOOSE({1,2},$H$50,$C75)))))))))))),"Negative")</f>
        <v>Negative</v>
      </c>
      <c r="E75" s="769" t="str">
        <f>IFERROR(IF(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75)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75)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75)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75)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75)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75)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75)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75)))))))))))&lt;0,"Negative",IF(SUM($I$42:$J$42)&lt;&gt;0,XIRR(CHOOSE({1,2,3,4,5,6,7,8,9,10},SUM($I$42:$J$42),SUM($I$43:$J$43),SUM($I$44:$J$44),SUM($I$45:$J$45),SUM($I$46:$J$46),SUM($I$47:$J$47),SUM($I$48:$J$48),SUM($I$49:$J$49),SUM($I$50:$J$50),E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E$69))),IF(SUM($I$43:$J$43)&lt;&gt;0,XIRR(CHOOSE({1,2,3,4,5,6,7,8,9},SUM($I$43:$J$43),SUM($I$44:$J$44),SUM($I$45:$J$45),SUM($I$46:$J$46),SUM($I$47:$J$47),SUM($I$48:$J$48),SUM($I$49:$J$49),SUM($I$50:$J$50),E$69),CHOOSE({1,2,3,4,5,6,7,8,9},$H$43,$H$44,$H$45,$H$46,$H$47,$H$48,$H$49,$H$50,$C75),IRR(CHOOSE({1,2,3,4,5,6,7,8,9,10},SUM($I$42:$J$42),SUM($I$43:$J$43),SUM($I$44:$J$44),SUM($I$45:$J$45),SUM($I$46:$J$46),SUM($I$47:$J$47),SUM($I$48:$J$48),SUM($I$49:$J$49),SUM($I$50:$J$50),E$69))),IF(SUM($I$44:$J$44)&lt;&gt;0,XIRR(CHOOSE({1,2,3,4,5,6,7,8},SUM($I$44:$J$44),SUM($I$45:$J$45),SUM($I$46:$J$46),SUM($I$47:$J$47),SUM($I$48:$J$48),SUM($I$49:$J$49),SUM($I$50:$J$50),E$69),CHOOSE({1,2,3,4,5,6,7,8},$H$44,$H$45,$H$46,$H$47,$H$48,$H$49,$H$50,$C75),IRR(CHOOSE({1,2,3,4,5,6,7,8,9,10},SUM($I$42:$J$42),SUM($I$43:$J$43),SUM($I$44:$J$44),SUM($I$45:$J$45),SUM($I$46:$J$46),SUM($I$47:$J$47),SUM($I$48:$J$48),SUM($I$49:$J$49),SUM($I$50:$J$50),E$69))),IF(SUM($I$45:$J$45)&lt;&gt;0,XIRR(CHOOSE({1,2,3,4,5,6,7},SUM($I$45:$J$45),SUM($I$46:$J$46),SUM($I$47:$J$47),SUM($I$48:$J$48),SUM($I$49:$J$49),SUM($I$50:$J$50),E$69),CHOOSE({1,2,3,4,5,6,7},$H$45,$H$46,$H$47,$H$48,$H$49,$H$50,$C75),IRR(CHOOSE({1,2,3,4,5,6,7,8,9,10},SUM($I$42:$J$42),SUM($I$43:$J$43),SUM($I$44:$J$44),SUM($I$45:$J$45),SUM($I$46:$J$46),SUM($I$47:$J$47),SUM($I$48:$J$48),SUM($I$49:$J$49),SUM($I$50:$J$50),E$69))),IF(SUM($I$46:$J$46)&lt;&gt;0,XIRR(CHOOSE({1,2,3,4,5,6},SUM($I$46:$J$46),SUM($I$47:$J$47),SUM($I$48:$J$48),SUM($I$49:$J$49),SUM($I$50:$J$50),E$69),CHOOSE({1,2,3,4,5,6},$H$46,$H$47,$H$48,$H$49,$H$50,$C75),IRR(CHOOSE({1,2,3,4,5,6,7,8,9,10},SUM($I$42:$J$42),SUM($I$43:$J$43),SUM($I$44:$J$44),SUM($I$45:$J$45),SUM($I$46:$J$46),SUM($I$47:$J$47),SUM($I$48:$J$48),SUM($I$49:$J$49),SUM($I$50:$J$50),E$69))),IF(SUM($I$47:$J$47)&lt;&gt;0,XIRR(CHOOSE({1,2,3,4,5},SUM($I$47:$J$47),SUM($I$48:$J$48),SUM($I$49:$J$49),SUM($I$50:$J$50),E$69),CHOOSE({1,2,3,4,5},$H$47,$H$48,$H$49,$H$50,$C75),IRR(CHOOSE({1,2,3,4,5,6,7,8,9,10},SUM($I$42:$J$42),SUM($I$43:$J$43),SUM($I$44:$J$44),SUM($I$45:$J$45),SUM($I$46:$J$46),SUM($I$47:$J$47),SUM($I$48:$J$48),SUM($I$49:$J$49),SUM($I$50:$J$50),E$69))),IF(SUM($I$48:$J$48)&lt;&gt;0,XIRR(CHOOSE({1,2,3,4},SUM($I$48:$J$48),SUM($I$49:$J$49),SUM($I$50:$J$50),E$69),CHOOSE({1,2,3,4},$H$48,$H$49,$H$50,$C75),IRR(CHOOSE({1,2,3,4,5,6,7,8,9,10},SUM($I$42:$J$42),SUM($I$43:$J$43),SUM($I$44:$J$44),SUM($I$45:$J$45),SUM($I$46:$J$46),SUM($I$47:$J$47),SUM($I$48:$J$48),SUM($I$49:$J$49),SUM($I$50:$J$50),E$69))),IF(SUM($I$49:$J$49)&lt;&gt;0,XIRR(CHOOSE({1,2,3},SUM($I$49:$J$49),SUM($I$50:$J$50),E$69),CHOOSE({1,2,3},$H$49,$H$50,$C75),IRR(CHOOSE({1,2,3,4,5,6,7,8,9,10},SUM($I$42:$J$42),SUM($I$43:$J$43),SUM($I$44:$J$44),SUM($I$45:$J$45),SUM($I$46:$J$46),SUM($I$47:$J$47),SUM($I$48:$J$48),SUM($I$49:$J$49),SUM($I$50:$J$50),E$69))),IF(SUM($I$50:$J$50)&lt;&gt;0,XIRR(CHOOSE({1,2},SUM($I$50:$J$50),E$69),CHOOSE({1,2},$H$50,$C75)))))))))))),"Negative")</f>
        <v>Negative</v>
      </c>
      <c r="F75" s="769" t="str">
        <f>IFERROR(IF(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75)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75)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75)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75)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75)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75)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75)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75)))))))))))&lt;0,"Negative",IF(SUM($I$42:$J$42)&lt;&gt;0,XIRR(CHOOSE({1,2,3,4,5,6,7,8,9,10},SUM($I$42:$J$42),SUM($I$43:$J$43),SUM($I$44:$J$44),SUM($I$45:$J$45),SUM($I$46:$J$46),SUM($I$47:$J$47),SUM($I$48:$J$48),SUM($I$49:$J$49),SUM($I$50:$J$50),F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F$69))),IF(SUM($I$43:$J$43)&lt;&gt;0,XIRR(CHOOSE({1,2,3,4,5,6,7,8,9},SUM($I$43:$J$43),SUM($I$44:$J$44),SUM($I$45:$J$45),SUM($I$46:$J$46),SUM($I$47:$J$47),SUM($I$48:$J$48),SUM($I$49:$J$49),SUM($I$50:$J$50),F$69),CHOOSE({1,2,3,4,5,6,7,8,9},$H$43,$H$44,$H$45,$H$46,$H$47,$H$48,$H$49,$H$50,$C75),IRR(CHOOSE({1,2,3,4,5,6,7,8,9,10},SUM($I$42:$J$42),SUM($I$43:$J$43),SUM($I$44:$J$44),SUM($I$45:$J$45),SUM($I$46:$J$46),SUM($I$47:$J$47),SUM($I$48:$J$48),SUM($I$49:$J$49),SUM($I$50:$J$50),F$69))),IF(SUM($I$44:$J$44)&lt;&gt;0,XIRR(CHOOSE({1,2,3,4,5,6,7,8},SUM($I$44:$J$44),SUM($I$45:$J$45),SUM($I$46:$J$46),SUM($I$47:$J$47),SUM($I$48:$J$48),SUM($I$49:$J$49),SUM($I$50:$J$50),F$69),CHOOSE({1,2,3,4,5,6,7,8},$H$44,$H$45,$H$46,$H$47,$H$48,$H$49,$H$50,$C75),IRR(CHOOSE({1,2,3,4,5,6,7,8,9,10},SUM($I$42:$J$42),SUM($I$43:$J$43),SUM($I$44:$J$44),SUM($I$45:$J$45),SUM($I$46:$J$46),SUM($I$47:$J$47),SUM($I$48:$J$48),SUM($I$49:$J$49),SUM($I$50:$J$50),F$69))),IF(SUM($I$45:$J$45)&lt;&gt;0,XIRR(CHOOSE({1,2,3,4,5,6,7},SUM($I$45:$J$45),SUM($I$46:$J$46),SUM($I$47:$J$47),SUM($I$48:$J$48),SUM($I$49:$J$49),SUM($I$50:$J$50),F$69),CHOOSE({1,2,3,4,5,6,7},$H$45,$H$46,$H$47,$H$48,$H$49,$H$50,$C75),IRR(CHOOSE({1,2,3,4,5,6,7,8,9,10},SUM($I$42:$J$42),SUM($I$43:$J$43),SUM($I$44:$J$44),SUM($I$45:$J$45),SUM($I$46:$J$46),SUM($I$47:$J$47),SUM($I$48:$J$48),SUM($I$49:$J$49),SUM($I$50:$J$50),F$69))),IF(SUM($I$46:$J$46)&lt;&gt;0,XIRR(CHOOSE({1,2,3,4,5,6},SUM($I$46:$J$46),SUM($I$47:$J$47),SUM($I$48:$J$48),SUM($I$49:$J$49),SUM($I$50:$J$50),F$69),CHOOSE({1,2,3,4,5,6},$H$46,$H$47,$H$48,$H$49,$H$50,$C75),IRR(CHOOSE({1,2,3,4,5,6,7,8,9,10},SUM($I$42:$J$42),SUM($I$43:$J$43),SUM($I$44:$J$44),SUM($I$45:$J$45),SUM($I$46:$J$46),SUM($I$47:$J$47),SUM($I$48:$J$48),SUM($I$49:$J$49),SUM($I$50:$J$50),F$69))),IF(SUM($I$47:$J$47)&lt;&gt;0,XIRR(CHOOSE({1,2,3,4,5},SUM($I$47:$J$47),SUM($I$48:$J$48),SUM($I$49:$J$49),SUM($I$50:$J$50),F$69),CHOOSE({1,2,3,4,5},$H$47,$H$48,$H$49,$H$50,$C75),IRR(CHOOSE({1,2,3,4,5,6,7,8,9,10},SUM($I$42:$J$42),SUM($I$43:$J$43),SUM($I$44:$J$44),SUM($I$45:$J$45),SUM($I$46:$J$46),SUM($I$47:$J$47),SUM($I$48:$J$48),SUM($I$49:$J$49),SUM($I$50:$J$50),F$69))),IF(SUM($I$48:$J$48)&lt;&gt;0,XIRR(CHOOSE({1,2,3,4},SUM($I$48:$J$48),SUM($I$49:$J$49),SUM($I$50:$J$50),F$69),CHOOSE({1,2,3,4},$H$48,$H$49,$H$50,$C75),IRR(CHOOSE({1,2,3,4,5,6,7,8,9,10},SUM($I$42:$J$42),SUM($I$43:$J$43),SUM($I$44:$J$44),SUM($I$45:$J$45),SUM($I$46:$J$46),SUM($I$47:$J$47),SUM($I$48:$J$48),SUM($I$49:$J$49),SUM($I$50:$J$50),F$69))),IF(SUM($I$49:$J$49)&lt;&gt;0,XIRR(CHOOSE({1,2,3},SUM($I$49:$J$49),SUM($I$50:$J$50),F$69),CHOOSE({1,2,3},$H$49,$H$50,$C75),IRR(CHOOSE({1,2,3,4,5,6,7,8,9,10},SUM($I$42:$J$42),SUM($I$43:$J$43),SUM($I$44:$J$44),SUM($I$45:$J$45),SUM($I$46:$J$46),SUM($I$47:$J$47),SUM($I$48:$J$48),SUM($I$49:$J$49),SUM($I$50:$J$50),F$69))),IF(SUM($I$50:$J$50)&lt;&gt;0,XIRR(CHOOSE({1,2},SUM($I$50:$J$50),F$69),CHOOSE({1,2},$H$50,$C75)))))))))))),"Negative")</f>
        <v>Negative</v>
      </c>
      <c r="G75" s="770" t="str">
        <f>IFERROR(IF(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75)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75)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75)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75)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75)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75)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75)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75)))))))))))&lt;0,"Negative",IF(SUM($I$42:$J$42)&lt;&gt;0,XIRR(CHOOSE({1,2,3,4,5,6,7,8,9,10},SUM($I$42:$J$42),SUM($I$43:$J$43),SUM($I$44:$J$44),SUM($I$45:$J$45),SUM($I$46:$J$46),SUM($I$47:$J$47),SUM($I$48:$J$48),SUM($I$49:$J$49),SUM($I$50:$J$50),G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G$69))),IF(SUM($I$43:$J$43)&lt;&gt;0,XIRR(CHOOSE({1,2,3,4,5,6,7,8,9},SUM($I$43:$J$43),SUM($I$44:$J$44),SUM($I$45:$J$45),SUM($I$46:$J$46),SUM($I$47:$J$47),SUM($I$48:$J$48),SUM($I$49:$J$49),SUM($I$50:$J$50),G$69),CHOOSE({1,2,3,4,5,6,7,8,9},$H$43,$H$44,$H$45,$H$46,$H$47,$H$48,$H$49,$H$50,$C75),IRR(CHOOSE({1,2,3,4,5,6,7,8,9,10},SUM($I$42:$J$42),SUM($I$43:$J$43),SUM($I$44:$J$44),SUM($I$45:$J$45),SUM($I$46:$J$46),SUM($I$47:$J$47),SUM($I$48:$J$48),SUM($I$49:$J$49),SUM($I$50:$J$50),G$69))),IF(SUM($I$44:$J$44)&lt;&gt;0,XIRR(CHOOSE({1,2,3,4,5,6,7,8},SUM($I$44:$J$44),SUM($I$45:$J$45),SUM($I$46:$J$46),SUM($I$47:$J$47),SUM($I$48:$J$48),SUM($I$49:$J$49),SUM($I$50:$J$50),G$69),CHOOSE({1,2,3,4,5,6,7,8},$H$44,$H$45,$H$46,$H$47,$H$48,$H$49,$H$50,$C75),IRR(CHOOSE({1,2,3,4,5,6,7,8,9,10},SUM($I$42:$J$42),SUM($I$43:$J$43),SUM($I$44:$J$44),SUM($I$45:$J$45),SUM($I$46:$J$46),SUM($I$47:$J$47),SUM($I$48:$J$48),SUM($I$49:$J$49),SUM($I$50:$J$50),G$69))),IF(SUM($I$45:$J$45)&lt;&gt;0,XIRR(CHOOSE({1,2,3,4,5,6,7},SUM($I$45:$J$45),SUM($I$46:$J$46),SUM($I$47:$J$47),SUM($I$48:$J$48),SUM($I$49:$J$49),SUM($I$50:$J$50),G$69),CHOOSE({1,2,3,4,5,6,7},$H$45,$H$46,$H$47,$H$48,$H$49,$H$50,$C75),IRR(CHOOSE({1,2,3,4,5,6,7,8,9,10},SUM($I$42:$J$42),SUM($I$43:$J$43),SUM($I$44:$J$44),SUM($I$45:$J$45),SUM($I$46:$J$46),SUM($I$47:$J$47),SUM($I$48:$J$48),SUM($I$49:$J$49),SUM($I$50:$J$50),G$69))),IF(SUM($I$46:$J$46)&lt;&gt;0,XIRR(CHOOSE({1,2,3,4,5,6},SUM($I$46:$J$46),SUM($I$47:$J$47),SUM($I$48:$J$48),SUM($I$49:$J$49),SUM($I$50:$J$50),G$69),CHOOSE({1,2,3,4,5,6},$H$46,$H$47,$H$48,$H$49,$H$50,$C75),IRR(CHOOSE({1,2,3,4,5,6,7,8,9,10},SUM($I$42:$J$42),SUM($I$43:$J$43),SUM($I$44:$J$44),SUM($I$45:$J$45),SUM($I$46:$J$46),SUM($I$47:$J$47),SUM($I$48:$J$48),SUM($I$49:$J$49),SUM($I$50:$J$50),G$69))),IF(SUM($I$47:$J$47)&lt;&gt;0,XIRR(CHOOSE({1,2,3,4,5},SUM($I$47:$J$47),SUM($I$48:$J$48),SUM($I$49:$J$49),SUM($I$50:$J$50),G$69),CHOOSE({1,2,3,4,5},$H$47,$H$48,$H$49,$H$50,$C75),IRR(CHOOSE({1,2,3,4,5,6,7,8,9,10},SUM($I$42:$J$42),SUM($I$43:$J$43),SUM($I$44:$J$44),SUM($I$45:$J$45),SUM($I$46:$J$46),SUM($I$47:$J$47),SUM($I$48:$J$48),SUM($I$49:$J$49),SUM($I$50:$J$50),G$69))),IF(SUM($I$48:$J$48)&lt;&gt;0,XIRR(CHOOSE({1,2,3,4},SUM($I$48:$J$48),SUM($I$49:$J$49),SUM($I$50:$J$50),G$69),CHOOSE({1,2,3,4},$H$48,$H$49,$H$50,$C75),IRR(CHOOSE({1,2,3,4,5,6,7,8,9,10},SUM($I$42:$J$42),SUM($I$43:$J$43),SUM($I$44:$J$44),SUM($I$45:$J$45),SUM($I$46:$J$46),SUM($I$47:$J$47),SUM($I$48:$J$48),SUM($I$49:$J$49),SUM($I$50:$J$50),G$69))),IF(SUM($I$49:$J$49)&lt;&gt;0,XIRR(CHOOSE({1,2,3},SUM($I$49:$J$49),SUM($I$50:$J$50),G$69),CHOOSE({1,2,3},$H$49,$H$50,$C75),IRR(CHOOSE({1,2,3,4,5,6,7,8,9,10},SUM($I$42:$J$42),SUM($I$43:$J$43),SUM($I$44:$J$44),SUM($I$45:$J$45),SUM($I$46:$J$46),SUM($I$47:$J$47),SUM($I$48:$J$48),SUM($I$49:$J$49),SUM($I$50:$J$50),G$69))),IF(SUM($I$50:$J$50)&lt;&gt;0,XIRR(CHOOSE({1,2},SUM($I$50:$J$50),G$69),CHOOSE({1,2},$H$50,$C75)))))))))))),"Negative")</f>
        <v>Negative</v>
      </c>
      <c r="H75" s="773" t="str">
        <f>IFERROR(IF(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75)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75)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75)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75)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75)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75)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75)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75)))))))))))&lt;0,"Negative",IF(SUM($I$42:$J$42)&lt;&gt;0,XIRR(CHOOSE({1,2,3,4,5,6,7,8,9,10},SUM($I$42:$J$42),SUM($I$43:$J$43),SUM($I$44:$J$44),SUM($I$45:$J$45),SUM($I$46:$J$46),SUM($I$47:$J$47),SUM($I$48:$J$48),SUM($I$49:$J$49),SUM($I$50:$J$50),H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H$69))),IF(SUM($I$43:$J$43)&lt;&gt;0,XIRR(CHOOSE({1,2,3,4,5,6,7,8,9},SUM($I$43:$J$43),SUM($I$44:$J$44),SUM($I$45:$J$45),SUM($I$46:$J$46),SUM($I$47:$J$47),SUM($I$48:$J$48),SUM($I$49:$J$49),SUM($I$50:$J$50),H$69),CHOOSE({1,2,3,4,5,6,7,8,9},$H$43,$H$44,$H$45,$H$46,$H$47,$H$48,$H$49,$H$50,$C75),IRR(CHOOSE({1,2,3,4,5,6,7,8,9,10},SUM($I$42:$J$42),SUM($I$43:$J$43),SUM($I$44:$J$44),SUM($I$45:$J$45),SUM($I$46:$J$46),SUM($I$47:$J$47),SUM($I$48:$J$48),SUM($I$49:$J$49),SUM($I$50:$J$50),H$69))),IF(SUM($I$44:$J$44)&lt;&gt;0,XIRR(CHOOSE({1,2,3,4,5,6,7,8},SUM($I$44:$J$44),SUM($I$45:$J$45),SUM($I$46:$J$46),SUM($I$47:$J$47),SUM($I$48:$J$48),SUM($I$49:$J$49),SUM($I$50:$J$50),H$69),CHOOSE({1,2,3,4,5,6,7,8},$H$44,$H$45,$H$46,$H$47,$H$48,$H$49,$H$50,$C75),IRR(CHOOSE({1,2,3,4,5,6,7,8,9,10},SUM($I$42:$J$42),SUM($I$43:$J$43),SUM($I$44:$J$44),SUM($I$45:$J$45),SUM($I$46:$J$46),SUM($I$47:$J$47),SUM($I$48:$J$48),SUM($I$49:$J$49),SUM($I$50:$J$50),H$69))),IF(SUM($I$45:$J$45)&lt;&gt;0,XIRR(CHOOSE({1,2,3,4,5,6,7},SUM($I$45:$J$45),SUM($I$46:$J$46),SUM($I$47:$J$47),SUM($I$48:$J$48),SUM($I$49:$J$49),SUM($I$50:$J$50),H$69),CHOOSE({1,2,3,4,5,6,7},$H$45,$H$46,$H$47,$H$48,$H$49,$H$50,$C75),IRR(CHOOSE({1,2,3,4,5,6,7,8,9,10},SUM($I$42:$J$42),SUM($I$43:$J$43),SUM($I$44:$J$44),SUM($I$45:$J$45),SUM($I$46:$J$46),SUM($I$47:$J$47),SUM($I$48:$J$48),SUM($I$49:$J$49),SUM($I$50:$J$50),H$69))),IF(SUM($I$46:$J$46)&lt;&gt;0,XIRR(CHOOSE({1,2,3,4,5,6},SUM($I$46:$J$46),SUM($I$47:$J$47),SUM($I$48:$J$48),SUM($I$49:$J$49),SUM($I$50:$J$50),H$69),CHOOSE({1,2,3,4,5,6},$H$46,$H$47,$H$48,$H$49,$H$50,$C75),IRR(CHOOSE({1,2,3,4,5,6,7,8,9,10},SUM($I$42:$J$42),SUM($I$43:$J$43),SUM($I$44:$J$44),SUM($I$45:$J$45),SUM($I$46:$J$46),SUM($I$47:$J$47),SUM($I$48:$J$48),SUM($I$49:$J$49),SUM($I$50:$J$50),H$69))),IF(SUM($I$47:$J$47)&lt;&gt;0,XIRR(CHOOSE({1,2,3,4,5},SUM($I$47:$J$47),SUM($I$48:$J$48),SUM($I$49:$J$49),SUM($I$50:$J$50),H$69),CHOOSE({1,2,3,4,5},$H$47,$H$48,$H$49,$H$50,$C75),IRR(CHOOSE({1,2,3,4,5,6,7,8,9,10},SUM($I$42:$J$42),SUM($I$43:$J$43),SUM($I$44:$J$44),SUM($I$45:$J$45),SUM($I$46:$J$46),SUM($I$47:$J$47),SUM($I$48:$J$48),SUM($I$49:$J$49),SUM($I$50:$J$50),H$69))),IF(SUM($I$48:$J$48)&lt;&gt;0,XIRR(CHOOSE({1,2,3,4},SUM($I$48:$J$48),SUM($I$49:$J$49),SUM($I$50:$J$50),H$69),CHOOSE({1,2,3,4},$H$48,$H$49,$H$50,$C75),IRR(CHOOSE({1,2,3,4,5,6,7,8,9,10},SUM($I$42:$J$42),SUM($I$43:$J$43),SUM($I$44:$J$44),SUM($I$45:$J$45),SUM($I$46:$J$46),SUM($I$47:$J$47),SUM($I$48:$J$48),SUM($I$49:$J$49),SUM($I$50:$J$50),H$69))),IF(SUM($I$49:$J$49)&lt;&gt;0,XIRR(CHOOSE({1,2,3},SUM($I$49:$J$49),SUM($I$50:$J$50),H$69),CHOOSE({1,2,3},$H$49,$H$50,$C75),IRR(CHOOSE({1,2,3,4,5,6,7,8,9,10},SUM($I$42:$J$42),SUM($I$43:$J$43),SUM($I$44:$J$44),SUM($I$45:$J$45),SUM($I$46:$J$46),SUM($I$47:$J$47),SUM($I$48:$J$48),SUM($I$49:$J$49),SUM($I$50:$J$50),H$69))),IF(SUM($I$50:$J$50)&lt;&gt;0,XIRR(CHOOSE({1,2},SUM($I$50:$J$50),H$69),CHOOSE({1,2},$H$50,$C75)))))))))))),"Negative")</f>
        <v>Negative</v>
      </c>
      <c r="I75" s="772" t="str">
        <f>IFERROR(IF(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75)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75)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75)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75)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75)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75)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75)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75)))))))))))&lt;0,"Negative",IF(SUM($I$42:$J$42)&lt;&gt;0,XIRR(CHOOSE({1,2,3,4,5,6,7,8,9,10},SUM($I$42:$J$42),SUM($I$43:$J$43),SUM($I$44:$J$44),SUM($I$45:$J$45),SUM($I$46:$J$46),SUM($I$47:$J$47),SUM($I$48:$J$48),SUM($I$49:$J$49),SUM($I$50:$J$50),I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I$69))),IF(SUM($I$43:$J$43)&lt;&gt;0,XIRR(CHOOSE({1,2,3,4,5,6,7,8,9},SUM($I$43:$J$43),SUM($I$44:$J$44),SUM($I$45:$J$45),SUM($I$46:$J$46),SUM($I$47:$J$47),SUM($I$48:$J$48),SUM($I$49:$J$49),SUM($I$50:$J$50),I$69),CHOOSE({1,2,3,4,5,6,7,8,9},$H$43,$H$44,$H$45,$H$46,$H$47,$H$48,$H$49,$H$50,$C75),IRR(CHOOSE({1,2,3,4,5,6,7,8,9,10},SUM($I$42:$J$42),SUM($I$43:$J$43),SUM($I$44:$J$44),SUM($I$45:$J$45),SUM($I$46:$J$46),SUM($I$47:$J$47),SUM($I$48:$J$48),SUM($I$49:$J$49),SUM($I$50:$J$50),I$69))),IF(SUM($I$44:$J$44)&lt;&gt;0,XIRR(CHOOSE({1,2,3,4,5,6,7,8},SUM($I$44:$J$44),SUM($I$45:$J$45),SUM($I$46:$J$46),SUM($I$47:$J$47),SUM($I$48:$J$48),SUM($I$49:$J$49),SUM($I$50:$J$50),I$69),CHOOSE({1,2,3,4,5,6,7,8},$H$44,$H$45,$H$46,$H$47,$H$48,$H$49,$H$50,$C75),IRR(CHOOSE({1,2,3,4,5,6,7,8,9,10},SUM($I$42:$J$42),SUM($I$43:$J$43),SUM($I$44:$J$44),SUM($I$45:$J$45),SUM($I$46:$J$46),SUM($I$47:$J$47),SUM($I$48:$J$48),SUM($I$49:$J$49),SUM($I$50:$J$50),I$69))),IF(SUM($I$45:$J$45)&lt;&gt;0,XIRR(CHOOSE({1,2,3,4,5,6,7},SUM($I$45:$J$45),SUM($I$46:$J$46),SUM($I$47:$J$47),SUM($I$48:$J$48),SUM($I$49:$J$49),SUM($I$50:$J$50),I$69),CHOOSE({1,2,3,4,5,6,7},$H$45,$H$46,$H$47,$H$48,$H$49,$H$50,$C75),IRR(CHOOSE({1,2,3,4,5,6,7,8,9,10},SUM($I$42:$J$42),SUM($I$43:$J$43),SUM($I$44:$J$44),SUM($I$45:$J$45),SUM($I$46:$J$46),SUM($I$47:$J$47),SUM($I$48:$J$48),SUM($I$49:$J$49),SUM($I$50:$J$50),I$69))),IF(SUM($I$46:$J$46)&lt;&gt;0,XIRR(CHOOSE({1,2,3,4,5,6},SUM($I$46:$J$46),SUM($I$47:$J$47),SUM($I$48:$J$48),SUM($I$49:$J$49),SUM($I$50:$J$50),I$69),CHOOSE({1,2,3,4,5,6},$H$46,$H$47,$H$48,$H$49,$H$50,$C75),IRR(CHOOSE({1,2,3,4,5,6,7,8,9,10},SUM($I$42:$J$42),SUM($I$43:$J$43),SUM($I$44:$J$44),SUM($I$45:$J$45),SUM($I$46:$J$46),SUM($I$47:$J$47),SUM($I$48:$J$48),SUM($I$49:$J$49),SUM($I$50:$J$50),I$69))),IF(SUM($I$47:$J$47)&lt;&gt;0,XIRR(CHOOSE({1,2,3,4,5},SUM($I$47:$J$47),SUM($I$48:$J$48),SUM($I$49:$J$49),SUM($I$50:$J$50),I$69),CHOOSE({1,2,3,4,5},$H$47,$H$48,$H$49,$H$50,$C75),IRR(CHOOSE({1,2,3,4,5,6,7,8,9,10},SUM($I$42:$J$42),SUM($I$43:$J$43),SUM($I$44:$J$44),SUM($I$45:$J$45),SUM($I$46:$J$46),SUM($I$47:$J$47),SUM($I$48:$J$48),SUM($I$49:$J$49),SUM($I$50:$J$50),I$69))),IF(SUM($I$48:$J$48)&lt;&gt;0,XIRR(CHOOSE({1,2,3,4},SUM($I$48:$J$48),SUM($I$49:$J$49),SUM($I$50:$J$50),I$69),CHOOSE({1,2,3,4},$H$48,$H$49,$H$50,$C75),IRR(CHOOSE({1,2,3,4,5,6,7,8,9,10},SUM($I$42:$J$42),SUM($I$43:$J$43),SUM($I$44:$J$44),SUM($I$45:$J$45),SUM($I$46:$J$46),SUM($I$47:$J$47),SUM($I$48:$J$48),SUM($I$49:$J$49),SUM($I$50:$J$50),I$69))),IF(SUM($I$49:$J$49)&lt;&gt;0,XIRR(CHOOSE({1,2,3},SUM($I$49:$J$49),SUM($I$50:$J$50),I$69),CHOOSE({1,2,3},$H$49,$H$50,$C75),IRR(CHOOSE({1,2,3,4,5,6,7,8,9,10},SUM($I$42:$J$42),SUM($I$43:$J$43),SUM($I$44:$J$44),SUM($I$45:$J$45),SUM($I$46:$J$46),SUM($I$47:$J$47),SUM($I$48:$J$48),SUM($I$49:$J$49),SUM($I$50:$J$50),I$69))),IF(SUM($I$50:$J$50)&lt;&gt;0,XIRR(CHOOSE({1,2},SUM($I$50:$J$50),I$69),CHOOSE({1,2},$H$50,$C75)))))))))))),"Negative")</f>
        <v>Negative</v>
      </c>
      <c r="J75" s="769" t="str">
        <f>IFERROR(IF(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75)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75)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75)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75)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75)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75)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75)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75)))))))))))&lt;0,"Negative",IF(SUM($I$42:$J$42)&lt;&gt;0,XIRR(CHOOSE({1,2,3,4,5,6,7,8,9,10},SUM($I$42:$J$42),SUM($I$43:$J$43),SUM($I$44:$J$44),SUM($I$45:$J$45),SUM($I$46:$J$46),SUM($I$47:$J$47),SUM($I$48:$J$48),SUM($I$49:$J$49),SUM($I$50:$J$50),J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J$69))),IF(SUM($I$43:$J$43)&lt;&gt;0,XIRR(CHOOSE({1,2,3,4,5,6,7,8,9},SUM($I$43:$J$43),SUM($I$44:$J$44),SUM($I$45:$J$45),SUM($I$46:$J$46),SUM($I$47:$J$47),SUM($I$48:$J$48),SUM($I$49:$J$49),SUM($I$50:$J$50),J$69),CHOOSE({1,2,3,4,5,6,7,8,9},$H$43,$H$44,$H$45,$H$46,$H$47,$H$48,$H$49,$H$50,$C75),IRR(CHOOSE({1,2,3,4,5,6,7,8,9,10},SUM($I$42:$J$42),SUM($I$43:$J$43),SUM($I$44:$J$44),SUM($I$45:$J$45),SUM($I$46:$J$46),SUM($I$47:$J$47),SUM($I$48:$J$48),SUM($I$49:$J$49),SUM($I$50:$J$50),J$69))),IF(SUM($I$44:$J$44)&lt;&gt;0,XIRR(CHOOSE({1,2,3,4,5,6,7,8},SUM($I$44:$J$44),SUM($I$45:$J$45),SUM($I$46:$J$46),SUM($I$47:$J$47),SUM($I$48:$J$48),SUM($I$49:$J$49),SUM($I$50:$J$50),J$69),CHOOSE({1,2,3,4,5,6,7,8},$H$44,$H$45,$H$46,$H$47,$H$48,$H$49,$H$50,$C75),IRR(CHOOSE({1,2,3,4,5,6,7,8,9,10},SUM($I$42:$J$42),SUM($I$43:$J$43),SUM($I$44:$J$44),SUM($I$45:$J$45),SUM($I$46:$J$46),SUM($I$47:$J$47),SUM($I$48:$J$48),SUM($I$49:$J$49),SUM($I$50:$J$50),J$69))),IF(SUM($I$45:$J$45)&lt;&gt;0,XIRR(CHOOSE({1,2,3,4,5,6,7},SUM($I$45:$J$45),SUM($I$46:$J$46),SUM($I$47:$J$47),SUM($I$48:$J$48),SUM($I$49:$J$49),SUM($I$50:$J$50),J$69),CHOOSE({1,2,3,4,5,6,7},$H$45,$H$46,$H$47,$H$48,$H$49,$H$50,$C75),IRR(CHOOSE({1,2,3,4,5,6,7,8,9,10},SUM($I$42:$J$42),SUM($I$43:$J$43),SUM($I$44:$J$44),SUM($I$45:$J$45),SUM($I$46:$J$46),SUM($I$47:$J$47),SUM($I$48:$J$48),SUM($I$49:$J$49),SUM($I$50:$J$50),J$69))),IF(SUM($I$46:$J$46)&lt;&gt;0,XIRR(CHOOSE({1,2,3,4,5,6},SUM($I$46:$J$46),SUM($I$47:$J$47),SUM($I$48:$J$48),SUM($I$49:$J$49),SUM($I$50:$J$50),J$69),CHOOSE({1,2,3,4,5,6},$H$46,$H$47,$H$48,$H$49,$H$50,$C75),IRR(CHOOSE({1,2,3,4,5,6,7,8,9,10},SUM($I$42:$J$42),SUM($I$43:$J$43),SUM($I$44:$J$44),SUM($I$45:$J$45),SUM($I$46:$J$46),SUM($I$47:$J$47),SUM($I$48:$J$48),SUM($I$49:$J$49),SUM($I$50:$J$50),J$69))),IF(SUM($I$47:$J$47)&lt;&gt;0,XIRR(CHOOSE({1,2,3,4,5},SUM($I$47:$J$47),SUM($I$48:$J$48),SUM($I$49:$J$49),SUM($I$50:$J$50),J$69),CHOOSE({1,2,3,4,5},$H$47,$H$48,$H$49,$H$50,$C75),IRR(CHOOSE({1,2,3,4,5,6,7,8,9,10},SUM($I$42:$J$42),SUM($I$43:$J$43),SUM($I$44:$J$44),SUM($I$45:$J$45),SUM($I$46:$J$46),SUM($I$47:$J$47),SUM($I$48:$J$48),SUM($I$49:$J$49),SUM($I$50:$J$50),J$69))),IF(SUM($I$48:$J$48)&lt;&gt;0,XIRR(CHOOSE({1,2,3,4},SUM($I$48:$J$48),SUM($I$49:$J$49),SUM($I$50:$J$50),J$69),CHOOSE({1,2,3,4},$H$48,$H$49,$H$50,$C75),IRR(CHOOSE({1,2,3,4,5,6,7,8,9,10},SUM($I$42:$J$42),SUM($I$43:$J$43),SUM($I$44:$J$44),SUM($I$45:$J$45),SUM($I$46:$J$46),SUM($I$47:$J$47),SUM($I$48:$J$48),SUM($I$49:$J$49),SUM($I$50:$J$50),J$69))),IF(SUM($I$49:$J$49)&lt;&gt;0,XIRR(CHOOSE({1,2,3},SUM($I$49:$J$49),SUM($I$50:$J$50),J$69),CHOOSE({1,2,3},$H$49,$H$50,$C75),IRR(CHOOSE({1,2,3,4,5,6,7,8,9,10},SUM($I$42:$J$42),SUM($I$43:$J$43),SUM($I$44:$J$44),SUM($I$45:$J$45),SUM($I$46:$J$46),SUM($I$47:$J$47),SUM($I$48:$J$48),SUM($I$49:$J$49),SUM($I$50:$J$50),J$69))),IF(SUM($I$50:$J$50)&lt;&gt;0,XIRR(CHOOSE({1,2},SUM($I$50:$J$50),J$69),CHOOSE({1,2},$H$50,$C75)))))))))))),"Negative")</f>
        <v>Negative</v>
      </c>
      <c r="K75" s="769" t="str">
        <f>IFERROR(IF(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75)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75)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75)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75)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75)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75)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75)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75)))))))))))&lt;0,"Negative",IF(SUM($I$42:$J$42)&lt;&gt;0,XIRR(CHOOSE({1,2,3,4,5,6,7,8,9,10},SUM($I$42:$J$42),SUM($I$43:$J$43),SUM($I$44:$J$44),SUM($I$45:$J$45),SUM($I$46:$J$46),SUM($I$47:$J$47),SUM($I$48:$J$48),SUM($I$49:$J$49),SUM($I$50:$J$50),K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K$69))),IF(SUM($I$43:$J$43)&lt;&gt;0,XIRR(CHOOSE({1,2,3,4,5,6,7,8,9},SUM($I$43:$J$43),SUM($I$44:$J$44),SUM($I$45:$J$45),SUM($I$46:$J$46),SUM($I$47:$J$47),SUM($I$48:$J$48),SUM($I$49:$J$49),SUM($I$50:$J$50),K$69),CHOOSE({1,2,3,4,5,6,7,8,9},$H$43,$H$44,$H$45,$H$46,$H$47,$H$48,$H$49,$H$50,$C75),IRR(CHOOSE({1,2,3,4,5,6,7,8,9,10},SUM($I$42:$J$42),SUM($I$43:$J$43),SUM($I$44:$J$44),SUM($I$45:$J$45),SUM($I$46:$J$46),SUM($I$47:$J$47),SUM($I$48:$J$48),SUM($I$49:$J$49),SUM($I$50:$J$50),K$69))),IF(SUM($I$44:$J$44)&lt;&gt;0,XIRR(CHOOSE({1,2,3,4,5,6,7,8},SUM($I$44:$J$44),SUM($I$45:$J$45),SUM($I$46:$J$46),SUM($I$47:$J$47),SUM($I$48:$J$48),SUM($I$49:$J$49),SUM($I$50:$J$50),K$69),CHOOSE({1,2,3,4,5,6,7,8},$H$44,$H$45,$H$46,$H$47,$H$48,$H$49,$H$50,$C75),IRR(CHOOSE({1,2,3,4,5,6,7,8,9,10},SUM($I$42:$J$42),SUM($I$43:$J$43),SUM($I$44:$J$44),SUM($I$45:$J$45),SUM($I$46:$J$46),SUM($I$47:$J$47),SUM($I$48:$J$48),SUM($I$49:$J$49),SUM($I$50:$J$50),K$69))),IF(SUM($I$45:$J$45)&lt;&gt;0,XIRR(CHOOSE({1,2,3,4,5,6,7},SUM($I$45:$J$45),SUM($I$46:$J$46),SUM($I$47:$J$47),SUM($I$48:$J$48),SUM($I$49:$J$49),SUM($I$50:$J$50),K$69),CHOOSE({1,2,3,4,5,6,7},$H$45,$H$46,$H$47,$H$48,$H$49,$H$50,$C75),IRR(CHOOSE({1,2,3,4,5,6,7,8,9,10},SUM($I$42:$J$42),SUM($I$43:$J$43),SUM($I$44:$J$44),SUM($I$45:$J$45),SUM($I$46:$J$46),SUM($I$47:$J$47),SUM($I$48:$J$48),SUM($I$49:$J$49),SUM($I$50:$J$50),K$69))),IF(SUM($I$46:$J$46)&lt;&gt;0,XIRR(CHOOSE({1,2,3,4,5,6},SUM($I$46:$J$46),SUM($I$47:$J$47),SUM($I$48:$J$48),SUM($I$49:$J$49),SUM($I$50:$J$50),K$69),CHOOSE({1,2,3,4,5,6},$H$46,$H$47,$H$48,$H$49,$H$50,$C75),IRR(CHOOSE({1,2,3,4,5,6,7,8,9,10},SUM($I$42:$J$42),SUM($I$43:$J$43),SUM($I$44:$J$44),SUM($I$45:$J$45),SUM($I$46:$J$46),SUM($I$47:$J$47),SUM($I$48:$J$48),SUM($I$49:$J$49),SUM($I$50:$J$50),K$69))),IF(SUM($I$47:$J$47)&lt;&gt;0,XIRR(CHOOSE({1,2,3,4,5},SUM($I$47:$J$47),SUM($I$48:$J$48),SUM($I$49:$J$49),SUM($I$50:$J$50),K$69),CHOOSE({1,2,3,4,5},$H$47,$H$48,$H$49,$H$50,$C75),IRR(CHOOSE({1,2,3,4,5,6,7,8,9,10},SUM($I$42:$J$42),SUM($I$43:$J$43),SUM($I$44:$J$44),SUM($I$45:$J$45),SUM($I$46:$J$46),SUM($I$47:$J$47),SUM($I$48:$J$48),SUM($I$49:$J$49),SUM($I$50:$J$50),K$69))),IF(SUM($I$48:$J$48)&lt;&gt;0,XIRR(CHOOSE({1,2,3,4},SUM($I$48:$J$48),SUM($I$49:$J$49),SUM($I$50:$J$50),K$69),CHOOSE({1,2,3,4},$H$48,$H$49,$H$50,$C75),IRR(CHOOSE({1,2,3,4,5,6,7,8,9,10},SUM($I$42:$J$42),SUM($I$43:$J$43),SUM($I$44:$J$44),SUM($I$45:$J$45),SUM($I$46:$J$46),SUM($I$47:$J$47),SUM($I$48:$J$48),SUM($I$49:$J$49),SUM($I$50:$J$50),K$69))),IF(SUM($I$49:$J$49)&lt;&gt;0,XIRR(CHOOSE({1,2,3},SUM($I$49:$J$49),SUM($I$50:$J$50),K$69),CHOOSE({1,2,3},$H$49,$H$50,$C75),IRR(CHOOSE({1,2,3,4,5,6,7,8,9,10},SUM($I$42:$J$42),SUM($I$43:$J$43),SUM($I$44:$J$44),SUM($I$45:$J$45),SUM($I$46:$J$46),SUM($I$47:$J$47),SUM($I$48:$J$48),SUM($I$49:$J$49),SUM($I$50:$J$50),K$69))),IF(SUM($I$50:$J$50)&lt;&gt;0,XIRR(CHOOSE({1,2},SUM($I$50:$J$50),K$69),CHOOSE({1,2},$H$50,$C75)))))))))))),"Negative")</f>
        <v>Negative</v>
      </c>
      <c r="L75" s="769" t="str">
        <f>IFERROR(IF(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75)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75)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75)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75)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75)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75)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75)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75)))))))))))&lt;0,"Negative",IF(SUM($I$42:$J$42)&lt;&gt;0,XIRR(CHOOSE({1,2,3,4,5,6,7,8,9,10},SUM($I$42:$J$42),SUM($I$43:$J$43),SUM($I$44:$J$44),SUM($I$45:$J$45),SUM($I$46:$J$46),SUM($I$47:$J$47),SUM($I$48:$J$48),SUM($I$49:$J$49),SUM($I$50:$J$50),L$69),CHOOSE({1,2,3,4,5,6,7,8,9,10},$H$42,$H$43,$H$44,$H$45,$H$46,$H$47,$H$48,$H$49,$H$50,$C75),IRR(CHOOSE({1,2,3,4,5,6,7,8,9,10},SUM($I$42:$J$42),SUM($I$43:$J$43),SUM($I$44:$J$44),SUM($I$45:$J$45),SUM($I$46:$J$46),SUM($I$47:$J$47),SUM($I$48:$J$48),SUM($I$49:$J$49),SUM($I$50:$J$50),L$69))),IF(SUM($I$43:$J$43)&lt;&gt;0,XIRR(CHOOSE({1,2,3,4,5,6,7,8,9},SUM($I$43:$J$43),SUM($I$44:$J$44),SUM($I$45:$J$45),SUM($I$46:$J$46),SUM($I$47:$J$47),SUM($I$48:$J$48),SUM($I$49:$J$49),SUM($I$50:$J$50),L$69),CHOOSE({1,2,3,4,5,6,7,8,9},$H$43,$H$44,$H$45,$H$46,$H$47,$H$48,$H$49,$H$50,$C75),IRR(CHOOSE({1,2,3,4,5,6,7,8,9,10},SUM($I$42:$J$42),SUM($I$43:$J$43),SUM($I$44:$J$44),SUM($I$45:$J$45),SUM($I$46:$J$46),SUM($I$47:$J$47),SUM($I$48:$J$48),SUM($I$49:$J$49),SUM($I$50:$J$50),L$69))),IF(SUM($I$44:$J$44)&lt;&gt;0,XIRR(CHOOSE({1,2,3,4,5,6,7,8},SUM($I$44:$J$44),SUM($I$45:$J$45),SUM($I$46:$J$46),SUM($I$47:$J$47),SUM($I$48:$J$48),SUM($I$49:$J$49),SUM($I$50:$J$50),L$69),CHOOSE({1,2,3,4,5,6,7,8},$H$44,$H$45,$H$46,$H$47,$H$48,$H$49,$H$50,$C75),IRR(CHOOSE({1,2,3,4,5,6,7,8,9,10},SUM($I$42:$J$42),SUM($I$43:$J$43),SUM($I$44:$J$44),SUM($I$45:$J$45),SUM($I$46:$J$46),SUM($I$47:$J$47),SUM($I$48:$J$48),SUM($I$49:$J$49),SUM($I$50:$J$50),L$69))),IF(SUM($I$45:$J$45)&lt;&gt;0,XIRR(CHOOSE({1,2,3,4,5,6,7},SUM($I$45:$J$45),SUM($I$46:$J$46),SUM($I$47:$J$47),SUM($I$48:$J$48),SUM($I$49:$J$49),SUM($I$50:$J$50),L$69),CHOOSE({1,2,3,4,5,6,7},$H$45,$H$46,$H$47,$H$48,$H$49,$H$50,$C75),IRR(CHOOSE({1,2,3,4,5,6,7,8,9,10},SUM($I$42:$J$42),SUM($I$43:$J$43),SUM($I$44:$J$44),SUM($I$45:$J$45),SUM($I$46:$J$46),SUM($I$47:$J$47),SUM($I$48:$J$48),SUM($I$49:$J$49),SUM($I$50:$J$50),L$69))),IF(SUM($I$46:$J$46)&lt;&gt;0,XIRR(CHOOSE({1,2,3,4,5,6},SUM($I$46:$J$46),SUM($I$47:$J$47),SUM($I$48:$J$48),SUM($I$49:$J$49),SUM($I$50:$J$50),L$69),CHOOSE({1,2,3,4,5,6},$H$46,$H$47,$H$48,$H$49,$H$50,$C75),IRR(CHOOSE({1,2,3,4,5,6,7,8,9,10},SUM($I$42:$J$42),SUM($I$43:$J$43),SUM($I$44:$J$44),SUM($I$45:$J$45),SUM($I$46:$J$46),SUM($I$47:$J$47),SUM($I$48:$J$48),SUM($I$49:$J$49),SUM($I$50:$J$50),L$69))),IF(SUM($I$47:$J$47)&lt;&gt;0,XIRR(CHOOSE({1,2,3,4,5},SUM($I$47:$J$47),SUM($I$48:$J$48),SUM($I$49:$J$49),SUM($I$50:$J$50),L$69),CHOOSE({1,2,3,4,5},$H$47,$H$48,$H$49,$H$50,$C75),IRR(CHOOSE({1,2,3,4,5,6,7,8,9,10},SUM($I$42:$J$42),SUM($I$43:$J$43),SUM($I$44:$J$44),SUM($I$45:$J$45),SUM($I$46:$J$46),SUM($I$47:$J$47),SUM($I$48:$J$48),SUM($I$49:$J$49),SUM($I$50:$J$50),L$69))),IF(SUM($I$48:$J$48)&lt;&gt;0,XIRR(CHOOSE({1,2,3,4},SUM($I$48:$J$48),SUM($I$49:$J$49),SUM($I$50:$J$50),L$69),CHOOSE({1,2,3,4},$H$48,$H$49,$H$50,$C75),IRR(CHOOSE({1,2,3,4,5,6,7,8,9,10},SUM($I$42:$J$42),SUM($I$43:$J$43),SUM($I$44:$J$44),SUM($I$45:$J$45),SUM($I$46:$J$46),SUM($I$47:$J$47),SUM($I$48:$J$48),SUM($I$49:$J$49),SUM($I$50:$J$50),L$69))),IF(SUM($I$49:$J$49)&lt;&gt;0,XIRR(CHOOSE({1,2,3},SUM($I$49:$J$49),SUM($I$50:$J$50),L$69),CHOOSE({1,2,3},$H$49,$H$50,$C75),IRR(CHOOSE({1,2,3,4,5,6,7,8,9,10},SUM($I$42:$J$42),SUM($I$43:$J$43),SUM($I$44:$J$44),SUM($I$45:$J$45),SUM($I$46:$J$46),SUM($I$47:$J$47),SUM($I$48:$J$48),SUM($I$49:$J$49),SUM($I$50:$J$50),L$69))),IF(SUM($I$50:$J$50)&lt;&gt;0,XIRR(CHOOSE({1,2},SUM($I$50:$J$50),L$69),CHOOSE({1,2},$H$50,$C75)))))))))))),"Negative")</f>
        <v>Negative</v>
      </c>
      <c r="O75" s="1302"/>
      <c r="P75" s="1302"/>
      <c r="Q75" s="1302"/>
      <c r="R75" s="1302"/>
      <c r="S75" s="1302"/>
    </row>
    <row r="76" spans="1:20" s="388" customFormat="1" ht="4.1500000000000004" customHeight="1" outlineLevel="1" thickBot="1" x14ac:dyDescent="0.4">
      <c r="A76" s="447"/>
      <c r="B76" s="447"/>
      <c r="M76" s="189"/>
      <c r="N76" s="189"/>
      <c r="T76" s="189"/>
    </row>
    <row r="77" spans="1:20" s="3" customFormat="1" ht="16" outlineLevel="1" thickBot="1" x14ac:dyDescent="0.4">
      <c r="A77" s="447"/>
      <c r="B77" s="447"/>
      <c r="C77" s="490" t="s">
        <v>127</v>
      </c>
      <c r="D77" s="434">
        <f>IFERROR(D70/$E$42,)</f>
        <v>0</v>
      </c>
      <c r="E77" s="434">
        <f t="shared" ref="E77:L77" si="21">IFERROR(E70/$E$42,)</f>
        <v>0</v>
      </c>
      <c r="F77" s="434">
        <f t="shared" si="21"/>
        <v>0</v>
      </c>
      <c r="G77" s="435">
        <f t="shared" si="21"/>
        <v>0</v>
      </c>
      <c r="H77" s="491">
        <f t="shared" si="21"/>
        <v>0</v>
      </c>
      <c r="I77" s="437">
        <f t="shared" si="21"/>
        <v>0</v>
      </c>
      <c r="J77" s="434">
        <f t="shared" si="21"/>
        <v>0</v>
      </c>
      <c r="K77" s="434">
        <f t="shared" si="21"/>
        <v>0</v>
      </c>
      <c r="L77" s="434">
        <f t="shared" si="21"/>
        <v>0</v>
      </c>
      <c r="M77" s="181"/>
      <c r="N77" s="181"/>
      <c r="T77" s="181"/>
    </row>
    <row r="78" spans="1:20" x14ac:dyDescent="0.35">
      <c r="A78" s="447"/>
      <c r="B78" s="447"/>
      <c r="E78" s="1302"/>
      <c r="F78" s="1302"/>
      <c r="G78" s="1302"/>
      <c r="H78" s="1302"/>
      <c r="I78" s="1302"/>
      <c r="J78" s="1302"/>
      <c r="K78" s="1302"/>
      <c r="L78" s="1302"/>
      <c r="O78" s="1302"/>
      <c r="P78" s="1302"/>
      <c r="Q78" s="1302"/>
      <c r="R78" s="1302"/>
      <c r="S78" s="1302"/>
    </row>
    <row r="81" spans="4:12" x14ac:dyDescent="0.35">
      <c r="E81" s="388"/>
      <c r="F81" s="388"/>
      <c r="G81" s="388"/>
      <c r="H81" s="388"/>
      <c r="I81" s="388"/>
      <c r="J81" s="388"/>
      <c r="K81" s="388"/>
      <c r="L81" s="388"/>
    </row>
    <row r="82" spans="4:12" x14ac:dyDescent="0.35">
      <c r="E82" s="388"/>
      <c r="F82" s="388"/>
      <c r="G82" s="388"/>
      <c r="H82" s="388"/>
      <c r="I82" s="388"/>
      <c r="J82" s="388"/>
      <c r="K82" s="388"/>
      <c r="L82" s="388"/>
    </row>
    <row r="83" spans="4:12" x14ac:dyDescent="0.35">
      <c r="E83" s="388"/>
      <c r="F83" s="388"/>
      <c r="G83" s="388"/>
      <c r="H83" s="388"/>
      <c r="I83" s="388"/>
      <c r="J83" s="388"/>
      <c r="K83" s="388"/>
      <c r="L83" s="388"/>
    </row>
    <row r="84" spans="4:12" x14ac:dyDescent="0.35">
      <c r="D84" s="494"/>
      <c r="E84" s="494"/>
      <c r="F84" s="494"/>
      <c r="G84" s="494"/>
      <c r="H84" s="494"/>
      <c r="I84" s="494"/>
      <c r="J84" s="494"/>
      <c r="K84" s="494"/>
      <c r="L84" s="494"/>
    </row>
  </sheetData>
  <mergeCells count="4">
    <mergeCell ref="G4:I4"/>
    <mergeCell ref="O4:S4"/>
    <mergeCell ref="G40:J40"/>
    <mergeCell ref="K40:L40"/>
  </mergeCells>
  <conditionalFormatting sqref="D21:L23">
    <cfRule type="containsText" dxfId="122" priority="1" operator="containsText" text="Negative">
      <formula>NOT(ISERROR(SEARCH("Negative",D21)))</formula>
    </cfRule>
  </conditionalFormatting>
  <conditionalFormatting sqref="D33:L35">
    <cfRule type="containsText" dxfId="121" priority="3" operator="containsText" text="Negative">
      <formula>NOT(ISERROR(SEARCH("Negative",D33)))</formula>
    </cfRule>
  </conditionalFormatting>
  <conditionalFormatting sqref="D60:L62">
    <cfRule type="containsText" dxfId="120" priority="9" operator="containsText" text="Negative">
      <formula>NOT(ISERROR(SEARCH("Negative",D60)))</formula>
    </cfRule>
  </conditionalFormatting>
  <conditionalFormatting sqref="D73:L75">
    <cfRule type="containsText" dxfId="119" priority="5" operator="containsText" text="Negative">
      <formula>NOT(ISERROR(SEARCH("Negative",D73)))</formula>
    </cfRule>
  </conditionalFormatting>
  <dataValidations count="2">
    <dataValidation type="date" allowBlank="1" showInputMessage="1" showErrorMessage="1" promptTitle="Insert the date desired" prompt="_x000a_        MM/DD/YY_x000a_" sqref="C60:C62 C33 C73:C75 C21:C23" xr:uid="{7B6E6604-82BB-498A-9025-C532FD5C0901}">
      <formula1>1</formula1>
      <formula2>1132618</formula2>
    </dataValidation>
    <dataValidation type="date" allowBlank="1" showInputMessage="1" showErrorMessage="1" promptTitle="Insert only the date desired" prompt="FORMAT:_x000a__x000a_mm/dd/yy_x000a_" sqref="C34:C35" xr:uid="{7768765B-5F35-4F0D-A2A8-189C6FBB87A6}">
      <formula1>1</formula1>
      <formula2>1132618</formula2>
    </dataValidation>
  </dataValidation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E89B-28E7-419E-9D80-1EACF9C13B4D}">
  <dimension ref="B2:I39"/>
  <sheetViews>
    <sheetView workbookViewId="0">
      <selection activeCell="D32" sqref="D32"/>
    </sheetView>
  </sheetViews>
  <sheetFormatPr defaultRowHeight="14.5" x14ac:dyDescent="0.35"/>
  <cols>
    <col min="2" max="2" width="31" bestFit="1" customWidth="1"/>
    <col min="3" max="3" width="10.1796875" bestFit="1" customWidth="1"/>
    <col min="4" max="4" width="90" bestFit="1" customWidth="1"/>
    <col min="5" max="5" width="7.26953125" bestFit="1" customWidth="1"/>
    <col min="6" max="6" width="16.453125" bestFit="1" customWidth="1"/>
    <col min="7" max="7" width="14.26953125" bestFit="1" customWidth="1"/>
    <col min="8" max="8" width="17.81640625" bestFit="1" customWidth="1"/>
    <col min="9" max="9" width="17" bestFit="1" customWidth="1"/>
  </cols>
  <sheetData>
    <row r="2" spans="2:9" x14ac:dyDescent="0.35">
      <c r="B2" s="1259" t="s">
        <v>129</v>
      </c>
      <c r="C2" s="1260"/>
      <c r="D2" s="1260"/>
      <c r="E2" s="1260"/>
      <c r="F2" s="1260"/>
      <c r="G2" s="1260"/>
      <c r="H2" s="1260"/>
      <c r="I2" s="1261"/>
    </row>
    <row r="3" spans="2:9" x14ac:dyDescent="0.35">
      <c r="B3" s="1262" t="s">
        <v>130</v>
      </c>
      <c r="C3" s="1263" t="s">
        <v>131</v>
      </c>
      <c r="D3" s="1263" t="s">
        <v>132</v>
      </c>
      <c r="E3" s="1263" t="s">
        <v>91</v>
      </c>
      <c r="F3" s="1263" t="s">
        <v>133</v>
      </c>
      <c r="G3" s="1263" t="s">
        <v>134</v>
      </c>
      <c r="H3" s="1263" t="s">
        <v>135</v>
      </c>
      <c r="I3" s="1264" t="s">
        <v>136</v>
      </c>
    </row>
    <row r="4" spans="2:9" x14ac:dyDescent="0.35">
      <c r="B4" s="1265"/>
      <c r="C4" s="1266"/>
      <c r="D4" s="1267"/>
      <c r="E4" s="1268"/>
      <c r="F4" s="1269"/>
      <c r="G4" s="1270"/>
      <c r="H4" s="1271"/>
      <c r="I4" s="1272" t="str">
        <f t="shared" ref="I4:I37" si="0">IFERROR(G4/H4,"")</f>
        <v/>
      </c>
    </row>
    <row r="5" spans="2:9" x14ac:dyDescent="0.35">
      <c r="B5" s="1273"/>
      <c r="C5" s="1274"/>
      <c r="D5" s="1275"/>
      <c r="E5" s="1276"/>
      <c r="F5" s="1277"/>
      <c r="G5" s="1278"/>
      <c r="H5" s="1278"/>
      <c r="I5" s="1279" t="str">
        <f t="shared" si="0"/>
        <v/>
      </c>
    </row>
    <row r="6" spans="2:9" x14ac:dyDescent="0.35">
      <c r="B6" s="1273"/>
      <c r="C6" s="1274"/>
      <c r="D6" s="1275"/>
      <c r="E6" s="1276"/>
      <c r="F6" s="1277"/>
      <c r="G6" s="1278"/>
      <c r="H6" s="1278"/>
      <c r="I6" s="1279" t="str">
        <f t="shared" si="0"/>
        <v/>
      </c>
    </row>
    <row r="7" spans="2:9" x14ac:dyDescent="0.35">
      <c r="B7" s="1273"/>
      <c r="C7" s="1274"/>
      <c r="D7" s="1275"/>
      <c r="E7" s="1276"/>
      <c r="F7" s="1277"/>
      <c r="G7" s="1278"/>
      <c r="H7" s="1278"/>
      <c r="I7" s="1279" t="str">
        <f t="shared" si="0"/>
        <v/>
      </c>
    </row>
    <row r="8" spans="2:9" x14ac:dyDescent="0.35">
      <c r="B8" s="1273"/>
      <c r="C8" s="1274"/>
      <c r="D8" s="1275"/>
      <c r="E8" s="1276"/>
      <c r="F8" s="1277"/>
      <c r="G8" s="1278"/>
      <c r="H8" s="1280"/>
      <c r="I8" s="1279" t="str">
        <f t="shared" si="0"/>
        <v/>
      </c>
    </row>
    <row r="9" spans="2:9" x14ac:dyDescent="0.35">
      <c r="B9" s="1273"/>
      <c r="C9" s="1274"/>
      <c r="D9" s="1275"/>
      <c r="E9" s="1276"/>
      <c r="F9" s="1277"/>
      <c r="G9" s="1280"/>
      <c r="H9" s="1278"/>
      <c r="I9" s="1279" t="str">
        <f t="shared" si="0"/>
        <v/>
      </c>
    </row>
    <row r="10" spans="2:9" x14ac:dyDescent="0.35">
      <c r="B10" s="1273"/>
      <c r="C10" s="1281"/>
      <c r="D10" s="1275"/>
      <c r="E10" s="1276"/>
      <c r="F10" s="1277"/>
      <c r="G10" s="1280"/>
      <c r="H10" s="1280"/>
      <c r="I10" s="1279" t="str">
        <f t="shared" si="0"/>
        <v/>
      </c>
    </row>
    <row r="11" spans="2:9" x14ac:dyDescent="0.35">
      <c r="B11" s="1273"/>
      <c r="C11" s="1274"/>
      <c r="D11" s="1275"/>
      <c r="E11" s="1276"/>
      <c r="F11" s="1277"/>
      <c r="G11" s="1280"/>
      <c r="H11" s="1280"/>
      <c r="I11" s="1279" t="str">
        <f t="shared" si="0"/>
        <v/>
      </c>
    </row>
    <row r="12" spans="2:9" x14ac:dyDescent="0.35">
      <c r="B12" s="1273"/>
      <c r="C12" s="1281"/>
      <c r="D12" s="1275"/>
      <c r="E12" s="1281"/>
      <c r="F12" s="1277"/>
      <c r="G12" s="1280"/>
      <c r="H12" s="1280"/>
      <c r="I12" s="1279" t="str">
        <f t="shared" si="0"/>
        <v/>
      </c>
    </row>
    <row r="13" spans="2:9" x14ac:dyDescent="0.35">
      <c r="B13" s="1273"/>
      <c r="C13" s="1281"/>
      <c r="D13" s="1275"/>
      <c r="E13" s="1281"/>
      <c r="F13" s="1277"/>
      <c r="G13" s="1280"/>
      <c r="H13" s="1280"/>
      <c r="I13" s="1279" t="str">
        <f t="shared" si="0"/>
        <v/>
      </c>
    </row>
    <row r="14" spans="2:9" x14ac:dyDescent="0.35">
      <c r="B14" s="1273"/>
      <c r="C14" s="1275"/>
      <c r="E14" s="1281"/>
      <c r="F14" s="1277"/>
      <c r="G14" s="1280"/>
      <c r="H14" s="1280"/>
      <c r="I14" s="1279" t="str">
        <f t="shared" si="0"/>
        <v/>
      </c>
    </row>
    <row r="15" spans="2:9" x14ac:dyDescent="0.35">
      <c r="B15" s="1273"/>
      <c r="C15" s="1281"/>
      <c r="D15" s="1275"/>
      <c r="E15" s="1281"/>
      <c r="F15" s="1277"/>
      <c r="G15" s="1280"/>
      <c r="H15" s="1280"/>
      <c r="I15" s="1279" t="str">
        <f t="shared" si="0"/>
        <v/>
      </c>
    </row>
    <row r="16" spans="2:9" x14ac:dyDescent="0.35">
      <c r="B16" s="1273"/>
      <c r="C16" s="1281"/>
      <c r="D16" s="1275"/>
      <c r="E16" s="1281"/>
      <c r="F16" s="1277"/>
      <c r="G16" s="1280"/>
      <c r="H16" s="1280"/>
      <c r="I16" s="1279" t="str">
        <f t="shared" si="0"/>
        <v/>
      </c>
    </row>
    <row r="17" spans="2:9" x14ac:dyDescent="0.35">
      <c r="B17" s="1273"/>
      <c r="C17" s="1281"/>
      <c r="D17" s="1275"/>
      <c r="E17" s="1281"/>
      <c r="F17" s="1277"/>
      <c r="G17" s="1280"/>
      <c r="H17" s="1280"/>
      <c r="I17" s="1279" t="str">
        <f t="shared" si="0"/>
        <v/>
      </c>
    </row>
    <row r="18" spans="2:9" x14ac:dyDescent="0.35">
      <c r="B18" s="1273"/>
      <c r="C18" s="1281"/>
      <c r="D18" s="1275"/>
      <c r="E18" s="1281"/>
      <c r="F18" s="1277"/>
      <c r="G18" s="1280"/>
      <c r="H18" s="1280"/>
      <c r="I18" s="1279" t="str">
        <f t="shared" si="0"/>
        <v/>
      </c>
    </row>
    <row r="19" spans="2:9" x14ac:dyDescent="0.35">
      <c r="B19" s="1273"/>
      <c r="C19" s="1281"/>
      <c r="D19" s="1275"/>
      <c r="E19" s="1281"/>
      <c r="F19" s="1277"/>
      <c r="G19" s="1280"/>
      <c r="H19" s="1280"/>
      <c r="I19" s="1279" t="str">
        <f t="shared" si="0"/>
        <v/>
      </c>
    </row>
    <row r="20" spans="2:9" x14ac:dyDescent="0.35">
      <c r="B20" s="1273"/>
      <c r="C20" s="1281"/>
      <c r="D20" s="1275"/>
      <c r="E20" s="1281"/>
      <c r="F20" s="1277"/>
      <c r="G20" s="1280"/>
      <c r="H20" s="1280"/>
      <c r="I20" s="1279" t="str">
        <f t="shared" si="0"/>
        <v/>
      </c>
    </row>
    <row r="21" spans="2:9" x14ac:dyDescent="0.35">
      <c r="B21" s="1273"/>
      <c r="C21" s="1281"/>
      <c r="D21" s="1275"/>
      <c r="E21" s="1281"/>
      <c r="F21" s="1277"/>
      <c r="G21" s="1280"/>
      <c r="H21" s="1280"/>
      <c r="I21" s="1279" t="str">
        <f t="shared" si="0"/>
        <v/>
      </c>
    </row>
    <row r="22" spans="2:9" x14ac:dyDescent="0.35">
      <c r="B22" s="1273"/>
      <c r="C22" s="1281"/>
      <c r="D22" s="1275"/>
      <c r="E22" s="1281"/>
      <c r="F22" s="1277"/>
      <c r="G22" s="1280"/>
      <c r="H22" s="1280"/>
      <c r="I22" s="1279" t="str">
        <f t="shared" si="0"/>
        <v/>
      </c>
    </row>
    <row r="23" spans="2:9" x14ac:dyDescent="0.35">
      <c r="B23" s="1273"/>
      <c r="C23" s="1281"/>
      <c r="D23" s="1275"/>
      <c r="E23" s="1281"/>
      <c r="F23" s="1277"/>
      <c r="G23" s="1280"/>
      <c r="H23" s="1280"/>
      <c r="I23" s="1279" t="str">
        <f t="shared" si="0"/>
        <v/>
      </c>
    </row>
    <row r="24" spans="2:9" x14ac:dyDescent="0.35">
      <c r="B24" s="1273"/>
      <c r="C24" s="1281"/>
      <c r="D24" s="1275"/>
      <c r="E24" s="1281"/>
      <c r="F24" s="1277"/>
      <c r="G24" s="1280"/>
      <c r="H24" s="1280"/>
      <c r="I24" s="1279" t="str">
        <f t="shared" si="0"/>
        <v/>
      </c>
    </row>
    <row r="25" spans="2:9" x14ac:dyDescent="0.35">
      <c r="B25" s="1273"/>
      <c r="C25" s="1281"/>
      <c r="D25" s="1275"/>
      <c r="E25" s="1281"/>
      <c r="F25" s="1277"/>
      <c r="G25" s="1280"/>
      <c r="H25" s="1280"/>
      <c r="I25" s="1279" t="str">
        <f t="shared" si="0"/>
        <v/>
      </c>
    </row>
    <row r="26" spans="2:9" x14ac:dyDescent="0.35">
      <c r="B26" s="1273"/>
      <c r="C26" s="1281"/>
      <c r="D26" s="1275"/>
      <c r="E26" s="1281"/>
      <c r="F26" s="1277"/>
      <c r="G26" s="1280"/>
      <c r="H26" s="1280"/>
      <c r="I26" s="1279" t="str">
        <f t="shared" si="0"/>
        <v/>
      </c>
    </row>
    <row r="27" spans="2:9" x14ac:dyDescent="0.35">
      <c r="B27" s="1273"/>
      <c r="C27" s="1281"/>
      <c r="D27" s="1275"/>
      <c r="E27" s="1281"/>
      <c r="F27" s="1277"/>
      <c r="G27" s="1280"/>
      <c r="H27" s="1280"/>
      <c r="I27" s="1279" t="str">
        <f t="shared" si="0"/>
        <v/>
      </c>
    </row>
    <row r="28" spans="2:9" x14ac:dyDescent="0.35">
      <c r="B28" s="1273"/>
      <c r="C28" s="1281"/>
      <c r="D28" s="1275"/>
      <c r="E28" s="1281"/>
      <c r="F28" s="1277"/>
      <c r="G28" s="1280"/>
      <c r="H28" s="1280"/>
      <c r="I28" s="1279" t="str">
        <f t="shared" si="0"/>
        <v/>
      </c>
    </row>
    <row r="29" spans="2:9" x14ac:dyDescent="0.35">
      <c r="B29" s="1273"/>
      <c r="C29" s="1281"/>
      <c r="D29" s="1275"/>
      <c r="E29" s="1281"/>
      <c r="F29" s="1277"/>
      <c r="G29" s="1280"/>
      <c r="H29" s="1280"/>
      <c r="I29" s="1279" t="str">
        <f t="shared" si="0"/>
        <v/>
      </c>
    </row>
    <row r="30" spans="2:9" x14ac:dyDescent="0.35">
      <c r="B30" s="1282"/>
      <c r="C30" s="1281"/>
      <c r="D30" s="1275"/>
      <c r="E30" s="1281"/>
      <c r="F30" s="1277"/>
      <c r="G30" s="1280"/>
      <c r="H30" s="1280"/>
      <c r="I30" s="1279" t="str">
        <f t="shared" si="0"/>
        <v/>
      </c>
    </row>
    <row r="31" spans="2:9" x14ac:dyDescent="0.35">
      <c r="B31" s="1273"/>
      <c r="C31" s="1281"/>
      <c r="D31" s="1275"/>
      <c r="E31" s="1281"/>
      <c r="F31" s="1277"/>
      <c r="G31" s="1280"/>
      <c r="H31" s="1280"/>
      <c r="I31" s="1279" t="str">
        <f t="shared" si="0"/>
        <v/>
      </c>
    </row>
    <row r="32" spans="2:9" x14ac:dyDescent="0.35">
      <c r="B32" s="1273"/>
      <c r="C32" s="1281"/>
      <c r="D32" s="1275"/>
      <c r="E32" s="1281"/>
      <c r="F32" s="1277"/>
      <c r="G32" s="1278"/>
      <c r="H32" s="1278"/>
      <c r="I32" s="1279" t="str">
        <f t="shared" si="0"/>
        <v/>
      </c>
    </row>
    <row r="33" spans="2:9" x14ac:dyDescent="0.35">
      <c r="B33" s="1273"/>
      <c r="C33" s="1281"/>
      <c r="D33" s="1275"/>
      <c r="E33" s="1281"/>
      <c r="F33" s="1277"/>
      <c r="G33" s="1278"/>
      <c r="H33" s="1278"/>
      <c r="I33" s="1279" t="str">
        <f t="shared" si="0"/>
        <v/>
      </c>
    </row>
    <row r="34" spans="2:9" x14ac:dyDescent="0.35">
      <c r="B34" s="1273"/>
      <c r="C34" s="1281"/>
      <c r="D34" s="1275"/>
      <c r="E34" s="1281"/>
      <c r="F34" s="1277"/>
      <c r="G34" s="1278"/>
      <c r="H34" s="1278"/>
      <c r="I34" s="1279" t="str">
        <f t="shared" si="0"/>
        <v/>
      </c>
    </row>
    <row r="35" spans="2:9" x14ac:dyDescent="0.35">
      <c r="B35" s="1273"/>
      <c r="C35" s="1281"/>
      <c r="D35" s="1275"/>
      <c r="E35" s="1281"/>
      <c r="F35" s="1277"/>
      <c r="G35" s="1278"/>
      <c r="H35" s="1278"/>
      <c r="I35" s="1279" t="str">
        <f t="shared" si="0"/>
        <v/>
      </c>
    </row>
    <row r="36" spans="2:9" x14ac:dyDescent="0.35">
      <c r="B36" s="1283"/>
      <c r="C36" s="1281"/>
      <c r="D36" s="1275"/>
      <c r="E36" s="1281"/>
      <c r="F36" s="1277"/>
      <c r="G36" s="1280"/>
      <c r="H36" s="1280"/>
      <c r="I36" s="1279" t="str">
        <f t="shared" si="0"/>
        <v/>
      </c>
    </row>
    <row r="37" spans="2:9" x14ac:dyDescent="0.35">
      <c r="B37" s="1284"/>
      <c r="C37" s="1285"/>
      <c r="D37" s="1286"/>
      <c r="E37" s="1285"/>
      <c r="F37" s="1287"/>
      <c r="G37" s="1288"/>
      <c r="H37" s="1288"/>
      <c r="I37" s="1289" t="str">
        <f t="shared" si="0"/>
        <v/>
      </c>
    </row>
    <row r="38" spans="2:9" x14ac:dyDescent="0.35">
      <c r="B38" s="1290" t="s">
        <v>137</v>
      </c>
      <c r="C38" s="1291"/>
      <c r="D38" s="1291"/>
      <c r="E38" s="1291"/>
      <c r="F38" s="1292" t="e">
        <f>AVERAGE(F4:F37)</f>
        <v>#DIV/0!</v>
      </c>
      <c r="G38" s="1292" t="e">
        <f>AVERAGE(G4:G37)</f>
        <v>#DIV/0!</v>
      </c>
      <c r="H38" s="1292" t="str">
        <f>IFERROR(AVERAGE(H4:H37),"")</f>
        <v/>
      </c>
      <c r="I38" s="1293" t="str">
        <f>IFERROR(AVERAGE(I4:I37),"")</f>
        <v/>
      </c>
    </row>
    <row r="39" spans="2:9" x14ac:dyDescent="0.35">
      <c r="B39" s="1294" t="s">
        <v>138</v>
      </c>
      <c r="C39" s="1295"/>
      <c r="D39" s="1295"/>
      <c r="E39" s="1295"/>
      <c r="F39" s="1296" t="e">
        <f>MEDIAN(F4:F37)</f>
        <v>#NUM!</v>
      </c>
      <c r="G39" s="1296" t="e">
        <f>MEDIAN(G4:G37)</f>
        <v>#NUM!</v>
      </c>
      <c r="H39" s="1296" t="str">
        <f>IFERROR(MEDIAN(H4:H37),"")</f>
        <v/>
      </c>
      <c r="I39" s="1297" t="str">
        <f>IFERROR(MEDIAN(I4:I37),"")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6A05-A516-4FEE-8984-440E4171AF83}">
  <dimension ref="B2:I40"/>
  <sheetViews>
    <sheetView workbookViewId="0">
      <selection activeCell="C19" sqref="C19"/>
    </sheetView>
  </sheetViews>
  <sheetFormatPr defaultRowHeight="14.5" x14ac:dyDescent="0.35"/>
  <cols>
    <col min="2" max="2" width="31" bestFit="1" customWidth="1"/>
    <col min="3" max="3" width="90" bestFit="1" customWidth="1"/>
    <col min="4" max="4" width="11.26953125" customWidth="1"/>
    <col min="5" max="5" width="11.453125" customWidth="1"/>
    <col min="6" max="6" width="12.7265625" customWidth="1"/>
    <col min="7" max="7" width="14.26953125" bestFit="1" customWidth="1"/>
    <col min="8" max="8" width="13.7265625" customWidth="1"/>
    <col min="9" max="9" width="15.26953125" bestFit="1" customWidth="1"/>
  </cols>
  <sheetData>
    <row r="2" spans="2:9" x14ac:dyDescent="0.35">
      <c r="B2" t="s">
        <v>139</v>
      </c>
    </row>
    <row r="3" spans="2:9" x14ac:dyDescent="0.35">
      <c r="B3" s="1259" t="s">
        <v>140</v>
      </c>
      <c r="C3" s="1260"/>
      <c r="D3" s="1260"/>
      <c r="E3" s="1260"/>
      <c r="F3" s="1260"/>
      <c r="G3" s="1260"/>
      <c r="H3" s="1260"/>
      <c r="I3" s="1261"/>
    </row>
    <row r="4" spans="2:9" x14ac:dyDescent="0.35">
      <c r="B4" s="1262" t="s">
        <v>130</v>
      </c>
      <c r="C4" s="1263" t="s">
        <v>132</v>
      </c>
      <c r="D4" s="1263" t="s">
        <v>141</v>
      </c>
      <c r="E4" s="1263" t="s">
        <v>142</v>
      </c>
      <c r="F4" s="1263" t="s">
        <v>143</v>
      </c>
      <c r="G4" s="1263" t="s">
        <v>144</v>
      </c>
      <c r="H4" s="1263" t="s">
        <v>145</v>
      </c>
      <c r="I4" s="1264" t="s">
        <v>136</v>
      </c>
    </row>
    <row r="5" spans="2:9" x14ac:dyDescent="0.35">
      <c r="B5" s="1265"/>
      <c r="C5" s="1267"/>
      <c r="D5" s="1268"/>
      <c r="E5" s="1266"/>
      <c r="F5" s="1269"/>
      <c r="G5" s="1270"/>
      <c r="H5" s="1271"/>
      <c r="I5" s="1272" t="str">
        <f t="shared" ref="I5:I38" si="0">IFERROR(G5/H5,"")</f>
        <v/>
      </c>
    </row>
    <row r="6" spans="2:9" x14ac:dyDescent="0.35">
      <c r="B6" s="1273"/>
      <c r="C6" s="1275"/>
      <c r="D6" s="1276"/>
      <c r="E6" s="1274"/>
      <c r="F6" s="1277"/>
      <c r="G6" s="1278"/>
      <c r="H6" s="1278"/>
      <c r="I6" s="1279" t="str">
        <f t="shared" si="0"/>
        <v/>
      </c>
    </row>
    <row r="7" spans="2:9" x14ac:dyDescent="0.35">
      <c r="B7" s="1273"/>
      <c r="C7" s="1275"/>
      <c r="D7" s="1276"/>
      <c r="E7" s="1274"/>
      <c r="F7" s="1277"/>
      <c r="G7" s="1278"/>
      <c r="H7" s="1278"/>
      <c r="I7" s="1279" t="str">
        <f t="shared" si="0"/>
        <v/>
      </c>
    </row>
    <row r="8" spans="2:9" x14ac:dyDescent="0.35">
      <c r="B8" s="1273"/>
      <c r="C8" s="1275"/>
      <c r="D8" s="1276"/>
      <c r="E8" s="1274"/>
      <c r="F8" s="1277"/>
      <c r="G8" s="1278"/>
      <c r="H8" s="1278"/>
      <c r="I8" s="1279" t="str">
        <f t="shared" si="0"/>
        <v/>
      </c>
    </row>
    <row r="9" spans="2:9" x14ac:dyDescent="0.35">
      <c r="B9" s="1273"/>
      <c r="C9" s="1275"/>
      <c r="D9" s="1276"/>
      <c r="E9" s="1274"/>
      <c r="F9" s="1277"/>
      <c r="G9" s="1278"/>
      <c r="H9" s="1280"/>
      <c r="I9" s="1279" t="str">
        <f t="shared" si="0"/>
        <v/>
      </c>
    </row>
    <row r="10" spans="2:9" x14ac:dyDescent="0.35">
      <c r="B10" s="1273"/>
      <c r="C10" s="1275"/>
      <c r="D10" s="1276"/>
      <c r="E10" s="1274"/>
      <c r="F10" s="1277"/>
      <c r="G10" s="1280"/>
      <c r="H10" s="1278"/>
      <c r="I10" s="1279" t="str">
        <f t="shared" si="0"/>
        <v/>
      </c>
    </row>
    <row r="11" spans="2:9" x14ac:dyDescent="0.35">
      <c r="B11" s="1273"/>
      <c r="C11" s="1275"/>
      <c r="D11" s="1276"/>
      <c r="E11" s="1281"/>
      <c r="F11" s="1277"/>
      <c r="G11" s="1280"/>
      <c r="H11" s="1280"/>
      <c r="I11" s="1279" t="str">
        <f t="shared" si="0"/>
        <v/>
      </c>
    </row>
    <row r="12" spans="2:9" x14ac:dyDescent="0.35">
      <c r="B12" s="1273"/>
      <c r="C12" s="1275"/>
      <c r="D12" s="1276"/>
      <c r="E12" s="1274"/>
      <c r="F12" s="1277"/>
      <c r="G12" s="1280"/>
      <c r="H12" s="1280"/>
      <c r="I12" s="1279" t="str">
        <f t="shared" si="0"/>
        <v/>
      </c>
    </row>
    <row r="13" spans="2:9" x14ac:dyDescent="0.35">
      <c r="B13" s="1273"/>
      <c r="C13" s="1275"/>
      <c r="D13" s="1281"/>
      <c r="E13" s="1281"/>
      <c r="F13" s="1277"/>
      <c r="G13" s="1280"/>
      <c r="H13" s="1280"/>
      <c r="I13" s="1279" t="str">
        <f t="shared" si="0"/>
        <v/>
      </c>
    </row>
    <row r="14" spans="2:9" x14ac:dyDescent="0.35">
      <c r="B14" s="1273"/>
      <c r="C14" s="1275"/>
      <c r="D14" s="1281"/>
      <c r="E14" s="1281"/>
      <c r="F14" s="1277"/>
      <c r="G14" s="1280"/>
      <c r="H14" s="1280"/>
      <c r="I14" s="1279" t="str">
        <f t="shared" si="0"/>
        <v/>
      </c>
    </row>
    <row r="15" spans="2:9" x14ac:dyDescent="0.35">
      <c r="B15" s="1273"/>
      <c r="D15" s="1281"/>
      <c r="E15" s="1275"/>
      <c r="F15" s="1277"/>
      <c r="G15" s="1280"/>
      <c r="H15" s="1280"/>
      <c r="I15" s="1279" t="str">
        <f t="shared" si="0"/>
        <v/>
      </c>
    </row>
    <row r="16" spans="2:9" x14ac:dyDescent="0.35">
      <c r="B16" s="1273"/>
      <c r="C16" s="1275"/>
      <c r="D16" s="1281"/>
      <c r="E16" s="1281"/>
      <c r="F16" s="1277"/>
      <c r="G16" s="1280"/>
      <c r="H16" s="1280"/>
      <c r="I16" s="1279" t="str">
        <f t="shared" si="0"/>
        <v/>
      </c>
    </row>
    <row r="17" spans="2:9" x14ac:dyDescent="0.35">
      <c r="B17" s="1273"/>
      <c r="C17" s="1275"/>
      <c r="D17" s="1281"/>
      <c r="E17" s="1281"/>
      <c r="F17" s="1277"/>
      <c r="G17" s="1280"/>
      <c r="H17" s="1280"/>
      <c r="I17" s="1279" t="str">
        <f t="shared" si="0"/>
        <v/>
      </c>
    </row>
    <row r="18" spans="2:9" x14ac:dyDescent="0.35">
      <c r="B18" s="1273"/>
      <c r="C18" s="1275"/>
      <c r="D18" s="1281"/>
      <c r="E18" s="1281"/>
      <c r="F18" s="1277"/>
      <c r="G18" s="1280"/>
      <c r="H18" s="1280"/>
      <c r="I18" s="1279" t="str">
        <f t="shared" si="0"/>
        <v/>
      </c>
    </row>
    <row r="19" spans="2:9" x14ac:dyDescent="0.35">
      <c r="B19" s="1273"/>
      <c r="C19" s="1275"/>
      <c r="D19" s="1281"/>
      <c r="E19" s="1281"/>
      <c r="F19" s="1277"/>
      <c r="G19" s="1280"/>
      <c r="H19" s="1280"/>
      <c r="I19" s="1279" t="str">
        <f t="shared" si="0"/>
        <v/>
      </c>
    </row>
    <row r="20" spans="2:9" x14ac:dyDescent="0.35">
      <c r="B20" s="1273"/>
      <c r="C20" s="1275"/>
      <c r="D20" s="1281"/>
      <c r="E20" s="1281"/>
      <c r="F20" s="1277"/>
      <c r="G20" s="1280"/>
      <c r="H20" s="1280"/>
      <c r="I20" s="1279" t="str">
        <f t="shared" si="0"/>
        <v/>
      </c>
    </row>
    <row r="21" spans="2:9" x14ac:dyDescent="0.35">
      <c r="B21" s="1273"/>
      <c r="C21" s="1275"/>
      <c r="D21" s="1281"/>
      <c r="E21" s="1281"/>
      <c r="F21" s="1277"/>
      <c r="G21" s="1280"/>
      <c r="H21" s="1280"/>
      <c r="I21" s="1279" t="str">
        <f t="shared" si="0"/>
        <v/>
      </c>
    </row>
    <row r="22" spans="2:9" x14ac:dyDescent="0.35">
      <c r="B22" s="1273"/>
      <c r="C22" s="1275"/>
      <c r="D22" s="1281"/>
      <c r="E22" s="1281"/>
      <c r="F22" s="1277"/>
      <c r="G22" s="1280"/>
      <c r="H22" s="1280"/>
      <c r="I22" s="1279" t="str">
        <f t="shared" si="0"/>
        <v/>
      </c>
    </row>
    <row r="23" spans="2:9" x14ac:dyDescent="0.35">
      <c r="B23" s="1273"/>
      <c r="C23" s="1275"/>
      <c r="D23" s="1281"/>
      <c r="E23" s="1281"/>
      <c r="F23" s="1277"/>
      <c r="G23" s="1280"/>
      <c r="H23" s="1280"/>
      <c r="I23" s="1279" t="str">
        <f t="shared" si="0"/>
        <v/>
      </c>
    </row>
    <row r="24" spans="2:9" x14ac:dyDescent="0.35">
      <c r="B24" s="1273"/>
      <c r="C24" s="1275"/>
      <c r="D24" s="1281"/>
      <c r="E24" s="1281"/>
      <c r="F24" s="1277"/>
      <c r="G24" s="1280"/>
      <c r="H24" s="1280"/>
      <c r="I24" s="1279" t="str">
        <f t="shared" si="0"/>
        <v/>
      </c>
    </row>
    <row r="25" spans="2:9" x14ac:dyDescent="0.35">
      <c r="B25" s="1273"/>
      <c r="C25" s="1275"/>
      <c r="D25" s="1281"/>
      <c r="E25" s="1281"/>
      <c r="F25" s="1277"/>
      <c r="G25" s="1280"/>
      <c r="H25" s="1280"/>
      <c r="I25" s="1279" t="str">
        <f t="shared" si="0"/>
        <v/>
      </c>
    </row>
    <row r="26" spans="2:9" x14ac:dyDescent="0.35">
      <c r="B26" s="1273"/>
      <c r="C26" s="1275"/>
      <c r="D26" s="1281"/>
      <c r="E26" s="1281"/>
      <c r="F26" s="1277"/>
      <c r="G26" s="1280"/>
      <c r="H26" s="1280"/>
      <c r="I26" s="1279" t="str">
        <f t="shared" si="0"/>
        <v/>
      </c>
    </row>
    <row r="27" spans="2:9" x14ac:dyDescent="0.35">
      <c r="B27" s="1273"/>
      <c r="C27" s="1275"/>
      <c r="D27" s="1281"/>
      <c r="E27" s="1281"/>
      <c r="F27" s="1277"/>
      <c r="G27" s="1280"/>
      <c r="H27" s="1280"/>
      <c r="I27" s="1279" t="str">
        <f t="shared" si="0"/>
        <v/>
      </c>
    </row>
    <row r="28" spans="2:9" x14ac:dyDescent="0.35">
      <c r="B28" s="1273"/>
      <c r="C28" s="1275"/>
      <c r="D28" s="1281"/>
      <c r="E28" s="1281"/>
      <c r="F28" s="1277"/>
      <c r="G28" s="1280"/>
      <c r="H28" s="1280"/>
      <c r="I28" s="1279" t="str">
        <f t="shared" si="0"/>
        <v/>
      </c>
    </row>
    <row r="29" spans="2:9" x14ac:dyDescent="0.35">
      <c r="B29" s="1273"/>
      <c r="C29" s="1275"/>
      <c r="D29" s="1281"/>
      <c r="E29" s="1281"/>
      <c r="F29" s="1277"/>
      <c r="G29" s="1280"/>
      <c r="H29" s="1280"/>
      <c r="I29" s="1279" t="str">
        <f t="shared" si="0"/>
        <v/>
      </c>
    </row>
    <row r="30" spans="2:9" x14ac:dyDescent="0.35">
      <c r="B30" s="1273"/>
      <c r="C30" s="1275"/>
      <c r="D30" s="1281"/>
      <c r="E30" s="1281"/>
      <c r="F30" s="1277"/>
      <c r="G30" s="1280"/>
      <c r="H30" s="1280"/>
      <c r="I30" s="1279" t="str">
        <f t="shared" si="0"/>
        <v/>
      </c>
    </row>
    <row r="31" spans="2:9" x14ac:dyDescent="0.35">
      <c r="B31" s="1282"/>
      <c r="C31" s="1275"/>
      <c r="D31" s="1281"/>
      <c r="E31" s="1281"/>
      <c r="F31" s="1277"/>
      <c r="G31" s="1280"/>
      <c r="H31" s="1280"/>
      <c r="I31" s="1279" t="str">
        <f t="shared" si="0"/>
        <v/>
      </c>
    </row>
    <row r="32" spans="2:9" x14ac:dyDescent="0.35">
      <c r="B32" s="1273"/>
      <c r="C32" s="1275"/>
      <c r="D32" s="1281"/>
      <c r="E32" s="1281"/>
      <c r="F32" s="1277"/>
      <c r="G32" s="1280"/>
      <c r="H32" s="1280"/>
      <c r="I32" s="1279" t="str">
        <f t="shared" si="0"/>
        <v/>
      </c>
    </row>
    <row r="33" spans="2:9" x14ac:dyDescent="0.35">
      <c r="B33" s="1273"/>
      <c r="C33" s="1275"/>
      <c r="D33" s="1281"/>
      <c r="E33" s="1281"/>
      <c r="F33" s="1277"/>
      <c r="G33" s="1278"/>
      <c r="H33" s="1278"/>
      <c r="I33" s="1279" t="str">
        <f t="shared" si="0"/>
        <v/>
      </c>
    </row>
    <row r="34" spans="2:9" x14ac:dyDescent="0.35">
      <c r="B34" s="1273"/>
      <c r="C34" s="1275"/>
      <c r="D34" s="1281"/>
      <c r="E34" s="1281"/>
      <c r="F34" s="1277"/>
      <c r="G34" s="1278"/>
      <c r="H34" s="1278"/>
      <c r="I34" s="1279" t="str">
        <f t="shared" si="0"/>
        <v/>
      </c>
    </row>
    <row r="35" spans="2:9" x14ac:dyDescent="0.35">
      <c r="B35" s="1273"/>
      <c r="C35" s="1275"/>
      <c r="D35" s="1281"/>
      <c r="E35" s="1281"/>
      <c r="F35" s="1277"/>
      <c r="G35" s="1278"/>
      <c r="H35" s="1278"/>
      <c r="I35" s="1279" t="str">
        <f t="shared" si="0"/>
        <v/>
      </c>
    </row>
    <row r="36" spans="2:9" x14ac:dyDescent="0.35">
      <c r="B36" s="1273"/>
      <c r="C36" s="1275"/>
      <c r="D36" s="1281"/>
      <c r="E36" s="1281"/>
      <c r="F36" s="1277"/>
      <c r="G36" s="1278"/>
      <c r="H36" s="1278"/>
      <c r="I36" s="1279" t="str">
        <f t="shared" si="0"/>
        <v/>
      </c>
    </row>
    <row r="37" spans="2:9" x14ac:dyDescent="0.35">
      <c r="B37" s="1283"/>
      <c r="C37" s="1275"/>
      <c r="D37" s="1281"/>
      <c r="E37" s="1281"/>
      <c r="F37" s="1277"/>
      <c r="G37" s="1280"/>
      <c r="H37" s="1280"/>
      <c r="I37" s="1279" t="str">
        <f t="shared" si="0"/>
        <v/>
      </c>
    </row>
    <row r="38" spans="2:9" x14ac:dyDescent="0.35">
      <c r="B38" s="1284"/>
      <c r="C38" s="1286"/>
      <c r="D38" s="1285"/>
      <c r="E38" s="1285"/>
      <c r="F38" s="1287"/>
      <c r="G38" s="1288"/>
      <c r="H38" s="1288"/>
      <c r="I38" s="1289" t="str">
        <f t="shared" si="0"/>
        <v/>
      </c>
    </row>
    <row r="39" spans="2:9" x14ac:dyDescent="0.35">
      <c r="B39" s="1290" t="s">
        <v>137</v>
      </c>
      <c r="C39" s="1291"/>
      <c r="D39" s="1291"/>
      <c r="E39" s="1291"/>
      <c r="F39" s="1292" t="e">
        <f>AVERAGE(F5:F38)</f>
        <v>#DIV/0!</v>
      </c>
      <c r="G39" s="1292" t="e">
        <f>AVERAGE(G5:G38)</f>
        <v>#DIV/0!</v>
      </c>
      <c r="H39" s="1292" t="str">
        <f>IFERROR(AVERAGE(H5:H38),"")</f>
        <v/>
      </c>
      <c r="I39" s="1293" t="str">
        <f>IFERROR(AVERAGE(I5:I38),"")</f>
        <v/>
      </c>
    </row>
    <row r="40" spans="2:9" x14ac:dyDescent="0.35">
      <c r="B40" s="1294" t="s">
        <v>138</v>
      </c>
      <c r="C40" s="1295"/>
      <c r="D40" s="1295"/>
      <c r="E40" s="1295"/>
      <c r="F40" s="1296" t="e">
        <f>MEDIAN(F5:F38)</f>
        <v>#NUM!</v>
      </c>
      <c r="G40" s="1296" t="e">
        <f>MEDIAN(G5:G38)</f>
        <v>#NUM!</v>
      </c>
      <c r="H40" s="1296" t="str">
        <f>IFERROR(MEDIAN(H5:H38),"")</f>
        <v/>
      </c>
      <c r="I40" s="1297" t="str">
        <f>IFERROR(MEDIAN(I5:I38),"")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120A-5049-42D0-B778-FF2E87C1BF1D}">
  <dimension ref="A1:Y78"/>
  <sheetViews>
    <sheetView zoomScale="85" zoomScaleNormal="85" workbookViewId="0">
      <selection activeCell="W9" sqref="W9"/>
    </sheetView>
  </sheetViews>
  <sheetFormatPr defaultColWidth="9" defaultRowHeight="15.5" outlineLevelRow="1" outlineLevelCol="1" x14ac:dyDescent="0.35"/>
  <cols>
    <col min="1" max="2" width="0.81640625" style="3" customWidth="1"/>
    <col min="3" max="4" width="19.26953125" style="3" customWidth="1"/>
    <col min="5" max="5" width="1.1796875" style="3" customWidth="1"/>
    <col min="6" max="8" width="10.7265625" style="3" customWidth="1" outlineLevel="1"/>
    <col min="9" max="9" width="1.1796875" style="3" customWidth="1"/>
    <col min="10" max="13" width="10.7265625" style="3" customWidth="1" outlineLevel="1"/>
    <col min="14" max="14" width="10.7265625" style="3" customWidth="1"/>
    <col min="15" max="15" width="1.1796875" style="3" customWidth="1"/>
    <col min="16" max="18" width="10.7265625" style="3" customWidth="1" outlineLevel="1"/>
    <col min="19" max="19" width="1.1796875" style="3" customWidth="1"/>
    <col min="20" max="23" width="10.7265625" style="3" customWidth="1"/>
    <col min="24" max="25" width="1.1796875" style="3" customWidth="1"/>
    <col min="26" max="16384" width="9" style="3"/>
  </cols>
  <sheetData>
    <row r="1" spans="1:25" ht="7.5" customHeight="1" x14ac:dyDescent="0.35">
      <c r="A1" s="21" t="s">
        <v>1</v>
      </c>
      <c r="B1" s="2"/>
      <c r="C1" s="22"/>
      <c r="D1" s="2"/>
      <c r="E1" s="2"/>
      <c r="F1" s="2"/>
      <c r="G1" s="2"/>
      <c r="H1" s="2"/>
      <c r="I1" s="2"/>
      <c r="K1" s="2"/>
      <c r="L1" s="2"/>
      <c r="N1" s="2"/>
      <c r="O1" s="2"/>
      <c r="P1" s="2"/>
      <c r="Q1" s="2"/>
      <c r="S1" s="2"/>
      <c r="X1" s="2"/>
      <c r="Y1" s="2"/>
    </row>
    <row r="2" spans="1:25" s="23" customFormat="1" ht="21.5" thickBot="1" x14ac:dyDescent="0.55000000000000004">
      <c r="C2" s="4" t="s">
        <v>146</v>
      </c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4"/>
      <c r="W2" s="24"/>
    </row>
    <row r="3" spans="1:25" s="26" customFormat="1" ht="13" x14ac:dyDescent="0.3">
      <c r="C3" s="27" t="s">
        <v>18</v>
      </c>
    </row>
    <row r="4" spans="1:25" ht="8.15" customHeight="1" x14ac:dyDescent="0.35">
      <c r="A4" s="2"/>
      <c r="B4" s="2"/>
      <c r="C4" s="2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X4" s="2"/>
      <c r="Y4" s="2"/>
    </row>
    <row r="5" spans="1:25" x14ac:dyDescent="0.35">
      <c r="A5" s="2"/>
      <c r="B5" s="2"/>
      <c r="C5" s="28" t="s">
        <v>147</v>
      </c>
      <c r="D5" s="29"/>
      <c r="E5" s="2"/>
      <c r="F5" s="29"/>
      <c r="G5" s="29"/>
      <c r="H5" s="29"/>
      <c r="I5" s="2"/>
      <c r="J5" s="29"/>
      <c r="K5" s="29"/>
      <c r="L5" s="29"/>
      <c r="M5" s="29"/>
      <c r="N5" s="29"/>
      <c r="O5" s="2"/>
      <c r="P5" s="29"/>
      <c r="Q5" s="29"/>
      <c r="R5" s="30"/>
      <c r="S5" s="2"/>
      <c r="T5" s="29"/>
      <c r="U5" s="29"/>
      <c r="V5" s="30"/>
      <c r="W5" s="30"/>
      <c r="X5" s="2"/>
      <c r="Y5" s="2"/>
    </row>
    <row r="6" spans="1:25" ht="4.1500000000000004" customHeight="1" x14ac:dyDescent="0.35">
      <c r="A6" s="2"/>
      <c r="B6" s="2"/>
      <c r="C6" s="2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X6" s="2"/>
      <c r="Y6" s="2"/>
    </row>
    <row r="7" spans="1:25" s="31" customFormat="1" ht="18.5" x14ac:dyDescent="0.65">
      <c r="C7" s="1346" t="s">
        <v>148</v>
      </c>
      <c r="D7" s="1346"/>
      <c r="F7" s="1346" t="s">
        <v>149</v>
      </c>
      <c r="G7" s="1346"/>
      <c r="H7" s="1346"/>
      <c r="J7" s="1346" t="s">
        <v>150</v>
      </c>
      <c r="K7" s="1346"/>
      <c r="L7" s="1346"/>
      <c r="M7" s="1346"/>
      <c r="N7" s="1346"/>
      <c r="O7" s="32"/>
      <c r="P7" s="1346" t="s">
        <v>151</v>
      </c>
      <c r="Q7" s="1346"/>
      <c r="R7" s="1346"/>
      <c r="S7" s="32"/>
      <c r="T7" s="1346" t="s">
        <v>152</v>
      </c>
      <c r="U7" s="1346"/>
      <c r="V7" s="1346"/>
      <c r="W7" s="1346"/>
    </row>
    <row r="8" spans="1:25" ht="7.5" customHeight="1" x14ac:dyDescent="0.35">
      <c r="A8" s="2"/>
      <c r="B8" s="2"/>
      <c r="C8" s="22"/>
      <c r="D8" s="2"/>
      <c r="E8" s="2"/>
      <c r="F8" s="2"/>
      <c r="G8" s="2"/>
      <c r="H8" s="2"/>
      <c r="I8" s="2"/>
      <c r="K8" s="2"/>
      <c r="L8" s="2"/>
      <c r="N8" s="2"/>
      <c r="O8" s="2"/>
      <c r="P8" s="2"/>
      <c r="Q8" s="2"/>
      <c r="S8" s="2"/>
      <c r="X8" s="2"/>
      <c r="Y8" s="2"/>
    </row>
    <row r="9" spans="1:25" x14ac:dyDescent="0.35">
      <c r="A9" s="2"/>
      <c r="B9" s="2"/>
      <c r="C9" s="2"/>
      <c r="D9" s="2"/>
      <c r="E9" s="2"/>
      <c r="F9" s="2"/>
      <c r="G9" s="2"/>
      <c r="H9" s="2"/>
      <c r="I9" s="2"/>
      <c r="N9" s="2"/>
      <c r="O9" s="2"/>
      <c r="P9" s="33"/>
      <c r="Q9" s="33"/>
      <c r="S9" s="2"/>
      <c r="T9" s="1345" t="s">
        <v>153</v>
      </c>
      <c r="U9" s="1345"/>
      <c r="V9" s="1345"/>
      <c r="W9" s="34"/>
      <c r="X9" s="2"/>
      <c r="Y9" s="2"/>
    </row>
    <row r="10" spans="1:25" x14ac:dyDescent="0.35">
      <c r="A10" s="2"/>
      <c r="B10" s="2"/>
      <c r="C10" s="2"/>
      <c r="D10" s="2"/>
      <c r="E10" s="2"/>
      <c r="F10" s="2"/>
      <c r="G10" s="2"/>
      <c r="H10" s="2"/>
      <c r="I10" s="2"/>
      <c r="J10" s="1347" t="str">
        <f ca="1">YEAR(TODAY())&amp;" Quarterly Financials"</f>
        <v>2026 Quarterly Financials</v>
      </c>
      <c r="K10" s="1348"/>
      <c r="L10" s="1348"/>
      <c r="M10" s="1349"/>
      <c r="N10" s="2"/>
      <c r="O10" s="2"/>
      <c r="P10" s="33"/>
      <c r="Q10" s="33"/>
      <c r="S10" s="2"/>
      <c r="T10" s="1345" t="s">
        <v>154</v>
      </c>
      <c r="U10" s="1345"/>
      <c r="V10" s="1345"/>
      <c r="W10" s="34"/>
      <c r="X10" s="2"/>
      <c r="Y10" s="2"/>
    </row>
    <row r="11" spans="1:25" x14ac:dyDescent="0.35">
      <c r="A11" s="35"/>
      <c r="B11" s="35"/>
      <c r="C11" s="2"/>
      <c r="D11" s="2"/>
      <c r="E11" s="35"/>
      <c r="F11" s="36" t="str">
        <f ca="1">$N$11-3&amp;F12</f>
        <v>2023</v>
      </c>
      <c r="G11" s="36" t="str">
        <f ca="1">$N$11-2&amp;G12</f>
        <v>2024</v>
      </c>
      <c r="H11" s="36" t="str">
        <f ca="1">$N$11-1&amp;H12</f>
        <v>2025</v>
      </c>
      <c r="I11" s="37"/>
      <c r="J11" s="38" t="str">
        <f ca="1">"Q1 " &amp; RIGHT(N11,2) &amp; J12</f>
        <v>Q1 26</v>
      </c>
      <c r="K11" s="39" t="str">
        <f ca="1">"Q2 " &amp; RIGHT(N11,2) &amp; K12</f>
        <v>Q2 26</v>
      </c>
      <c r="L11" s="39" t="str">
        <f ca="1">"Q3 " &amp; RIGHT(N11,2) &amp; L12</f>
        <v>Q3 26</v>
      </c>
      <c r="M11" s="40" t="str">
        <f ca="1">"Q4 " &amp; RIGHT(N11,2) &amp; M12</f>
        <v>Q4 26</v>
      </c>
      <c r="N11" s="37">
        <f ca="1">YEAR(TODAY())</f>
        <v>2026</v>
      </c>
      <c r="O11" s="35"/>
      <c r="P11" s="37" t="str">
        <f ca="1">$N$11+1&amp;"P"</f>
        <v>2027P</v>
      </c>
      <c r="Q11" s="37" t="str">
        <f ca="1">$N$11+2&amp;"P"</f>
        <v>2028P</v>
      </c>
      <c r="R11" s="37" t="str">
        <f ca="1">$N$11+3&amp;"P"</f>
        <v>2029P</v>
      </c>
      <c r="S11" s="37"/>
      <c r="T11" s="37" t="str">
        <f ca="1">$N$11&amp;"S"</f>
        <v>2026S</v>
      </c>
      <c r="U11" s="37" t="str">
        <f ca="1">$N$11+1&amp;"S"</f>
        <v>2027S</v>
      </c>
      <c r="V11" s="37" t="str">
        <f ca="1">$N$11+2&amp;"S"</f>
        <v>2028S</v>
      </c>
      <c r="W11" s="37" t="str">
        <f ca="1">$N$11+3&amp;"S"</f>
        <v>2029S</v>
      </c>
      <c r="X11" s="35"/>
      <c r="Y11" s="35"/>
    </row>
    <row r="12" spans="1:25" s="50" customFormat="1" ht="13" x14ac:dyDescent="0.3">
      <c r="A12" s="41"/>
      <c r="B12" s="41"/>
      <c r="C12" s="42" t="s">
        <v>155</v>
      </c>
      <c r="D12" s="43"/>
      <c r="E12" s="41"/>
      <c r="F12" s="44"/>
      <c r="G12" s="44"/>
      <c r="H12" s="44"/>
      <c r="I12" s="45"/>
      <c r="J12" s="46"/>
      <c r="K12" s="47"/>
      <c r="L12" s="47"/>
      <c r="M12" s="48"/>
      <c r="N12" s="49"/>
      <c r="O12" s="41"/>
      <c r="P12" s="41"/>
      <c r="Q12" s="41"/>
      <c r="R12" s="41"/>
      <c r="S12" s="41"/>
      <c r="X12" s="41"/>
      <c r="Y12" s="41"/>
    </row>
    <row r="13" spans="1:25" ht="7.5" customHeight="1" x14ac:dyDescent="0.35">
      <c r="A13" s="2"/>
      <c r="B13" s="2"/>
      <c r="C13" s="22"/>
      <c r="D13" s="2"/>
      <c r="E13" s="2"/>
      <c r="F13" s="2"/>
      <c r="G13" s="2"/>
      <c r="H13" s="2"/>
      <c r="I13" s="2"/>
      <c r="J13" s="51"/>
      <c r="K13" s="52"/>
      <c r="L13" s="52"/>
      <c r="M13" s="53"/>
      <c r="N13" s="2"/>
      <c r="O13" s="2"/>
      <c r="P13" s="2"/>
      <c r="Q13" s="2"/>
      <c r="S13" s="2"/>
      <c r="X13" s="2"/>
      <c r="Y13" s="2"/>
    </row>
    <row r="14" spans="1:25" x14ac:dyDescent="0.35">
      <c r="A14" s="2"/>
      <c r="B14" s="2"/>
      <c r="C14" s="22" t="s">
        <v>156</v>
      </c>
      <c r="D14" s="2"/>
      <c r="E14" s="2"/>
      <c r="F14" s="54"/>
      <c r="G14" s="54"/>
      <c r="H14" s="54"/>
      <c r="I14" s="2"/>
      <c r="J14" s="55"/>
      <c r="K14" s="56"/>
      <c r="L14" s="56"/>
      <c r="M14" s="57"/>
      <c r="N14" s="54">
        <f>SUM(J14:M14)</f>
        <v>0</v>
      </c>
      <c r="O14" s="2"/>
      <c r="P14" s="54"/>
      <c r="Q14" s="54"/>
      <c r="R14" s="54"/>
      <c r="S14" s="2"/>
      <c r="T14" s="58"/>
      <c r="U14" s="58"/>
      <c r="V14" s="58"/>
      <c r="W14" s="58"/>
      <c r="X14" s="2"/>
      <c r="Y14" s="2"/>
    </row>
    <row r="15" spans="1:25" s="67" customFormat="1" ht="12.4" customHeight="1" outlineLevel="1" x14ac:dyDescent="0.35">
      <c r="A15" s="59"/>
      <c r="B15" s="59"/>
      <c r="C15" s="60" t="s">
        <v>157</v>
      </c>
      <c r="D15" s="59"/>
      <c r="E15" s="59"/>
      <c r="F15" s="61" t="s">
        <v>158</v>
      </c>
      <c r="G15" s="62" t="e">
        <f>IF(F14&lt;0,IF(G14&lt;0,-(G14/F14-1),-(G14/F14-1)),(G14/F14-1))</f>
        <v>#DIV/0!</v>
      </c>
      <c r="H15" s="62" t="e">
        <f>IF(G14&lt;0,IF(H14&lt;0,-(H14/G14-1),-(H14/G14-1)),(H14/G14-1))</f>
        <v>#DIV/0!</v>
      </c>
      <c r="I15" s="63"/>
      <c r="J15" s="64" t="e">
        <f>IF(H14&lt;0,IF(J14&lt;0,-(J14/(H14/4)-1),-(J14/(H14/4)-1)),(J14/(H14/4)-1))</f>
        <v>#DIV/0!</v>
      </c>
      <c r="K15" s="62" t="e">
        <f>IF(J14&lt;0,IF(K14&lt;0,-(K14/J14-1),-(K14/J14-1)),(K14/J14-1))</f>
        <v>#DIV/0!</v>
      </c>
      <c r="L15" s="62" t="e">
        <f>IF(K14&lt;0,IF(L14&lt;0,-(L14/K14-1),-(L14/K14-1)),(L14/K14-1))</f>
        <v>#DIV/0!</v>
      </c>
      <c r="M15" s="65" t="e">
        <f>IF(L14&lt;0,IF(M14&lt;0,-(M14/L14-1),-(M14/L14-1)),(M14/L14-1))</f>
        <v>#DIV/0!</v>
      </c>
      <c r="N15" s="62" t="e">
        <f>IF(H14&lt;0,IF(N14&lt;0,-(N14/H14-1),-(N14/H14-1)),(N14/H14-1))</f>
        <v>#DIV/0!</v>
      </c>
      <c r="O15" s="63"/>
      <c r="P15" s="62" t="e">
        <f>IF(N14&lt;0,IF(P14&lt;0,-(P14/N14-1),-(P14/N14-1)),(P14/N14-1))</f>
        <v>#DIV/0!</v>
      </c>
      <c r="Q15" s="62" t="e">
        <f>IF(P14&lt;0,IF(Q14&lt;0,-(Q14/P14-1),-(Q14/P14-1)),(Q14/P14-1))</f>
        <v>#DIV/0!</v>
      </c>
      <c r="R15" s="62" t="e">
        <f>IF(Q14&lt;0,IF(R14&lt;0,-(R14/Q14-1),-(R14/Q14-1)),(R14/Q14-1))</f>
        <v>#DIV/0!</v>
      </c>
      <c r="S15" s="66"/>
      <c r="T15" s="62"/>
      <c r="U15" s="62"/>
      <c r="V15" s="62"/>
      <c r="W15" s="62"/>
      <c r="X15" s="59"/>
      <c r="Y15" s="59"/>
    </row>
    <row r="16" spans="1:25" x14ac:dyDescent="0.35">
      <c r="A16" s="2"/>
      <c r="B16" s="2"/>
      <c r="C16" s="22" t="s">
        <v>159</v>
      </c>
      <c r="D16" s="2"/>
      <c r="E16" s="2"/>
      <c r="F16" s="54"/>
      <c r="G16" s="54"/>
      <c r="H16" s="54"/>
      <c r="I16" s="2"/>
      <c r="J16" s="55"/>
      <c r="K16" s="56"/>
      <c r="L16" s="56"/>
      <c r="M16" s="57"/>
      <c r="N16" s="54">
        <f>SUM(J16:M16)</f>
        <v>0</v>
      </c>
      <c r="O16" s="2"/>
      <c r="P16" s="54"/>
      <c r="Q16" s="54"/>
      <c r="R16" s="54"/>
      <c r="S16" s="2"/>
      <c r="X16" s="2"/>
      <c r="Y16" s="2"/>
    </row>
    <row r="17" spans="1:25" ht="12.4" customHeight="1" outlineLevel="1" x14ac:dyDescent="0.35">
      <c r="A17" s="2"/>
      <c r="B17" s="2"/>
      <c r="C17" s="60" t="s">
        <v>157</v>
      </c>
      <c r="D17" s="2"/>
      <c r="E17" s="2"/>
      <c r="F17" s="61" t="s">
        <v>158</v>
      </c>
      <c r="G17" s="62" t="e">
        <f>IF(F16&lt;0,IF(G16&lt;0,-(G16/F16-1),-(G16/F16-1)),(G16/F16-1))</f>
        <v>#DIV/0!</v>
      </c>
      <c r="H17" s="62" t="e">
        <f>IF(G16&lt;0,IF(H16&lt;0,-(H16/G16-1),-(H16/G16-1)),(H16/G16-1))</f>
        <v>#DIV/0!</v>
      </c>
      <c r="I17" s="63"/>
      <c r="J17" s="64" t="e">
        <f>IF(H16&lt;0,IF(J16&lt;0,-(J16/(H16/4)-1),-(J16/(H16/4)-1)),(J16/(H16/4)-1))</f>
        <v>#DIV/0!</v>
      </c>
      <c r="K17" s="62" t="e">
        <f>IF(J16&lt;0,IF(K16&lt;0,-(K16/J16-1),-(K16/J16-1)),(K16/J16-1))</f>
        <v>#DIV/0!</v>
      </c>
      <c r="L17" s="62" t="e">
        <f>IF(K16&lt;0,IF(L16&lt;0,-(L16/K16-1),-(L16/K16-1)),(L16/K16-1))</f>
        <v>#DIV/0!</v>
      </c>
      <c r="M17" s="65" t="e">
        <f>IF(L16&lt;0,IF(M16&lt;0,-(M16/L16-1),-(M16/L16-1)),(M16/L16-1))</f>
        <v>#DIV/0!</v>
      </c>
      <c r="N17" s="62" t="e">
        <f>IF(H16&lt;0,IF(N16&lt;0,-(N16/H16-1),-(N16/H16-1)),(N16/H16-1))</f>
        <v>#DIV/0!</v>
      </c>
      <c r="O17" s="63"/>
      <c r="P17" s="62" t="e">
        <f>IF(N16&lt;0,IF(P16&lt;0,-(P16/N16-1),-(P16/N16-1)),(P16/N16-1))</f>
        <v>#DIV/0!</v>
      </c>
      <c r="Q17" s="62" t="e">
        <f>IF(P16&lt;0,IF(Q16&lt;0,-(Q16/P16-1),-(Q16/P16-1)),(Q16/P16-1))</f>
        <v>#DIV/0!</v>
      </c>
      <c r="R17" s="62" t="e">
        <f>IF(Q16&lt;0,IF(R16&lt;0,-(R16/Q16-1),-(R16/Q16-1)),(R16/Q16-1))</f>
        <v>#DIV/0!</v>
      </c>
      <c r="S17" s="66"/>
      <c r="T17" s="62"/>
      <c r="U17" s="62"/>
      <c r="V17" s="62"/>
      <c r="W17" s="62"/>
      <c r="X17" s="2"/>
      <c r="Y17" s="2"/>
    </row>
    <row r="18" spans="1:25" x14ac:dyDescent="0.35">
      <c r="A18" s="68"/>
      <c r="B18" s="68"/>
      <c r="C18" s="69" t="s">
        <v>160</v>
      </c>
      <c r="D18" s="68"/>
      <c r="E18" s="68"/>
      <c r="F18" s="70">
        <f>+F14+F16</f>
        <v>0</v>
      </c>
      <c r="G18" s="70">
        <f>+G14+G16</f>
        <v>0</v>
      </c>
      <c r="H18" s="70">
        <f>+H14+H16</f>
        <v>0</v>
      </c>
      <c r="I18" s="68"/>
      <c r="J18" s="71">
        <f>+J14+J16</f>
        <v>0</v>
      </c>
      <c r="K18" s="72">
        <f>+K14+K16</f>
        <v>0</v>
      </c>
      <c r="L18" s="72">
        <f>+L14+L16</f>
        <v>0</v>
      </c>
      <c r="M18" s="73">
        <f>+M14+M16</f>
        <v>0</v>
      </c>
      <c r="N18" s="70">
        <f>+N14+N16</f>
        <v>0</v>
      </c>
      <c r="O18" s="68"/>
      <c r="P18" s="70">
        <f>+P14+P16</f>
        <v>0</v>
      </c>
      <c r="Q18" s="70">
        <f>+Q14+Q16</f>
        <v>0</v>
      </c>
      <c r="R18" s="70">
        <f>+R14+R16</f>
        <v>0</v>
      </c>
      <c r="S18" s="68"/>
      <c r="T18" s="74">
        <f>N18*(1+$W$9)</f>
        <v>0</v>
      </c>
      <c r="U18" s="74">
        <f>P18*(1+$W$9)</f>
        <v>0</v>
      </c>
      <c r="V18" s="74">
        <f>Q18*(1+$W$9)</f>
        <v>0</v>
      </c>
      <c r="W18" s="74">
        <f>R18*(1+$W$9)</f>
        <v>0</v>
      </c>
      <c r="X18" s="2"/>
      <c r="Y18" s="2"/>
    </row>
    <row r="19" spans="1:25" ht="12.4" customHeight="1" outlineLevel="1" x14ac:dyDescent="0.35">
      <c r="A19" s="2"/>
      <c r="B19" s="2"/>
      <c r="C19" s="60" t="s">
        <v>157</v>
      </c>
      <c r="D19" s="2"/>
      <c r="E19" s="2"/>
      <c r="F19" s="61" t="s">
        <v>158</v>
      </c>
      <c r="G19" s="62" t="e">
        <f>IF(F18&lt;0,IF(G18&lt;0,-(G18/F18-1),-(G18/F18-1)),(G18/F18-1))</f>
        <v>#DIV/0!</v>
      </c>
      <c r="H19" s="62" t="e">
        <f>IF(G18&lt;0,IF(H18&lt;0,-(H18/G18-1),-(H18/G18-1)),(H18/G18-1))</f>
        <v>#DIV/0!</v>
      </c>
      <c r="I19" s="63"/>
      <c r="J19" s="64" t="e">
        <f>IF(H18&lt;0,IF(J18&lt;0,-(J18/(H18/4)-1),-(J18/(H18/4)-1)),(J18/(H18/4)-1))</f>
        <v>#DIV/0!</v>
      </c>
      <c r="K19" s="62" t="e">
        <f>IF(J18&lt;0,IF(K18&lt;0,-(K18/J18-1),-(K18/J18-1)),(K18/J18-1))</f>
        <v>#DIV/0!</v>
      </c>
      <c r="L19" s="62" t="e">
        <f>IF(K18&lt;0,IF(L18&lt;0,-(L18/K18-1),-(L18/K18-1)),(L18/K18-1))</f>
        <v>#DIV/0!</v>
      </c>
      <c r="M19" s="65" t="e">
        <f>IF(L18&lt;0,IF(M18&lt;0,-(M18/L18-1),-(M18/L18-1)),(M18/L18-1))</f>
        <v>#DIV/0!</v>
      </c>
      <c r="N19" s="62" t="e">
        <f>IF(H18&lt;0,IF(N18&lt;0,-(N18/H18-1),-(N18/H18-1)),(N18/H18-1))</f>
        <v>#DIV/0!</v>
      </c>
      <c r="O19" s="63"/>
      <c r="P19" s="62" t="e">
        <f>IF(N18&lt;0,IF(P18&lt;0,-(P18/N18-1),-(P18/N18-1)),(P18/N18-1))</f>
        <v>#DIV/0!</v>
      </c>
      <c r="Q19" s="62" t="e">
        <f>IF(P18&lt;0,IF(Q18&lt;0,-(Q18/P18-1),-(Q18/P18-1)),(Q18/P18-1))</f>
        <v>#DIV/0!</v>
      </c>
      <c r="R19" s="62" t="e">
        <f>IF(Q18&lt;0,IF(R18&lt;0,-(R18/Q18-1),-(R18/Q18-1)),(R18/Q18-1))</f>
        <v>#DIV/0!</v>
      </c>
      <c r="S19" s="66"/>
      <c r="T19" s="62" t="e">
        <f>IF(H18&lt;0,IF(T18&lt;0,-(T18/H18-1),-(T18/H18-1)),(T18/H18-1))</f>
        <v>#DIV/0!</v>
      </c>
      <c r="U19" s="62" t="e">
        <f>IF(T18&lt;0,IF(U18&lt;0,-(U18/T18-1),-(U18/T18-1)),(U18/T18-1))</f>
        <v>#DIV/0!</v>
      </c>
      <c r="V19" s="62" t="e">
        <f>IF(U18&lt;0,IF(V18&lt;0,-(V18/U18-1),-(V18/U18-1)),(V18/U18-1))</f>
        <v>#DIV/0!</v>
      </c>
      <c r="W19" s="62" t="e">
        <f>IF(V18&lt;0,IF(W18&lt;0,-(W18/V18-1),-(W18/V18-1)),(W18/V18-1))</f>
        <v>#DIV/0!</v>
      </c>
      <c r="X19" s="2"/>
      <c r="Y19" s="2"/>
    </row>
    <row r="20" spans="1:25" ht="12.65" customHeight="1" x14ac:dyDescent="0.35">
      <c r="A20" s="2"/>
      <c r="B20" s="2"/>
      <c r="C20" s="22"/>
      <c r="D20" s="2"/>
      <c r="E20" s="2"/>
      <c r="F20" s="2"/>
      <c r="G20" s="2"/>
      <c r="H20" s="2"/>
      <c r="I20" s="2"/>
      <c r="J20" s="51"/>
      <c r="K20" s="52"/>
      <c r="L20" s="52"/>
      <c r="M20" s="53"/>
      <c r="N20" s="2"/>
      <c r="O20" s="2"/>
      <c r="P20" s="2"/>
      <c r="Q20" s="2"/>
      <c r="S20" s="2"/>
      <c r="X20" s="2"/>
      <c r="Y20" s="2"/>
    </row>
    <row r="21" spans="1:25" x14ac:dyDescent="0.35">
      <c r="A21" s="2"/>
      <c r="B21" s="2"/>
      <c r="C21" s="22" t="s">
        <v>161</v>
      </c>
      <c r="D21" s="2"/>
      <c r="E21" s="2"/>
      <c r="F21" s="54"/>
      <c r="G21" s="54"/>
      <c r="H21" s="54"/>
      <c r="I21" s="2"/>
      <c r="J21" s="55"/>
      <c r="K21" s="56"/>
      <c r="L21" s="56"/>
      <c r="M21" s="57"/>
      <c r="N21" s="54">
        <f>SUM(J21:M21)</f>
        <v>0</v>
      </c>
      <c r="O21" s="2"/>
      <c r="P21" s="54"/>
      <c r="Q21" s="54"/>
      <c r="R21" s="54"/>
      <c r="S21" s="2"/>
      <c r="T21" s="75"/>
      <c r="U21" s="75"/>
      <c r="V21" s="75"/>
      <c r="W21" s="75"/>
      <c r="X21" s="2"/>
      <c r="Y21" s="2"/>
    </row>
    <row r="22" spans="1:25" ht="12.4" customHeight="1" outlineLevel="1" x14ac:dyDescent="0.35">
      <c r="A22" s="2"/>
      <c r="B22" s="2"/>
      <c r="C22" s="60" t="s">
        <v>162</v>
      </c>
      <c r="D22" s="2"/>
      <c r="E22" s="2"/>
      <c r="F22" s="61" t="s">
        <v>158</v>
      </c>
      <c r="G22" s="62" t="e">
        <f>IF(F21&lt;0,IF(G21&lt;0,-(G21/F21-1),-(G21/F21-1)),(G21/F21-1))</f>
        <v>#DIV/0!</v>
      </c>
      <c r="H22" s="62" t="e">
        <f>IF(G21&lt;0,IF(H21&lt;0,-(H21/G21-1),-(H21/G21-1)),(H21/G21-1))</f>
        <v>#DIV/0!</v>
      </c>
      <c r="I22" s="63"/>
      <c r="J22" s="64" t="e">
        <f>IF(H21&lt;0,IF(J21&lt;0,-(J21/(H21/4)-1),-(J21/(H21/4)-1)),(J21/(H21/4)-1))</f>
        <v>#DIV/0!</v>
      </c>
      <c r="K22" s="62" t="e">
        <f>IF(J21&lt;0,IF(K21&lt;0,-(K21/J21-1),-(K21/J21-1)),(K21/J21-1))</f>
        <v>#DIV/0!</v>
      </c>
      <c r="L22" s="62" t="e">
        <f>IF(K21&lt;0,IF(L21&lt;0,-(L21/K21-1),-(L21/K21-1)),(L21/K21-1))</f>
        <v>#DIV/0!</v>
      </c>
      <c r="M22" s="65" t="e">
        <f>IF(L21&lt;0,IF(M21&lt;0,-(M21/L21-1),-(M21/L21-1)),(M21/L21-1))</f>
        <v>#DIV/0!</v>
      </c>
      <c r="N22" s="62" t="e">
        <f>IF(H21&lt;0,IF(N21&lt;0,-(N21/H21-1),-(N21/H21-1)),(N21/H21-1))</f>
        <v>#DIV/0!</v>
      </c>
      <c r="O22" s="63"/>
      <c r="P22" s="62" t="e">
        <f>IF(N21&lt;0,IF(P21&lt;0,-(P21/N21-1),-(P21/N21-1)),(P21/N21-1))</f>
        <v>#DIV/0!</v>
      </c>
      <c r="Q22" s="62" t="e">
        <f>IF(P21&lt;0,IF(Q21&lt;0,-(Q21/P21-1),-(Q21/P21-1)),(Q21/P21-1))</f>
        <v>#DIV/0!</v>
      </c>
      <c r="R22" s="62" t="e">
        <f>IF(Q21&lt;0,IF(R21&lt;0,-(R21/Q21-1),-(R21/Q21-1)),(R21/Q21-1))</f>
        <v>#DIV/0!</v>
      </c>
      <c r="S22" s="66"/>
      <c r="T22" s="62" t="e">
        <f>IF(H21&lt;0,IF(T21&lt;0,-(T21/H21-1),-(T21/H21-1)),(T21/H21-1))</f>
        <v>#DIV/0!</v>
      </c>
      <c r="U22" s="62" t="e">
        <f>IF(T21&lt;0,IF(U21&lt;0,-(U21/T21-1),-(U21/T21-1)),(U21/T21-1))</f>
        <v>#DIV/0!</v>
      </c>
      <c r="V22" s="62" t="e">
        <f>IF(U21&lt;0,IF(V21&lt;0,-(V21/U21-1),-(V21/U21-1)),(V21/U21-1))</f>
        <v>#DIV/0!</v>
      </c>
      <c r="W22" s="62" t="e">
        <f>IF(V21&lt;0,IF(W21&lt;0,-(W21/V21-1),-(W21/V21-1)),(W21/V21-1))</f>
        <v>#DIV/0!</v>
      </c>
      <c r="X22" s="2"/>
      <c r="Y22" s="2"/>
    </row>
    <row r="23" spans="1:25" ht="12.65" customHeight="1" x14ac:dyDescent="0.35">
      <c r="A23" s="2"/>
      <c r="B23" s="2"/>
      <c r="C23" s="22"/>
      <c r="D23" s="2"/>
      <c r="E23" s="2"/>
      <c r="F23" s="2"/>
      <c r="G23" s="2"/>
      <c r="H23" s="2"/>
      <c r="I23" s="2"/>
      <c r="J23" s="51"/>
      <c r="K23" s="52"/>
      <c r="L23" s="52"/>
      <c r="M23" s="53"/>
      <c r="N23" s="2"/>
      <c r="O23" s="2"/>
      <c r="P23" s="2"/>
      <c r="Q23" s="2"/>
      <c r="S23" s="2"/>
      <c r="X23" s="2"/>
      <c r="Y23" s="2"/>
    </row>
    <row r="24" spans="1:25" x14ac:dyDescent="0.35">
      <c r="A24" s="68"/>
      <c r="B24" s="68"/>
      <c r="C24" s="69" t="s">
        <v>163</v>
      </c>
      <c r="D24" s="68"/>
      <c r="E24" s="68"/>
      <c r="F24" s="76">
        <f>+F18-F21</f>
        <v>0</v>
      </c>
      <c r="G24" s="76">
        <f>+G18-G21</f>
        <v>0</v>
      </c>
      <c r="H24" s="76">
        <f>+H18-H21</f>
        <v>0</v>
      </c>
      <c r="I24" s="68"/>
      <c r="J24" s="77">
        <f>+J18-J21</f>
        <v>0</v>
      </c>
      <c r="K24" s="78">
        <f>+K18-K21</f>
        <v>0</v>
      </c>
      <c r="L24" s="78">
        <f>+L18-L21</f>
        <v>0</v>
      </c>
      <c r="M24" s="79">
        <f>+M18-M21</f>
        <v>0</v>
      </c>
      <c r="N24" s="76">
        <f>+N18-N21</f>
        <v>0</v>
      </c>
      <c r="O24" s="68"/>
      <c r="P24" s="76">
        <f>+P18-P21</f>
        <v>0</v>
      </c>
      <c r="Q24" s="76">
        <f>+Q18-Q21</f>
        <v>0</v>
      </c>
      <c r="R24" s="76">
        <f>+R18-R21</f>
        <v>0</v>
      </c>
      <c r="S24" s="68"/>
      <c r="T24" s="76">
        <f>+T18-T21</f>
        <v>0</v>
      </c>
      <c r="U24" s="76">
        <f>+U18-U21</f>
        <v>0</v>
      </c>
      <c r="V24" s="76">
        <f>+V18-V21</f>
        <v>0</v>
      </c>
      <c r="W24" s="76">
        <f>+W18-W21</f>
        <v>0</v>
      </c>
      <c r="X24" s="2"/>
      <c r="Y24" s="2"/>
    </row>
    <row r="25" spans="1:25" ht="7.5" customHeight="1" x14ac:dyDescent="0.35">
      <c r="A25" s="2"/>
      <c r="B25" s="2"/>
      <c r="C25" s="22"/>
      <c r="D25" s="2"/>
      <c r="E25" s="2"/>
      <c r="F25" s="2"/>
      <c r="G25" s="2"/>
      <c r="H25" s="2"/>
      <c r="I25" s="2"/>
      <c r="J25" s="51"/>
      <c r="K25" s="52"/>
      <c r="L25" s="52"/>
      <c r="M25" s="53"/>
      <c r="N25" s="2"/>
      <c r="O25" s="2"/>
      <c r="P25" s="2"/>
      <c r="Q25" s="2"/>
      <c r="S25" s="2"/>
      <c r="X25" s="2"/>
      <c r="Y25" s="2"/>
    </row>
    <row r="26" spans="1:25" x14ac:dyDescent="0.35">
      <c r="A26" s="2"/>
      <c r="B26" s="2"/>
      <c r="C26" s="80" t="s">
        <v>164</v>
      </c>
      <c r="D26" s="2"/>
      <c r="E26" s="2"/>
      <c r="F26" s="81"/>
      <c r="G26" s="81"/>
      <c r="H26" s="81"/>
      <c r="I26" s="2"/>
      <c r="J26" s="82"/>
      <c r="K26" s="83"/>
      <c r="L26" s="83"/>
      <c r="M26" s="84"/>
      <c r="N26" s="81"/>
      <c r="O26" s="2"/>
      <c r="P26" s="81"/>
      <c r="Q26" s="81"/>
      <c r="S26" s="2"/>
      <c r="X26" s="2"/>
      <c r="Y26" s="2"/>
    </row>
    <row r="27" spans="1:25" x14ac:dyDescent="0.35">
      <c r="A27" s="2"/>
      <c r="B27" s="2"/>
      <c r="C27" s="85" t="s">
        <v>165</v>
      </c>
      <c r="D27" s="2"/>
      <c r="E27" s="2"/>
      <c r="F27" s="54"/>
      <c r="G27" s="54"/>
      <c r="H27" s="54"/>
      <c r="I27" s="2"/>
      <c r="J27" s="55"/>
      <c r="K27" s="56"/>
      <c r="L27" s="56"/>
      <c r="M27" s="57"/>
      <c r="N27" s="54">
        <f>SUM(J27:M27)</f>
        <v>0</v>
      </c>
      <c r="O27" s="2"/>
      <c r="P27" s="54"/>
      <c r="Q27" s="54"/>
      <c r="R27" s="54"/>
      <c r="S27" s="2"/>
      <c r="X27" s="2"/>
      <c r="Y27" s="2"/>
    </row>
    <row r="28" spans="1:25" x14ac:dyDescent="0.35">
      <c r="A28" s="2"/>
      <c r="B28" s="2"/>
      <c r="C28" s="85" t="s">
        <v>166</v>
      </c>
      <c r="D28" s="2"/>
      <c r="E28" s="2"/>
      <c r="F28" s="54"/>
      <c r="G28" s="54"/>
      <c r="H28" s="54"/>
      <c r="I28" s="2"/>
      <c r="J28" s="55"/>
      <c r="K28" s="56"/>
      <c r="L28" s="56"/>
      <c r="M28" s="57"/>
      <c r="N28" s="54">
        <f>SUM(J28:M28)</f>
        <v>0</v>
      </c>
      <c r="O28" s="2"/>
      <c r="P28" s="54"/>
      <c r="Q28" s="54"/>
      <c r="R28" s="54"/>
      <c r="S28" s="2"/>
      <c r="X28" s="2"/>
      <c r="Y28" s="2"/>
    </row>
    <row r="29" spans="1:25" x14ac:dyDescent="0.35">
      <c r="A29" s="2"/>
      <c r="B29" s="2"/>
      <c r="C29" s="85" t="s">
        <v>167</v>
      </c>
      <c r="D29" s="2"/>
      <c r="E29" s="2"/>
      <c r="F29" s="54"/>
      <c r="G29" s="54"/>
      <c r="H29" s="54"/>
      <c r="I29" s="2"/>
      <c r="J29" s="55"/>
      <c r="K29" s="56"/>
      <c r="L29" s="56"/>
      <c r="M29" s="57"/>
      <c r="N29" s="54">
        <f>SUM(J29:M29)</f>
        <v>0</v>
      </c>
      <c r="O29" s="2"/>
      <c r="P29" s="54"/>
      <c r="Q29" s="54"/>
      <c r="R29" s="54"/>
      <c r="S29" s="2"/>
      <c r="X29" s="2"/>
      <c r="Y29" s="2"/>
    </row>
    <row r="30" spans="1:25" x14ac:dyDescent="0.35">
      <c r="A30" s="2"/>
      <c r="B30" s="2"/>
      <c r="C30" s="85" t="s">
        <v>168</v>
      </c>
      <c r="D30" s="2"/>
      <c r="E30" s="2"/>
      <c r="F30" s="54"/>
      <c r="G30" s="54"/>
      <c r="H30" s="54"/>
      <c r="I30" s="2"/>
      <c r="J30" s="55"/>
      <c r="K30" s="56"/>
      <c r="L30" s="56"/>
      <c r="M30" s="57"/>
      <c r="N30" s="54">
        <f>SUM(J30:M30)</f>
        <v>0</v>
      </c>
      <c r="O30" s="2"/>
      <c r="P30" s="54"/>
      <c r="Q30" s="54"/>
      <c r="R30" s="54"/>
      <c r="S30" s="2"/>
      <c r="X30" s="2"/>
      <c r="Y30" s="2"/>
    </row>
    <row r="31" spans="1:25" x14ac:dyDescent="0.35">
      <c r="A31" s="2"/>
      <c r="B31" s="2"/>
      <c r="C31" s="85" t="s">
        <v>169</v>
      </c>
      <c r="D31" s="2"/>
      <c r="E31" s="2"/>
      <c r="F31" s="54"/>
      <c r="G31" s="54"/>
      <c r="H31" s="54"/>
      <c r="I31" s="2"/>
      <c r="J31" s="55"/>
      <c r="K31" s="56"/>
      <c r="L31" s="56"/>
      <c r="M31" s="57"/>
      <c r="N31" s="54">
        <f>SUM(J31:M31)</f>
        <v>0</v>
      </c>
      <c r="O31" s="2"/>
      <c r="P31" s="54"/>
      <c r="Q31" s="54"/>
      <c r="R31" s="54"/>
      <c r="S31" s="2"/>
      <c r="X31" s="2"/>
      <c r="Y31" s="2"/>
    </row>
    <row r="32" spans="1:25" x14ac:dyDescent="0.35">
      <c r="A32" s="68"/>
      <c r="B32" s="68"/>
      <c r="C32" s="69" t="s">
        <v>170</v>
      </c>
      <c r="D32" s="68"/>
      <c r="E32" s="68"/>
      <c r="F32" s="70">
        <f>F27+F28+F29+F30+F31</f>
        <v>0</v>
      </c>
      <c r="G32" s="70">
        <f>G27+G28+G29+G30+G31</f>
        <v>0</v>
      </c>
      <c r="H32" s="70">
        <f>H27+H28+H29+H30+H31</f>
        <v>0</v>
      </c>
      <c r="I32" s="68"/>
      <c r="J32" s="86">
        <f>J27+J28+J29+J30+J31</f>
        <v>0</v>
      </c>
      <c r="K32" s="70">
        <f>K27+K28+K29+K30+K31</f>
        <v>0</v>
      </c>
      <c r="L32" s="70">
        <f>L27+L28+L29+L30+L31</f>
        <v>0</v>
      </c>
      <c r="M32" s="87">
        <f>M27+M28+M29+M30+M31</f>
        <v>0</v>
      </c>
      <c r="N32" s="70">
        <f>N27+N28+N29+N30+N31</f>
        <v>0</v>
      </c>
      <c r="O32" s="68"/>
      <c r="P32" s="70">
        <f>P27+P28+P29+P30+P31</f>
        <v>0</v>
      </c>
      <c r="Q32" s="70">
        <f>Q27+Q28+Q29+Q30+Q31</f>
        <v>0</v>
      </c>
      <c r="R32" s="70">
        <f>R27+R28+R29+R30+R31</f>
        <v>0</v>
      </c>
      <c r="S32" s="68"/>
      <c r="T32" s="88">
        <f>N32*(1+$W$10)</f>
        <v>0</v>
      </c>
      <c r="U32" s="88">
        <f>P32*(1+$W$10)</f>
        <v>0</v>
      </c>
      <c r="V32" s="88">
        <f>Q32*(1+$W$10)</f>
        <v>0</v>
      </c>
      <c r="W32" s="88">
        <f>R32*(1+$W$10)</f>
        <v>0</v>
      </c>
      <c r="X32" s="2"/>
      <c r="Y32" s="2"/>
    </row>
    <row r="33" spans="1:25" ht="12.4" customHeight="1" outlineLevel="1" x14ac:dyDescent="0.35">
      <c r="A33" s="2"/>
      <c r="B33" s="2"/>
      <c r="C33" s="60" t="s">
        <v>157</v>
      </c>
      <c r="D33" s="2"/>
      <c r="E33" s="2"/>
      <c r="F33" s="61" t="s">
        <v>158</v>
      </c>
      <c r="G33" s="62" t="e">
        <f>IF(F32&lt;0,IF(G32&lt;0,-(G32/F32-1),-(G32/F32-1)),(G32/F32-1))</f>
        <v>#DIV/0!</v>
      </c>
      <c r="H33" s="62" t="e">
        <f>IF(G32&lt;0,IF(H32&lt;0,-(H32/G32-1),-(H32/G32-1)),(H32/G32-1))</f>
        <v>#DIV/0!</v>
      </c>
      <c r="I33" s="63"/>
      <c r="J33" s="64" t="e">
        <f>IF(H32&lt;0,IF(J32&lt;0,-(J32/(H32/4)-1),-(J32/(H32/4)-1)),(J32/(H32/4)-1))</f>
        <v>#DIV/0!</v>
      </c>
      <c r="K33" s="62" t="e">
        <f>IF(J32&lt;0,IF(K32&lt;0,-(K32/J32-1),-(K32/J32-1)),(K32/J32-1))</f>
        <v>#DIV/0!</v>
      </c>
      <c r="L33" s="62" t="e">
        <f>IF(K32&lt;0,IF(L32&lt;0,-(L32/K32-1),-(L32/K32-1)),(L32/K32-1))</f>
        <v>#DIV/0!</v>
      </c>
      <c r="M33" s="65" t="e">
        <f>IF(L32&lt;0,IF(M32&lt;0,-(M32/L32-1),-(M32/L32-1)),(M32/L32-1))</f>
        <v>#DIV/0!</v>
      </c>
      <c r="N33" s="62" t="e">
        <f>IF(H32&lt;0,IF(N32&lt;0,-(N32/H32-1),-(N32/H32-1)),(N32/H32-1))</f>
        <v>#DIV/0!</v>
      </c>
      <c r="O33" s="63"/>
      <c r="P33" s="62" t="e">
        <f>IF(N32&lt;0,IF(P32&lt;0,-(P32/N32-1),-(P32/N32-1)),(P32/N32-1))</f>
        <v>#DIV/0!</v>
      </c>
      <c r="Q33" s="62" t="e">
        <f>IF(P32&lt;0,IF(Q32&lt;0,-(Q32/P32-1),-(Q32/P32-1)),(Q32/P32-1))</f>
        <v>#DIV/0!</v>
      </c>
      <c r="R33" s="62" t="e">
        <f>IF(Q32&lt;0,IF(R32&lt;0,-(R32/Q32-1),-(R32/Q32-1)),(R32/Q32-1))</f>
        <v>#DIV/0!</v>
      </c>
      <c r="S33" s="66"/>
      <c r="T33" s="62" t="e">
        <f>IF(H32&lt;0,IF(T32&lt;0,-(T32/H32-1),-(T32/H32-1)),(T32/H32-1))</f>
        <v>#DIV/0!</v>
      </c>
      <c r="U33" s="62" t="e">
        <f>IF(T32&lt;0,IF(U32&lt;0,-(U32/T32-1),-(U32/T32-1)),(U32/T32-1))</f>
        <v>#DIV/0!</v>
      </c>
      <c r="V33" s="62" t="e">
        <f>IF(U32&lt;0,IF(V32&lt;0,-(V32/U32-1),-(V32/U32-1)),(V32/U32-1))</f>
        <v>#DIV/0!</v>
      </c>
      <c r="W33" s="62" t="e">
        <f>IF(V32&lt;0,IF(W32&lt;0,-(W32/V32-1),-(W32/V32-1)),(W32/V32-1))</f>
        <v>#DIV/0!</v>
      </c>
      <c r="X33" s="2"/>
      <c r="Y33" s="2"/>
    </row>
    <row r="34" spans="1:25" ht="12.4" customHeight="1" outlineLevel="1" x14ac:dyDescent="0.35">
      <c r="A34" s="2"/>
      <c r="B34" s="2"/>
      <c r="C34" s="60" t="s">
        <v>171</v>
      </c>
      <c r="D34" s="2"/>
      <c r="E34" s="2"/>
      <c r="F34" s="61" t="e">
        <f>F32/F18</f>
        <v>#DIV/0!</v>
      </c>
      <c r="G34" s="61" t="e">
        <f>G32/G18</f>
        <v>#DIV/0!</v>
      </c>
      <c r="H34" s="61" t="e">
        <f>H32/H18</f>
        <v>#DIV/0!</v>
      </c>
      <c r="I34" s="63"/>
      <c r="J34" s="89" t="e">
        <f>J32/J18</f>
        <v>#DIV/0!</v>
      </c>
      <c r="K34" s="90" t="e">
        <f>K32/K18</f>
        <v>#DIV/0!</v>
      </c>
      <c r="L34" s="90" t="e">
        <f>L32/L18</f>
        <v>#DIV/0!</v>
      </c>
      <c r="M34" s="91" t="e">
        <f>M32/M18</f>
        <v>#DIV/0!</v>
      </c>
      <c r="N34" s="62" t="e">
        <f>N32/N18</f>
        <v>#DIV/0!</v>
      </c>
      <c r="O34" s="63"/>
      <c r="P34" s="62" t="e">
        <f>P32/P18</f>
        <v>#DIV/0!</v>
      </c>
      <c r="Q34" s="62" t="e">
        <f>Q32/Q18</f>
        <v>#DIV/0!</v>
      </c>
      <c r="R34" s="62" t="e">
        <f>R32/R18</f>
        <v>#DIV/0!</v>
      </c>
      <c r="S34" s="2"/>
      <c r="T34" s="62" t="e">
        <f>T32/T18</f>
        <v>#DIV/0!</v>
      </c>
      <c r="U34" s="62" t="e">
        <f>U32/U18</f>
        <v>#DIV/0!</v>
      </c>
      <c r="V34" s="62" t="e">
        <f>V32/V18</f>
        <v>#DIV/0!</v>
      </c>
      <c r="W34" s="62" t="e">
        <f>W32/W18</f>
        <v>#DIV/0!</v>
      </c>
      <c r="X34" s="2"/>
      <c r="Y34" s="2"/>
    </row>
    <row r="35" spans="1:25" ht="12.65" customHeight="1" x14ac:dyDescent="0.35">
      <c r="A35" s="2"/>
      <c r="B35" s="2"/>
      <c r="C35" s="22"/>
      <c r="D35" s="2"/>
      <c r="E35" s="2"/>
      <c r="F35" s="2"/>
      <c r="G35" s="2"/>
      <c r="H35" s="2"/>
      <c r="I35" s="2"/>
      <c r="J35" s="51"/>
      <c r="K35" s="52"/>
      <c r="L35" s="52"/>
      <c r="M35" s="53"/>
      <c r="N35" s="2"/>
      <c r="O35" s="2"/>
      <c r="P35" s="2"/>
      <c r="Q35" s="2"/>
      <c r="S35" s="2"/>
      <c r="X35" s="2"/>
      <c r="Y35" s="2"/>
    </row>
    <row r="36" spans="1:25" x14ac:dyDescent="0.35">
      <c r="A36" s="68"/>
      <c r="B36" s="68"/>
      <c r="C36" s="69" t="s">
        <v>172</v>
      </c>
      <c r="D36" s="68"/>
      <c r="E36" s="68"/>
      <c r="F36" s="76">
        <f>+F24-F32</f>
        <v>0</v>
      </c>
      <c r="G36" s="76">
        <f>+G24-G32</f>
        <v>0</v>
      </c>
      <c r="H36" s="76">
        <f>+H24-H32</f>
        <v>0</v>
      </c>
      <c r="I36" s="68"/>
      <c r="J36" s="77">
        <f>+J24-J32</f>
        <v>0</v>
      </c>
      <c r="K36" s="78">
        <f>+K24-K32</f>
        <v>0</v>
      </c>
      <c r="L36" s="78">
        <f>+L24-L32</f>
        <v>0</v>
      </c>
      <c r="M36" s="79">
        <f>+M24-M32</f>
        <v>0</v>
      </c>
      <c r="N36" s="76">
        <f>+N24-N32</f>
        <v>0</v>
      </c>
      <c r="O36" s="68"/>
      <c r="P36" s="76">
        <f>+P24-P32</f>
        <v>0</v>
      </c>
      <c r="Q36" s="76">
        <f>+Q24-Q32</f>
        <v>0</v>
      </c>
      <c r="R36" s="76">
        <f>+R24-R32</f>
        <v>0</v>
      </c>
      <c r="S36" s="68"/>
      <c r="T36" s="76">
        <f>+T24-T32</f>
        <v>0</v>
      </c>
      <c r="U36" s="76">
        <f>+U24-U32</f>
        <v>0</v>
      </c>
      <c r="V36" s="76">
        <f>+V24-V32</f>
        <v>0</v>
      </c>
      <c r="W36" s="76">
        <f>+W24-W32</f>
        <v>0</v>
      </c>
      <c r="X36" s="2"/>
      <c r="Y36" s="2"/>
    </row>
    <row r="37" spans="1:25" ht="12.4" customHeight="1" outlineLevel="1" x14ac:dyDescent="0.35">
      <c r="A37" s="2"/>
      <c r="B37" s="2"/>
      <c r="C37" s="60" t="s">
        <v>173</v>
      </c>
      <c r="D37" s="2"/>
      <c r="E37" s="2"/>
      <c r="F37" s="61" t="e">
        <f>+F36/F18</f>
        <v>#DIV/0!</v>
      </c>
      <c r="G37" s="61" t="e">
        <f>+G36/G18</f>
        <v>#DIV/0!</v>
      </c>
      <c r="H37" s="61" t="e">
        <f>+H36/H18</f>
        <v>#DIV/0!</v>
      </c>
      <c r="I37" s="63"/>
      <c r="J37" s="92" t="e">
        <f>+J36/J18</f>
        <v>#DIV/0!</v>
      </c>
      <c r="K37" s="93" t="e">
        <f>+K36/K18</f>
        <v>#DIV/0!</v>
      </c>
      <c r="L37" s="93" t="e">
        <f>+L36/L18</f>
        <v>#DIV/0!</v>
      </c>
      <c r="M37" s="94" t="e">
        <f>+M36/M18</f>
        <v>#DIV/0!</v>
      </c>
      <c r="N37" s="61" t="e">
        <f>+N36/N18</f>
        <v>#DIV/0!</v>
      </c>
      <c r="O37" s="63"/>
      <c r="P37" s="61" t="e">
        <f>+P36/P18</f>
        <v>#DIV/0!</v>
      </c>
      <c r="Q37" s="61" t="e">
        <f>+Q36/Q18</f>
        <v>#DIV/0!</v>
      </c>
      <c r="R37" s="61" t="e">
        <f>+R36/R18</f>
        <v>#DIV/0!</v>
      </c>
      <c r="S37" s="66"/>
      <c r="T37" s="61" t="e">
        <f>+T36/T18</f>
        <v>#DIV/0!</v>
      </c>
      <c r="U37" s="61" t="e">
        <f>+U36/U18</f>
        <v>#DIV/0!</v>
      </c>
      <c r="V37" s="61" t="e">
        <f>+V36/V18</f>
        <v>#DIV/0!</v>
      </c>
      <c r="W37" s="61" t="e">
        <f>+W36/W18</f>
        <v>#DIV/0!</v>
      </c>
      <c r="X37" s="2"/>
      <c r="Y37" s="2"/>
    </row>
    <row r="38" spans="1:25" ht="12.65" customHeight="1" x14ac:dyDescent="0.35">
      <c r="A38" s="2"/>
      <c r="B38" s="2"/>
      <c r="C38" s="22"/>
      <c r="D38" s="2"/>
      <c r="E38" s="2"/>
      <c r="F38" s="2"/>
      <c r="G38" s="2"/>
      <c r="H38" s="2"/>
      <c r="I38" s="2"/>
      <c r="J38" s="51"/>
      <c r="K38" s="52"/>
      <c r="L38" s="52"/>
      <c r="M38" s="53"/>
      <c r="N38" s="2"/>
      <c r="O38" s="2"/>
      <c r="P38" s="2"/>
      <c r="Q38" s="2"/>
      <c r="S38" s="2"/>
      <c r="X38" s="2"/>
      <c r="Y38" s="2"/>
    </row>
    <row r="39" spans="1:25" x14ac:dyDescent="0.35">
      <c r="A39" s="2"/>
      <c r="B39" s="2"/>
      <c r="C39" s="85" t="s">
        <v>174</v>
      </c>
      <c r="D39" s="2"/>
      <c r="E39" s="2"/>
      <c r="F39" s="54"/>
      <c r="G39" s="54"/>
      <c r="H39" s="54"/>
      <c r="I39" s="2"/>
      <c r="J39" s="55"/>
      <c r="K39" s="56"/>
      <c r="L39" s="56"/>
      <c r="M39" s="57"/>
      <c r="N39" s="54">
        <f>SUM(J39:M39)</f>
        <v>0</v>
      </c>
      <c r="O39" s="2"/>
      <c r="P39" s="54"/>
      <c r="Q39" s="54"/>
      <c r="R39" s="54"/>
      <c r="S39" s="2"/>
      <c r="T39" s="95"/>
      <c r="U39" s="95"/>
      <c r="V39" s="95"/>
      <c r="W39" s="95"/>
      <c r="X39" s="2"/>
      <c r="Y39" s="2"/>
    </row>
    <row r="40" spans="1:25" x14ac:dyDescent="0.35">
      <c r="A40" s="2"/>
      <c r="B40" s="2"/>
      <c r="C40" s="85" t="s">
        <v>175</v>
      </c>
      <c r="D40" s="2"/>
      <c r="E40" s="2"/>
      <c r="F40" s="96">
        <f>F36*$D$41</f>
        <v>0</v>
      </c>
      <c r="G40" s="96">
        <f>G36*$D$41</f>
        <v>0</v>
      </c>
      <c r="H40" s="96">
        <f>H36*$D$41</f>
        <v>0</v>
      </c>
      <c r="I40" s="2"/>
      <c r="J40" s="97">
        <f>J36*$D$41</f>
        <v>0</v>
      </c>
      <c r="K40" s="96">
        <f>K36*$D$41</f>
        <v>0</v>
      </c>
      <c r="L40" s="96">
        <f>L36*$D$41</f>
        <v>0</v>
      </c>
      <c r="M40" s="98">
        <f>M36*$D$41</f>
        <v>0</v>
      </c>
      <c r="N40" s="96">
        <f>N36*$D$41</f>
        <v>0</v>
      </c>
      <c r="O40" s="2"/>
      <c r="P40" s="96">
        <f>P36*$D$41</f>
        <v>0</v>
      </c>
      <c r="Q40" s="96">
        <f>Q36*$D$41</f>
        <v>0</v>
      </c>
      <c r="R40" s="96">
        <f>R36*$D$41</f>
        <v>0</v>
      </c>
      <c r="S40" s="2"/>
      <c r="T40" s="96">
        <f>T36*$D$41</f>
        <v>0</v>
      </c>
      <c r="U40" s="96">
        <f>U36*$D$41</f>
        <v>0</v>
      </c>
      <c r="V40" s="96">
        <f>V36*$D$41</f>
        <v>0</v>
      </c>
      <c r="W40" s="96">
        <f>W36*$D$41</f>
        <v>0</v>
      </c>
      <c r="X40" s="2"/>
      <c r="Y40" s="2"/>
    </row>
    <row r="41" spans="1:25" x14ac:dyDescent="0.35">
      <c r="A41" s="2"/>
      <c r="B41" s="2"/>
      <c r="C41" s="99" t="s">
        <v>176</v>
      </c>
      <c r="D41" s="100"/>
      <c r="E41" s="2"/>
      <c r="F41" s="101"/>
      <c r="G41" s="101"/>
      <c r="H41" s="101"/>
      <c r="I41" s="2"/>
      <c r="J41" s="102"/>
      <c r="K41" s="103"/>
      <c r="L41" s="103"/>
      <c r="M41" s="104"/>
      <c r="N41" s="105"/>
      <c r="O41" s="2"/>
      <c r="P41" s="105"/>
      <c r="Q41" s="105"/>
      <c r="S41" s="2"/>
      <c r="X41" s="2"/>
      <c r="Y41" s="2"/>
    </row>
    <row r="42" spans="1:25" ht="7.5" customHeight="1" x14ac:dyDescent="0.35">
      <c r="A42" s="2"/>
      <c r="B42" s="2"/>
      <c r="C42" s="22"/>
      <c r="D42" s="2"/>
      <c r="E42" s="2"/>
      <c r="F42" s="2"/>
      <c r="G42" s="2"/>
      <c r="H42" s="2"/>
      <c r="I42" s="2"/>
      <c r="J42" s="51"/>
      <c r="K42" s="52"/>
      <c r="L42" s="52"/>
      <c r="M42" s="53"/>
      <c r="N42" s="2"/>
      <c r="O42" s="2"/>
      <c r="P42" s="2"/>
      <c r="Q42" s="2"/>
      <c r="S42" s="2"/>
      <c r="X42" s="2"/>
      <c r="Y42" s="2"/>
    </row>
    <row r="43" spans="1:25" x14ac:dyDescent="0.35">
      <c r="A43" s="68"/>
      <c r="B43" s="68"/>
      <c r="C43" s="69" t="s">
        <v>177</v>
      </c>
      <c r="D43" s="68"/>
      <c r="E43" s="68"/>
      <c r="F43" s="76">
        <f>F36+F39-F40</f>
        <v>0</v>
      </c>
      <c r="G43" s="76">
        <f t="shared" ref="G43:W43" si="0">G36+G39-G40</f>
        <v>0</v>
      </c>
      <c r="H43" s="76">
        <f t="shared" si="0"/>
        <v>0</v>
      </c>
      <c r="I43" s="76"/>
      <c r="J43" s="106">
        <f t="shared" si="0"/>
        <v>0</v>
      </c>
      <c r="K43" s="76">
        <f t="shared" si="0"/>
        <v>0</v>
      </c>
      <c r="L43" s="76">
        <f t="shared" si="0"/>
        <v>0</v>
      </c>
      <c r="M43" s="107">
        <f t="shared" si="0"/>
        <v>0</v>
      </c>
      <c r="N43" s="76">
        <f t="shared" si="0"/>
        <v>0</v>
      </c>
      <c r="O43" s="76"/>
      <c r="P43" s="76">
        <f t="shared" si="0"/>
        <v>0</v>
      </c>
      <c r="Q43" s="76">
        <f t="shared" si="0"/>
        <v>0</v>
      </c>
      <c r="R43" s="76">
        <f t="shared" si="0"/>
        <v>0</v>
      </c>
      <c r="S43" s="76"/>
      <c r="T43" s="76">
        <f t="shared" si="0"/>
        <v>0</v>
      </c>
      <c r="U43" s="76">
        <f t="shared" si="0"/>
        <v>0</v>
      </c>
      <c r="V43" s="76">
        <f t="shared" si="0"/>
        <v>0</v>
      </c>
      <c r="W43" s="76">
        <f t="shared" si="0"/>
        <v>0</v>
      </c>
      <c r="X43" s="2"/>
      <c r="Y43" s="2"/>
    </row>
    <row r="44" spans="1:25" ht="12.4" customHeight="1" outlineLevel="1" x14ac:dyDescent="0.35">
      <c r="A44" s="2"/>
      <c r="B44" s="2"/>
      <c r="C44" s="60" t="s">
        <v>157</v>
      </c>
      <c r="D44" s="2"/>
      <c r="E44" s="2"/>
      <c r="F44" s="61" t="s">
        <v>158</v>
      </c>
      <c r="G44" s="62" t="e">
        <f>IF(F43&lt;0,IF(G43&lt;0,-(G43/F43-1),-(G43/F43-1)),(G43/F43-1))</f>
        <v>#DIV/0!</v>
      </c>
      <c r="H44" s="62" t="e">
        <f>IF(G43&lt;0,IF(H43&lt;0,-(H43/G43-1),-(H43/G43-1)),(H43/G43-1))</f>
        <v>#DIV/0!</v>
      </c>
      <c r="I44" s="63"/>
      <c r="J44" s="64" t="e">
        <f>IF(H43&lt;0,IF(J43&lt;0,-(J43/(H43/4)-1),-(J43/(H43/4)-1)),(J43/(H43/4)-1))</f>
        <v>#DIV/0!</v>
      </c>
      <c r="K44" s="62" t="e">
        <f>IF(J43&lt;0,IF(K43&lt;0,-(K43/J43-1),-(K43/J43-1)),(K43/J43-1))</f>
        <v>#DIV/0!</v>
      </c>
      <c r="L44" s="62" t="e">
        <f>IF(K43&lt;0,IF(L43&lt;0,-(L43/K43-1),-(L43/K43-1)),(L43/K43-1))</f>
        <v>#DIV/0!</v>
      </c>
      <c r="M44" s="65" t="e">
        <f>IF(L43&lt;0,IF(M43&lt;0,-(M43/L43-1),-(M43/L43-1)),(M43/L43-1))</f>
        <v>#DIV/0!</v>
      </c>
      <c r="N44" s="62" t="e">
        <f>IF(H43&lt;0,IF(N43&lt;0,-(N43/H43-1),-(N43/H43-1)),(N43/H43-1))</f>
        <v>#DIV/0!</v>
      </c>
      <c r="O44" s="63"/>
      <c r="P44" s="62" t="e">
        <f>IF(N43&lt;0,IF(P43&lt;0,-(P43/N43-1),-(P43/N43-1)),(P43/N43-1))</f>
        <v>#DIV/0!</v>
      </c>
      <c r="Q44" s="62" t="e">
        <f>IF(P43&lt;0,IF(Q43&lt;0,-(Q43/P43-1),-(Q43/P43-1)),(Q43/P43-1))</f>
        <v>#DIV/0!</v>
      </c>
      <c r="R44" s="62" t="e">
        <f>IF(Q43&lt;0,IF(R43&lt;0,-(R43/Q43-1),-(R43/Q43-1)),(R43/Q43-1))</f>
        <v>#DIV/0!</v>
      </c>
      <c r="S44" s="66"/>
      <c r="T44" s="62" t="e">
        <f>IF(H43&lt;0,IF(T43&lt;0,-(T43/H43-1),-(T43/H43-1)),(T43/H43-1))</f>
        <v>#DIV/0!</v>
      </c>
      <c r="U44" s="62" t="e">
        <f>IF(T43&lt;0,IF(U43&lt;0,-(U43/T43-1),-(U43/T43-1)),(U43/T43-1))</f>
        <v>#DIV/0!</v>
      </c>
      <c r="V44" s="62" t="e">
        <f>IF(U43&lt;0,IF(V43&lt;0,-(V43/U43-1),-(V43/U43-1)),(V43/U43-1))</f>
        <v>#DIV/0!</v>
      </c>
      <c r="W44" s="62" t="e">
        <f>IF(V43&lt;0,IF(W43&lt;0,-(W43/V43-1),-(W43/V43-1)),(W43/V43-1))</f>
        <v>#DIV/0!</v>
      </c>
      <c r="X44" s="2"/>
      <c r="Y44" s="2"/>
    </row>
    <row r="45" spans="1:25" ht="12.4" customHeight="1" outlineLevel="1" x14ac:dyDescent="0.35">
      <c r="A45" s="2"/>
      <c r="B45" s="2"/>
      <c r="C45" s="60" t="s">
        <v>178</v>
      </c>
      <c r="D45" s="2"/>
      <c r="E45" s="2"/>
      <c r="F45" s="61" t="e">
        <f>F43/F18</f>
        <v>#DIV/0!</v>
      </c>
      <c r="G45" s="61" t="e">
        <f t="shared" ref="G45:W45" si="1">G43/G18</f>
        <v>#DIV/0!</v>
      </c>
      <c r="H45" s="61" t="e">
        <f t="shared" si="1"/>
        <v>#DIV/0!</v>
      </c>
      <c r="I45" s="63"/>
      <c r="J45" s="108" t="e">
        <f t="shared" si="1"/>
        <v>#DIV/0!</v>
      </c>
      <c r="K45" s="61" t="e">
        <f t="shared" si="1"/>
        <v>#DIV/0!</v>
      </c>
      <c r="L45" s="61" t="e">
        <f t="shared" si="1"/>
        <v>#DIV/0!</v>
      </c>
      <c r="M45" s="109" t="e">
        <f t="shared" si="1"/>
        <v>#DIV/0!</v>
      </c>
      <c r="N45" s="61" t="e">
        <f t="shared" si="1"/>
        <v>#DIV/0!</v>
      </c>
      <c r="O45" s="63"/>
      <c r="P45" s="61" t="e">
        <f t="shared" si="1"/>
        <v>#DIV/0!</v>
      </c>
      <c r="Q45" s="61" t="e">
        <f t="shared" si="1"/>
        <v>#DIV/0!</v>
      </c>
      <c r="R45" s="61" t="e">
        <f t="shared" si="1"/>
        <v>#DIV/0!</v>
      </c>
      <c r="S45" s="66"/>
      <c r="T45" s="61" t="e">
        <f t="shared" si="1"/>
        <v>#DIV/0!</v>
      </c>
      <c r="U45" s="61" t="e">
        <f t="shared" si="1"/>
        <v>#DIV/0!</v>
      </c>
      <c r="V45" s="61" t="e">
        <f t="shared" si="1"/>
        <v>#DIV/0!</v>
      </c>
      <c r="W45" s="61" t="e">
        <f t="shared" si="1"/>
        <v>#DIV/0!</v>
      </c>
      <c r="X45" s="2"/>
      <c r="Y45" s="2"/>
    </row>
    <row r="46" spans="1:25" ht="12.65" customHeight="1" x14ac:dyDescent="0.35">
      <c r="A46" s="2"/>
      <c r="B46" s="2"/>
      <c r="C46" s="22"/>
      <c r="D46" s="2"/>
      <c r="E46" s="2"/>
      <c r="F46" s="2"/>
      <c r="G46" s="2"/>
      <c r="H46" s="2"/>
      <c r="I46" s="2"/>
      <c r="J46" s="51"/>
      <c r="K46" s="52"/>
      <c r="L46" s="52"/>
      <c r="M46" s="53"/>
      <c r="N46" s="2"/>
      <c r="O46" s="2"/>
      <c r="P46" s="2"/>
      <c r="Q46" s="2"/>
      <c r="S46" s="2"/>
      <c r="X46" s="2"/>
      <c r="Y46" s="2"/>
    </row>
    <row r="47" spans="1:25" ht="12.4" customHeight="1" x14ac:dyDescent="0.35">
      <c r="A47" s="2"/>
      <c r="B47" s="2"/>
      <c r="C47" s="60"/>
      <c r="D47" s="2"/>
      <c r="E47" s="2"/>
      <c r="F47" s="110"/>
      <c r="G47" s="111"/>
      <c r="H47" s="111"/>
      <c r="I47" s="63"/>
      <c r="J47" s="112"/>
      <c r="K47" s="113"/>
      <c r="L47" s="113"/>
      <c r="M47" s="114"/>
      <c r="N47" s="111"/>
      <c r="O47" s="63"/>
      <c r="P47" s="111"/>
      <c r="Q47" s="111"/>
      <c r="R47" s="111"/>
      <c r="S47" s="66"/>
      <c r="T47" s="110"/>
      <c r="U47" s="111"/>
      <c r="V47" s="111"/>
      <c r="W47" s="111"/>
      <c r="X47" s="2"/>
      <c r="Y47" s="2"/>
    </row>
    <row r="48" spans="1:25" x14ac:dyDescent="0.35">
      <c r="A48" s="2"/>
      <c r="B48" s="2"/>
      <c r="C48" s="22" t="s">
        <v>179</v>
      </c>
      <c r="D48" s="2"/>
      <c r="E48" s="2"/>
      <c r="F48" s="54"/>
      <c r="G48" s="54"/>
      <c r="H48" s="54"/>
      <c r="I48" s="2"/>
      <c r="J48" s="55"/>
      <c r="K48" s="56"/>
      <c r="L48" s="56"/>
      <c r="M48" s="57"/>
      <c r="N48" s="54">
        <f>SUM(J48:M48)</f>
        <v>0</v>
      </c>
      <c r="O48" s="2"/>
      <c r="P48" s="54"/>
      <c r="Q48" s="54"/>
      <c r="R48" s="54"/>
      <c r="S48" s="2"/>
      <c r="T48" s="75"/>
      <c r="U48" s="75"/>
      <c r="V48" s="75"/>
      <c r="W48" s="75"/>
      <c r="X48" s="2"/>
      <c r="Y48" s="2"/>
    </row>
    <row r="49" spans="1:25" ht="7.5" customHeight="1" x14ac:dyDescent="0.35">
      <c r="A49" s="2"/>
      <c r="B49" s="2"/>
      <c r="C49" s="22"/>
      <c r="D49" s="2"/>
      <c r="E49" s="2"/>
      <c r="F49" s="2"/>
      <c r="G49" s="2"/>
      <c r="H49" s="2"/>
      <c r="I49" s="2"/>
      <c r="J49" s="51"/>
      <c r="K49" s="52"/>
      <c r="L49" s="52"/>
      <c r="M49" s="53"/>
      <c r="N49" s="2"/>
      <c r="O49" s="2"/>
      <c r="P49" s="2"/>
      <c r="Q49" s="2"/>
      <c r="S49" s="2"/>
      <c r="X49" s="2"/>
      <c r="Y49" s="2"/>
    </row>
    <row r="50" spans="1:25" ht="12.4" customHeight="1" x14ac:dyDescent="0.35">
      <c r="A50" s="2"/>
      <c r="B50" s="2"/>
      <c r="C50" s="85" t="s">
        <v>180</v>
      </c>
      <c r="E50" s="115"/>
      <c r="F50" s="54"/>
      <c r="G50" s="54"/>
      <c r="H50" s="54"/>
      <c r="I50" s="2"/>
      <c r="J50" s="55"/>
      <c r="K50" s="56"/>
      <c r="L50" s="56"/>
      <c r="M50" s="57"/>
      <c r="N50" s="54">
        <f>SUM(J50:M50)</f>
        <v>0</v>
      </c>
      <c r="O50" s="2"/>
      <c r="P50" s="54"/>
      <c r="Q50" s="54"/>
      <c r="R50" s="54"/>
      <c r="S50" s="66"/>
      <c r="T50" s="110"/>
      <c r="U50" s="111"/>
      <c r="V50" s="111"/>
      <c r="W50" s="111"/>
      <c r="X50" s="2"/>
      <c r="Y50" s="2"/>
    </row>
    <row r="51" spans="1:25" ht="12.4" customHeight="1" x14ac:dyDescent="0.35">
      <c r="A51" s="2"/>
      <c r="B51" s="2"/>
      <c r="C51" s="85" t="s">
        <v>181</v>
      </c>
      <c r="E51" s="115"/>
      <c r="F51" s="54"/>
      <c r="G51" s="54"/>
      <c r="H51" s="54"/>
      <c r="I51" s="2"/>
      <c r="J51" s="55"/>
      <c r="K51" s="56"/>
      <c r="L51" s="56"/>
      <c r="M51" s="57"/>
      <c r="N51" s="54">
        <f>SUM(J51:M51)</f>
        <v>0</v>
      </c>
      <c r="O51" s="2"/>
      <c r="P51" s="54"/>
      <c r="Q51" s="54"/>
      <c r="R51" s="54"/>
      <c r="S51" s="66"/>
      <c r="T51" s="110"/>
      <c r="U51" s="111"/>
      <c r="V51" s="111"/>
      <c r="W51" s="111"/>
      <c r="X51" s="2"/>
      <c r="Y51" s="2"/>
    </row>
    <row r="52" spans="1:25" ht="12.4" customHeight="1" x14ac:dyDescent="0.35">
      <c r="A52" s="2"/>
      <c r="B52" s="2"/>
      <c r="C52" s="85" t="s">
        <v>182</v>
      </c>
      <c r="E52" s="115"/>
      <c r="F52" s="54"/>
      <c r="G52" s="54"/>
      <c r="H52" s="54"/>
      <c r="I52" s="2"/>
      <c r="J52" s="116"/>
      <c r="K52" s="117"/>
      <c r="L52" s="117"/>
      <c r="M52" s="118"/>
      <c r="N52" s="54">
        <f>SUM(J52:M52)</f>
        <v>0</v>
      </c>
      <c r="O52" s="2"/>
      <c r="P52" s="54"/>
      <c r="Q52" s="54"/>
      <c r="R52" s="54"/>
      <c r="S52" s="66"/>
      <c r="T52" s="110"/>
      <c r="U52" s="111"/>
      <c r="V52" s="111"/>
      <c r="W52" s="111"/>
      <c r="X52" s="2"/>
      <c r="Y52" s="2"/>
    </row>
    <row r="53" spans="1:25" x14ac:dyDescent="0.35">
      <c r="A53" s="68"/>
      <c r="B53" s="68"/>
      <c r="C53" s="119" t="s">
        <v>183</v>
      </c>
      <c r="D53" s="68"/>
      <c r="E53" s="68"/>
      <c r="F53" s="70">
        <f>SUM(F50:F52)</f>
        <v>0</v>
      </c>
      <c r="G53" s="70">
        <f>SUM(G50:G52)</f>
        <v>0</v>
      </c>
      <c r="H53" s="70">
        <f>SUM(H50:H52)</f>
        <v>0</v>
      </c>
      <c r="I53" s="68"/>
      <c r="J53" s="86">
        <f>SUM(J50:J52)</f>
        <v>0</v>
      </c>
      <c r="K53" s="70">
        <f>SUM(K50:K52)</f>
        <v>0</v>
      </c>
      <c r="L53" s="70">
        <f>SUM(L50:L52)</f>
        <v>0</v>
      </c>
      <c r="M53" s="87">
        <f>SUM(M50:M52)</f>
        <v>0</v>
      </c>
      <c r="N53" s="70">
        <f>SUM(N50:N52)</f>
        <v>0</v>
      </c>
      <c r="O53" s="68"/>
      <c r="P53" s="70">
        <f>SUM(P50:P52)</f>
        <v>0</v>
      </c>
      <c r="Q53" s="70">
        <f>SUM(Q50:Q52)</f>
        <v>0</v>
      </c>
      <c r="R53" s="70">
        <f>SUM(R50:R52)</f>
        <v>0</v>
      </c>
      <c r="S53" s="68"/>
      <c r="T53" s="74">
        <f>N53</f>
        <v>0</v>
      </c>
      <c r="U53" s="74">
        <f>P53</f>
        <v>0</v>
      </c>
      <c r="V53" s="74">
        <f>Q53</f>
        <v>0</v>
      </c>
      <c r="W53" s="74">
        <f>R53</f>
        <v>0</v>
      </c>
      <c r="X53" s="2"/>
      <c r="Y53" s="2"/>
    </row>
    <row r="54" spans="1:25" ht="7.5" customHeight="1" x14ac:dyDescent="0.35">
      <c r="A54" s="2"/>
      <c r="B54" s="2"/>
      <c r="C54" s="22"/>
      <c r="D54" s="2"/>
      <c r="E54" s="2"/>
      <c r="F54" s="2"/>
      <c r="G54" s="2"/>
      <c r="H54" s="2"/>
      <c r="I54" s="2"/>
      <c r="J54" s="51"/>
      <c r="K54" s="52"/>
      <c r="L54" s="52"/>
      <c r="M54" s="53"/>
      <c r="N54" s="2"/>
      <c r="O54" s="2"/>
      <c r="P54" s="2"/>
      <c r="Q54" s="2"/>
      <c r="S54" s="2"/>
      <c r="X54" s="2"/>
      <c r="Y54" s="2"/>
    </row>
    <row r="55" spans="1:25" x14ac:dyDescent="0.35">
      <c r="A55" s="2"/>
      <c r="B55" s="2"/>
      <c r="C55" s="22" t="s">
        <v>184</v>
      </c>
      <c r="D55" s="2"/>
      <c r="E55" s="2"/>
      <c r="F55" s="96">
        <f>F43-F48+F53+F30</f>
        <v>0</v>
      </c>
      <c r="G55" s="96">
        <f>G43-G48+G53+G30</f>
        <v>0</v>
      </c>
      <c r="H55" s="96">
        <f>H43-H48+H53+H30</f>
        <v>0</v>
      </c>
      <c r="I55" s="2"/>
      <c r="J55" s="120">
        <f>J43-J48+J53+J30</f>
        <v>0</v>
      </c>
      <c r="K55" s="121">
        <f>K43-K48+K53+K30</f>
        <v>0</v>
      </c>
      <c r="L55" s="121">
        <f>L43-L48+L53+L30</f>
        <v>0</v>
      </c>
      <c r="M55" s="122">
        <f>M43-M48+M53+M30</f>
        <v>0</v>
      </c>
      <c r="N55" s="96">
        <f>N43-N48+N53+N30</f>
        <v>0</v>
      </c>
      <c r="O55" s="2"/>
      <c r="P55" s="96">
        <f>P43-P48+P53+P30</f>
        <v>0</v>
      </c>
      <c r="Q55" s="96">
        <f>Q43-Q48+Q53+Q30</f>
        <v>0</v>
      </c>
      <c r="R55" s="96">
        <f>R43-R48+R53+R30</f>
        <v>0</v>
      </c>
      <c r="S55" s="2"/>
      <c r="T55" s="96">
        <f>T43-T48+T53+N30</f>
        <v>0</v>
      </c>
      <c r="U55" s="96">
        <f>U43-U48+U53+P30</f>
        <v>0</v>
      </c>
      <c r="V55" s="96">
        <f>V43-V48+V53+Q30</f>
        <v>0</v>
      </c>
      <c r="W55" s="96">
        <f>W43-W48+W53+R30</f>
        <v>0</v>
      </c>
      <c r="X55" s="2"/>
      <c r="Y55" s="2"/>
    </row>
    <row r="56" spans="1:25" ht="12.4" customHeight="1" x14ac:dyDescent="0.35">
      <c r="A56" s="2"/>
      <c r="B56" s="2"/>
      <c r="C56" s="60"/>
      <c r="D56" s="2"/>
      <c r="E56" s="2"/>
      <c r="F56" s="110"/>
      <c r="G56" s="111"/>
      <c r="H56" s="111"/>
      <c r="I56" s="63"/>
      <c r="J56" s="113"/>
      <c r="K56" s="113"/>
      <c r="L56" s="113"/>
      <c r="M56" s="113"/>
      <c r="N56" s="111"/>
      <c r="O56" s="63"/>
      <c r="P56" s="111"/>
      <c r="Q56" s="111"/>
      <c r="R56" s="111"/>
      <c r="S56" s="66"/>
      <c r="T56" s="110"/>
      <c r="U56" s="111"/>
      <c r="V56" s="111"/>
      <c r="W56" s="111"/>
      <c r="X56" s="2"/>
      <c r="Y56" s="2"/>
    </row>
    <row r="57" spans="1:25" ht="18.5" x14ac:dyDescent="0.65">
      <c r="A57" s="2"/>
      <c r="B57" s="2"/>
      <c r="C57" s="28" t="s">
        <v>185</v>
      </c>
      <c r="D57" s="29"/>
      <c r="E57" s="2"/>
      <c r="F57" s="1346" t="str">
        <f>F7</f>
        <v>Historical</v>
      </c>
      <c r="G57" s="1346"/>
      <c r="H57" s="1346"/>
      <c r="I57" s="31"/>
      <c r="J57" s="1346" t="str">
        <f>J7</f>
        <v>Current</v>
      </c>
      <c r="K57" s="1346"/>
      <c r="L57" s="1346"/>
      <c r="M57" s="1346"/>
      <c r="N57" s="1346"/>
      <c r="O57" s="32"/>
      <c r="P57" s="1346" t="str">
        <f>P7</f>
        <v>Projected</v>
      </c>
      <c r="Q57" s="1346"/>
      <c r="R57" s="1346"/>
      <c r="S57" s="32"/>
      <c r="T57" s="1346" t="str">
        <f>T7</f>
        <v>DTC Sensitized</v>
      </c>
      <c r="U57" s="1346"/>
      <c r="V57" s="1346"/>
      <c r="W57" s="1346"/>
      <c r="X57" s="2"/>
      <c r="Y57" s="2"/>
    </row>
    <row r="58" spans="1:25" x14ac:dyDescent="0.35">
      <c r="A58" s="35"/>
      <c r="B58" s="35"/>
      <c r="C58" s="2"/>
      <c r="D58" s="2"/>
      <c r="E58" s="35"/>
      <c r="F58" s="123" t="str">
        <f ca="1">F11</f>
        <v>2023</v>
      </c>
      <c r="G58" s="123" t="str">
        <f ca="1">G11</f>
        <v>2024</v>
      </c>
      <c r="H58" s="123" t="str">
        <f ca="1">H11</f>
        <v>2025</v>
      </c>
      <c r="I58" s="35"/>
      <c r="J58" s="124" t="str">
        <f ca="1">J11</f>
        <v>Q1 26</v>
      </c>
      <c r="K58" s="125" t="str">
        <f ca="1">K11</f>
        <v>Q2 26</v>
      </c>
      <c r="L58" s="125" t="str">
        <f ca="1">L11</f>
        <v>Q3 26</v>
      </c>
      <c r="M58" s="126" t="str">
        <f ca="1">M11</f>
        <v>Q4 26</v>
      </c>
      <c r="N58" s="123">
        <f ca="1">N11</f>
        <v>2026</v>
      </c>
      <c r="O58" s="35"/>
      <c r="P58" s="123" t="str">
        <f t="shared" ref="P58:W58" ca="1" si="2">P11</f>
        <v>2027P</v>
      </c>
      <c r="Q58" s="123" t="str">
        <f t="shared" ca="1" si="2"/>
        <v>2028P</v>
      </c>
      <c r="R58" s="123" t="str">
        <f t="shared" ca="1" si="2"/>
        <v>2029P</v>
      </c>
      <c r="S58" s="35"/>
      <c r="T58" s="123" t="str">
        <f t="shared" ca="1" si="2"/>
        <v>2026S</v>
      </c>
      <c r="U58" s="123" t="str">
        <f t="shared" ca="1" si="2"/>
        <v>2027S</v>
      </c>
      <c r="V58" s="123" t="str">
        <f t="shared" ca="1" si="2"/>
        <v>2028S</v>
      </c>
      <c r="W58" s="123" t="str">
        <f t="shared" ca="1" si="2"/>
        <v>2029S</v>
      </c>
      <c r="X58" s="35"/>
      <c r="Y58" s="35"/>
    </row>
    <row r="59" spans="1:25" x14ac:dyDescent="0.35">
      <c r="A59" s="2"/>
      <c r="B59" s="2"/>
      <c r="C59" s="80" t="s">
        <v>186</v>
      </c>
      <c r="D59" s="99"/>
      <c r="E59" s="2"/>
      <c r="F59" s="127">
        <f>F43+F31+F30+F40</f>
        <v>0</v>
      </c>
      <c r="G59" s="127">
        <f>G43+G31+G30+G40</f>
        <v>0</v>
      </c>
      <c r="H59" s="127">
        <f>H43+H31+H30+H40</f>
        <v>0</v>
      </c>
      <c r="I59" s="2"/>
      <c r="J59" s="128">
        <f t="shared" ref="J59:R59" si="3">J43+J31+J30+J40</f>
        <v>0</v>
      </c>
      <c r="K59" s="127">
        <f t="shared" si="3"/>
        <v>0</v>
      </c>
      <c r="L59" s="127">
        <f t="shared" si="3"/>
        <v>0</v>
      </c>
      <c r="M59" s="129">
        <f t="shared" si="3"/>
        <v>0</v>
      </c>
      <c r="N59" s="127">
        <f t="shared" si="3"/>
        <v>0</v>
      </c>
      <c r="O59" s="2"/>
      <c r="P59" s="127">
        <f t="shared" si="3"/>
        <v>0</v>
      </c>
      <c r="Q59" s="127">
        <f t="shared" si="3"/>
        <v>0</v>
      </c>
      <c r="R59" s="127">
        <f t="shared" si="3"/>
        <v>0</v>
      </c>
      <c r="S59" s="2"/>
      <c r="T59" s="127">
        <f>T43+T31+T30+T40</f>
        <v>0</v>
      </c>
      <c r="U59" s="127">
        <f>U43+U31+U30+U40</f>
        <v>0</v>
      </c>
      <c r="V59" s="127">
        <f>V43+V31+V30+V40</f>
        <v>0</v>
      </c>
      <c r="W59" s="127">
        <f>W43+W31+W30+W40</f>
        <v>0</v>
      </c>
      <c r="X59" s="2"/>
      <c r="Y59" s="2"/>
    </row>
    <row r="60" spans="1:25" x14ac:dyDescent="0.35">
      <c r="A60" s="2"/>
      <c r="B60" s="2"/>
      <c r="C60" s="80" t="s">
        <v>187</v>
      </c>
      <c r="D60" s="99"/>
      <c r="E60" s="2"/>
      <c r="F60" s="130">
        <f>F43+F31+F40</f>
        <v>0</v>
      </c>
      <c r="G60" s="130">
        <f>G43+G31+G40</f>
        <v>0</v>
      </c>
      <c r="H60" s="130">
        <f>H43+H31+H40</f>
        <v>0</v>
      </c>
      <c r="I60" s="2"/>
      <c r="J60" s="131">
        <f t="shared" ref="J60:R60" si="4">J43+J31+J40</f>
        <v>0</v>
      </c>
      <c r="K60" s="132">
        <f t="shared" si="4"/>
        <v>0</v>
      </c>
      <c r="L60" s="132">
        <f t="shared" si="4"/>
        <v>0</v>
      </c>
      <c r="M60" s="133">
        <f t="shared" si="4"/>
        <v>0</v>
      </c>
      <c r="N60" s="130">
        <f t="shared" si="4"/>
        <v>0</v>
      </c>
      <c r="O60" s="2"/>
      <c r="P60" s="130">
        <f t="shared" si="4"/>
        <v>0</v>
      </c>
      <c r="Q60" s="130">
        <f t="shared" si="4"/>
        <v>0</v>
      </c>
      <c r="R60" s="130">
        <f t="shared" si="4"/>
        <v>0</v>
      </c>
      <c r="S60" s="2"/>
      <c r="T60" s="130">
        <f>T43+T31+T40</f>
        <v>0</v>
      </c>
      <c r="U60" s="130">
        <f>U43+U31+U40</f>
        <v>0</v>
      </c>
      <c r="V60" s="130">
        <f>V43+V31+V40</f>
        <v>0</v>
      </c>
      <c r="W60" s="130">
        <f>W43+W31+W40</f>
        <v>0</v>
      </c>
      <c r="X60" s="2"/>
      <c r="Y60" s="2"/>
    </row>
    <row r="61" spans="1:25" ht="7.5" customHeight="1" x14ac:dyDescent="0.35">
      <c r="A61" s="2"/>
      <c r="B61" s="2"/>
      <c r="C61" s="22"/>
      <c r="D61" s="2"/>
      <c r="E61" s="2"/>
      <c r="F61" s="2"/>
      <c r="G61" s="2"/>
      <c r="H61" s="2"/>
      <c r="I61" s="2"/>
      <c r="J61" s="52"/>
      <c r="K61" s="52"/>
      <c r="L61" s="52"/>
      <c r="M61" s="52"/>
      <c r="N61" s="2"/>
      <c r="O61" s="2"/>
      <c r="P61" s="2"/>
      <c r="Q61" s="2"/>
      <c r="S61" s="2"/>
      <c r="X61" s="2"/>
      <c r="Y61" s="2"/>
    </row>
    <row r="62" spans="1:25" x14ac:dyDescent="0.35">
      <c r="A62" s="2"/>
      <c r="B62" s="2"/>
      <c r="C62" s="80" t="str">
        <f ca="1">"NPV "&amp;N11+1&amp;"-"&amp;N11+2&amp;" ("&amp;D63*100&amp;"%"&amp;")"</f>
        <v>NPV 2027-2028 (0%)</v>
      </c>
      <c r="D62" s="99"/>
      <c r="E62" s="2"/>
      <c r="F62" s="134"/>
      <c r="G62" s="101"/>
      <c r="H62" s="101"/>
      <c r="I62" s="2"/>
      <c r="J62" s="103"/>
      <c r="K62" s="103"/>
      <c r="L62" s="103"/>
      <c r="M62" s="103"/>
      <c r="N62" s="105"/>
      <c r="O62" s="2"/>
      <c r="P62" s="135">
        <f>NPV(D63,P55:R55)</f>
        <v>0</v>
      </c>
      <c r="Q62" s="136"/>
      <c r="S62" s="2"/>
      <c r="U62" s="135">
        <f>NPV(D63,U55:W55)</f>
        <v>0</v>
      </c>
      <c r="X62" s="2"/>
      <c r="Y62" s="2"/>
    </row>
    <row r="63" spans="1:25" x14ac:dyDescent="0.35">
      <c r="A63" s="2"/>
      <c r="B63" s="2"/>
      <c r="C63" s="99" t="s">
        <v>188</v>
      </c>
      <c r="D63" s="100"/>
      <c r="E63" s="2"/>
      <c r="F63" s="101"/>
      <c r="G63" s="101"/>
      <c r="H63" s="101"/>
      <c r="I63" s="2"/>
      <c r="J63" s="103"/>
      <c r="K63" s="103"/>
      <c r="L63" s="103"/>
      <c r="M63" s="103"/>
      <c r="N63" s="105"/>
      <c r="O63" s="2"/>
      <c r="P63" s="105"/>
      <c r="Q63" s="105"/>
      <c r="S63" s="2"/>
      <c r="X63" s="2"/>
      <c r="Y63" s="2"/>
    </row>
    <row r="64" spans="1:25" ht="7.5" customHeight="1" x14ac:dyDescent="0.35">
      <c r="A64" s="2"/>
      <c r="B64" s="2"/>
      <c r="C64" s="22"/>
      <c r="D64" s="2"/>
      <c r="E64" s="2"/>
      <c r="F64" s="2"/>
      <c r="G64" s="2"/>
      <c r="H64" s="2"/>
      <c r="I64" s="2"/>
      <c r="J64" s="52"/>
      <c r="K64" s="52"/>
      <c r="L64" s="52"/>
      <c r="M64" s="52"/>
      <c r="N64" s="2"/>
      <c r="O64" s="2"/>
      <c r="P64" s="2"/>
      <c r="Q64" s="2"/>
      <c r="S64" s="2"/>
      <c r="X64" s="2"/>
      <c r="Y64" s="2"/>
    </row>
    <row r="65" spans="1:25" x14ac:dyDescent="0.35">
      <c r="A65" s="2"/>
      <c r="B65" s="2"/>
      <c r="C65" s="80" t="s">
        <v>189</v>
      </c>
      <c r="D65" s="2"/>
      <c r="E65" s="2"/>
      <c r="F65" s="101"/>
      <c r="G65" s="101"/>
      <c r="H65" s="101"/>
      <c r="I65" s="2"/>
      <c r="J65" s="103"/>
      <c r="K65" s="103"/>
      <c r="L65" s="103"/>
      <c r="M65" s="103"/>
      <c r="N65" s="105"/>
      <c r="O65" s="2"/>
      <c r="P65" s="105"/>
      <c r="Q65" s="105"/>
      <c r="S65" s="2"/>
      <c r="X65" s="2"/>
      <c r="Y65" s="2"/>
    </row>
    <row r="66" spans="1:25" x14ac:dyDescent="0.35">
      <c r="A66" s="2"/>
      <c r="B66" s="2"/>
      <c r="C66" s="85" t="s">
        <v>190</v>
      </c>
      <c r="D66" s="2"/>
      <c r="E66" s="2"/>
      <c r="F66" s="54"/>
      <c r="G66" s="54"/>
      <c r="H66" s="54"/>
      <c r="I66" s="2"/>
      <c r="J66" s="137"/>
      <c r="K66" s="138"/>
      <c r="L66" s="138"/>
      <c r="M66" s="139"/>
      <c r="N66" s="54">
        <f>M66</f>
        <v>0</v>
      </c>
      <c r="O66" s="2"/>
      <c r="P66" s="54"/>
      <c r="Q66" s="54"/>
      <c r="R66" s="54"/>
      <c r="S66" s="2"/>
      <c r="T66" s="54"/>
      <c r="U66" s="54"/>
      <c r="V66" s="54"/>
      <c r="W66" s="54"/>
      <c r="X66" s="2"/>
      <c r="Y66" s="2"/>
    </row>
    <row r="67" spans="1:25" x14ac:dyDescent="0.35">
      <c r="A67" s="2"/>
      <c r="B67" s="2"/>
      <c r="C67" s="85" t="s">
        <v>191</v>
      </c>
      <c r="D67" s="2"/>
      <c r="E67" s="2"/>
      <c r="F67" s="54"/>
      <c r="G67" s="54"/>
      <c r="H67" s="54"/>
      <c r="I67" s="2"/>
      <c r="J67" s="140"/>
      <c r="K67" s="54"/>
      <c r="L67" s="54"/>
      <c r="M67" s="141"/>
      <c r="N67" s="54">
        <f>M67</f>
        <v>0</v>
      </c>
      <c r="O67" s="2"/>
      <c r="P67" s="54"/>
      <c r="Q67" s="54"/>
      <c r="R67" s="54"/>
      <c r="S67" s="2"/>
      <c r="T67" s="54"/>
      <c r="U67" s="54"/>
      <c r="V67" s="54"/>
      <c r="W67" s="54"/>
      <c r="X67" s="2"/>
      <c r="Y67" s="2"/>
    </row>
    <row r="68" spans="1:25" x14ac:dyDescent="0.35">
      <c r="A68" s="2"/>
      <c r="B68" s="2"/>
      <c r="C68" s="85" t="s">
        <v>192</v>
      </c>
      <c r="D68" s="2"/>
      <c r="E68" s="2"/>
      <c r="F68" s="54"/>
      <c r="G68" s="54"/>
      <c r="H68" s="54"/>
      <c r="I68" s="2"/>
      <c r="J68" s="142"/>
      <c r="K68" s="143"/>
      <c r="L68" s="143"/>
      <c r="M68" s="144"/>
      <c r="N68" s="54">
        <f>SUM(J68:M68)</f>
        <v>0</v>
      </c>
      <c r="O68" s="2"/>
      <c r="P68" s="54"/>
      <c r="Q68" s="54"/>
      <c r="R68" s="54"/>
      <c r="S68" s="2"/>
      <c r="T68" s="54"/>
      <c r="U68" s="54"/>
      <c r="V68" s="54"/>
      <c r="W68" s="54"/>
      <c r="X68" s="2"/>
      <c r="Y68" s="2"/>
    </row>
    <row r="69" spans="1:25" x14ac:dyDescent="0.35">
      <c r="A69" s="2"/>
      <c r="B69" s="2"/>
      <c r="C69" s="80" t="s">
        <v>193</v>
      </c>
      <c r="D69" s="2"/>
      <c r="E69" s="2"/>
      <c r="F69" s="145"/>
      <c r="G69" s="145"/>
      <c r="H69" s="145"/>
      <c r="I69" s="2"/>
      <c r="J69" s="146"/>
      <c r="K69" s="146"/>
      <c r="L69" s="147"/>
      <c r="M69" s="146"/>
      <c r="N69" s="148"/>
      <c r="O69" s="2"/>
      <c r="P69" s="149">
        <f>SUM(P55:R55)+SUM(P66:R66)-SUM(P67:R67)+SUM(P68:R68)</f>
        <v>0</v>
      </c>
      <c r="Q69" s="150"/>
      <c r="S69" s="2"/>
      <c r="U69" s="149">
        <f>SUM(U55:W55)+SUM(U66:W66)-SUM(U67:W67)+SUM(U68:W68)</f>
        <v>0</v>
      </c>
      <c r="X69" s="2"/>
      <c r="Y69" s="2"/>
    </row>
    <row r="70" spans="1:25" ht="7.5" customHeight="1" x14ac:dyDescent="0.35">
      <c r="A70" s="2"/>
      <c r="B70" s="2"/>
      <c r="C70" s="22"/>
      <c r="D70" s="2"/>
      <c r="E70" s="2"/>
      <c r="F70" s="2"/>
      <c r="G70" s="2"/>
      <c r="H70" s="2"/>
      <c r="I70" s="2"/>
      <c r="J70" s="52"/>
      <c r="K70" s="52"/>
      <c r="L70" s="52"/>
      <c r="M70" s="52"/>
      <c r="N70" s="2"/>
      <c r="O70" s="2"/>
      <c r="P70" s="2"/>
      <c r="Q70" s="2"/>
      <c r="S70" s="2"/>
      <c r="X70" s="2"/>
      <c r="Y70" s="2"/>
    </row>
    <row r="71" spans="1:25" x14ac:dyDescent="0.35">
      <c r="A71" s="2"/>
      <c r="B71" s="2"/>
      <c r="C71" s="80" t="s">
        <v>194</v>
      </c>
      <c r="D71" s="2"/>
      <c r="E71" s="2"/>
      <c r="F71" s="145"/>
      <c r="G71" s="145"/>
      <c r="H71" s="145"/>
      <c r="I71" s="2"/>
      <c r="J71" s="146"/>
      <c r="K71" s="146"/>
      <c r="L71" s="147"/>
      <c r="M71" s="146"/>
      <c r="N71" s="148"/>
      <c r="O71" s="2"/>
      <c r="P71" s="148"/>
      <c r="Q71" s="148"/>
      <c r="S71" s="2"/>
      <c r="X71" s="2"/>
      <c r="Y71" s="2"/>
    </row>
    <row r="72" spans="1:25" x14ac:dyDescent="0.35">
      <c r="A72" s="2"/>
      <c r="B72" s="2"/>
      <c r="C72" s="85" t="s">
        <v>195</v>
      </c>
      <c r="D72" s="2"/>
      <c r="E72" s="2"/>
      <c r="F72" s="54"/>
      <c r="G72" s="54"/>
      <c r="H72" s="54"/>
      <c r="I72" s="2"/>
      <c r="J72" s="151"/>
      <c r="K72" s="152"/>
      <c r="L72" s="152"/>
      <c r="M72" s="153"/>
      <c r="N72" s="54">
        <f>M72</f>
        <v>0</v>
      </c>
      <c r="O72" s="2"/>
      <c r="P72" s="54"/>
      <c r="Q72" s="54"/>
      <c r="R72" s="54"/>
      <c r="S72" s="2"/>
      <c r="T72" s="54"/>
      <c r="U72" s="54"/>
      <c r="V72" s="54"/>
      <c r="W72" s="54"/>
      <c r="X72" s="2"/>
      <c r="Y72" s="2"/>
    </row>
    <row r="73" spans="1:25" ht="7.5" customHeight="1" x14ac:dyDescent="0.35">
      <c r="A73" s="2"/>
      <c r="B73" s="2"/>
      <c r="C73" s="22"/>
      <c r="D73" s="2"/>
      <c r="E73" s="2"/>
      <c r="F73" s="2"/>
      <c r="G73" s="2"/>
      <c r="H73" s="2"/>
      <c r="I73" s="2"/>
      <c r="J73" s="52"/>
      <c r="K73" s="52"/>
      <c r="L73" s="52"/>
      <c r="M73" s="52"/>
      <c r="N73" s="2"/>
      <c r="O73" s="2"/>
      <c r="P73" s="2"/>
      <c r="Q73" s="2"/>
      <c r="S73" s="2"/>
      <c r="X73" s="2"/>
      <c r="Y73" s="2"/>
    </row>
    <row r="74" spans="1:25" x14ac:dyDescent="0.35">
      <c r="A74" s="2"/>
      <c r="B74" s="2"/>
      <c r="C74" s="80" t="s">
        <v>196</v>
      </c>
      <c r="D74" s="2"/>
      <c r="E74" s="2"/>
      <c r="F74" s="154"/>
      <c r="G74" s="154"/>
      <c r="H74" s="154"/>
      <c r="I74" s="2"/>
      <c r="J74" s="155"/>
      <c r="K74" s="155"/>
      <c r="L74" s="156"/>
      <c r="M74" s="156"/>
      <c r="N74" s="2"/>
      <c r="O74" s="2"/>
      <c r="P74" s="2"/>
      <c r="Q74" s="2"/>
      <c r="S74" s="2"/>
      <c r="X74" s="2"/>
      <c r="Y74" s="2"/>
    </row>
    <row r="75" spans="1:25" x14ac:dyDescent="0.35">
      <c r="A75" s="2"/>
      <c r="B75" s="2"/>
      <c r="C75" s="85" t="s">
        <v>197</v>
      </c>
      <c r="D75" s="2"/>
      <c r="E75" s="2"/>
      <c r="F75" s="54"/>
      <c r="G75" s="54"/>
      <c r="H75" s="54"/>
      <c r="I75" s="2"/>
      <c r="J75" s="137"/>
      <c r="K75" s="138"/>
      <c r="L75" s="138"/>
      <c r="M75" s="139"/>
      <c r="N75" s="54">
        <f>M75</f>
        <v>0</v>
      </c>
      <c r="O75" s="2"/>
      <c r="P75" s="54"/>
      <c r="Q75" s="54"/>
      <c r="R75" s="54"/>
      <c r="S75" s="2"/>
      <c r="T75" s="54"/>
      <c r="U75" s="54"/>
      <c r="V75" s="54"/>
      <c r="W75" s="54"/>
      <c r="X75" s="2"/>
      <c r="Y75" s="2"/>
    </row>
    <row r="76" spans="1:25" x14ac:dyDescent="0.35">
      <c r="A76" s="2"/>
      <c r="B76" s="2"/>
      <c r="C76" s="85" t="s">
        <v>198</v>
      </c>
      <c r="D76" s="2"/>
      <c r="E76" s="2"/>
      <c r="F76" s="54"/>
      <c r="G76" s="54"/>
      <c r="H76" s="54"/>
      <c r="I76" s="2"/>
      <c r="J76" s="140"/>
      <c r="K76" s="54"/>
      <c r="L76" s="54"/>
      <c r="M76" s="141"/>
      <c r="N76" s="54">
        <f>M76</f>
        <v>0</v>
      </c>
      <c r="O76" s="2"/>
      <c r="P76" s="54"/>
      <c r="Q76" s="54"/>
      <c r="R76" s="54"/>
      <c r="S76" s="2"/>
      <c r="T76" s="54"/>
      <c r="U76" s="54"/>
      <c r="V76" s="54"/>
      <c r="W76" s="54"/>
      <c r="X76" s="2"/>
      <c r="Y76" s="2"/>
    </row>
    <row r="77" spans="1:25" x14ac:dyDescent="0.35">
      <c r="A77" s="2"/>
      <c r="B77" s="2"/>
      <c r="C77" s="85" t="s">
        <v>199</v>
      </c>
      <c r="D77" s="2"/>
      <c r="E77" s="2"/>
      <c r="F77" s="54"/>
      <c r="G77" s="54"/>
      <c r="H77" s="54"/>
      <c r="I77" s="2"/>
      <c r="J77" s="140"/>
      <c r="K77" s="54"/>
      <c r="L77" s="54"/>
      <c r="M77" s="141"/>
      <c r="N77" s="54">
        <f>M77</f>
        <v>0</v>
      </c>
      <c r="O77" s="2"/>
      <c r="P77" s="54"/>
      <c r="Q77" s="54"/>
      <c r="R77" s="54"/>
      <c r="S77" s="2"/>
      <c r="T77" s="54"/>
      <c r="U77" s="54"/>
      <c r="V77" s="54"/>
      <c r="W77" s="54"/>
      <c r="X77" s="2"/>
      <c r="Y77" s="2"/>
    </row>
    <row r="78" spans="1:25" x14ac:dyDescent="0.35">
      <c r="A78" s="2"/>
      <c r="B78" s="2"/>
      <c r="C78" s="85" t="s">
        <v>200</v>
      </c>
      <c r="D78" s="2"/>
      <c r="E78" s="2"/>
      <c r="F78" s="54"/>
      <c r="G78" s="54"/>
      <c r="H78" s="54"/>
      <c r="I78" s="2"/>
      <c r="J78" s="142"/>
      <c r="K78" s="143"/>
      <c r="L78" s="143"/>
      <c r="M78" s="144"/>
      <c r="N78" s="54">
        <f>M78</f>
        <v>0</v>
      </c>
      <c r="O78" s="2"/>
      <c r="P78" s="54"/>
      <c r="Q78" s="54"/>
      <c r="R78" s="54"/>
      <c r="S78" s="2"/>
      <c r="T78" s="54"/>
      <c r="U78" s="54"/>
      <c r="V78" s="54"/>
      <c r="W78" s="54"/>
      <c r="X78" s="2"/>
      <c r="Y78" s="2"/>
    </row>
  </sheetData>
  <mergeCells count="12">
    <mergeCell ref="J10:M10"/>
    <mergeCell ref="T10:V10"/>
    <mergeCell ref="F57:H57"/>
    <mergeCell ref="J57:N57"/>
    <mergeCell ref="P57:R57"/>
    <mergeCell ref="T57:W57"/>
    <mergeCell ref="T9:V9"/>
    <mergeCell ref="C7:D7"/>
    <mergeCell ref="F7:H7"/>
    <mergeCell ref="J7:N7"/>
    <mergeCell ref="P7:R7"/>
    <mergeCell ref="T7:W7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84FE-26EB-4053-9021-B8DF529C4664}">
  <dimension ref="A1:Z94"/>
  <sheetViews>
    <sheetView zoomScale="85" zoomScaleNormal="85" workbookViewId="0">
      <selection activeCell="N11" sqref="N11"/>
    </sheetView>
  </sheetViews>
  <sheetFormatPr defaultColWidth="9" defaultRowHeight="15.5" outlineLevelRow="1" outlineLevelCol="1" x14ac:dyDescent="0.35"/>
  <cols>
    <col min="1" max="2" width="0.81640625" style="3" customWidth="1"/>
    <col min="3" max="4" width="19.26953125" style="3" customWidth="1"/>
    <col min="5" max="5" width="1.26953125" style="3" customWidth="1"/>
    <col min="6" max="8" width="10.7265625" style="3" customWidth="1" outlineLevel="1"/>
    <col min="9" max="9" width="1.26953125" style="3" customWidth="1"/>
    <col min="10" max="13" width="10.7265625" style="3" customWidth="1" outlineLevel="1"/>
    <col min="14" max="14" width="10.7265625" style="3" customWidth="1"/>
    <col min="15" max="15" width="1.26953125" style="3" customWidth="1"/>
    <col min="16" max="18" width="10.7265625" style="3" customWidth="1" outlineLevel="1"/>
    <col min="19" max="19" width="1.26953125" style="3" customWidth="1"/>
    <col min="20" max="23" width="10.7265625" style="3" customWidth="1"/>
    <col min="24" max="25" width="1.26953125" style="3" customWidth="1"/>
    <col min="26" max="16384" width="9" style="3"/>
  </cols>
  <sheetData>
    <row r="1" spans="1:25" ht="7.5" customHeight="1" x14ac:dyDescent="0.35">
      <c r="A1" s="21" t="s">
        <v>1</v>
      </c>
      <c r="B1" s="2"/>
      <c r="C1" s="22"/>
      <c r="D1" s="2"/>
      <c r="E1" s="2"/>
      <c r="F1" s="2"/>
      <c r="G1" s="2"/>
      <c r="H1" s="2"/>
      <c r="I1" s="2"/>
      <c r="K1" s="2"/>
      <c r="L1" s="2"/>
      <c r="N1" s="2"/>
      <c r="O1" s="2"/>
      <c r="P1" s="2"/>
      <c r="Q1" s="2"/>
      <c r="S1" s="2"/>
      <c r="X1" s="2"/>
      <c r="Y1" s="2"/>
    </row>
    <row r="2" spans="1:25" s="23" customFormat="1" ht="21.5" thickBot="1" x14ac:dyDescent="0.55000000000000004">
      <c r="C2" s="4" t="s">
        <v>201</v>
      </c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4"/>
      <c r="W2" s="24"/>
      <c r="X2" s="157"/>
      <c r="Y2" s="157"/>
    </row>
    <row r="3" spans="1:25" s="26" customFormat="1" ht="13" x14ac:dyDescent="0.3">
      <c r="C3" s="27" t="s">
        <v>18</v>
      </c>
    </row>
    <row r="4" spans="1:25" ht="8.15" customHeight="1" x14ac:dyDescent="0.35">
      <c r="A4" s="2"/>
      <c r="B4" s="2"/>
      <c r="C4" s="2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X4" s="2"/>
      <c r="Y4" s="2"/>
    </row>
    <row r="5" spans="1:25" x14ac:dyDescent="0.35">
      <c r="A5" s="2"/>
      <c r="B5" s="2"/>
      <c r="C5" s="28" t="s">
        <v>147</v>
      </c>
      <c r="D5" s="29"/>
      <c r="E5" s="2"/>
      <c r="F5" s="29"/>
      <c r="G5" s="29"/>
      <c r="H5" s="29"/>
      <c r="I5" s="2"/>
      <c r="J5" s="29"/>
      <c r="K5" s="29"/>
      <c r="L5" s="29"/>
      <c r="M5" s="29"/>
      <c r="N5" s="29"/>
      <c r="O5" s="2"/>
      <c r="P5" s="29"/>
      <c r="Q5" s="29"/>
      <c r="R5" s="30"/>
      <c r="S5" s="2"/>
      <c r="T5" s="29"/>
      <c r="U5" s="29"/>
      <c r="V5" s="30"/>
      <c r="W5" s="30"/>
      <c r="X5" s="2"/>
      <c r="Y5" s="2"/>
    </row>
    <row r="6" spans="1:25" ht="4.1500000000000004" customHeight="1" x14ac:dyDescent="0.35">
      <c r="A6" s="2"/>
      <c r="B6" s="2"/>
      <c r="C6" s="2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X6" s="2"/>
      <c r="Y6" s="2"/>
    </row>
    <row r="7" spans="1:25" s="31" customFormat="1" ht="18.5" x14ac:dyDescent="0.65">
      <c r="C7" s="158" t="s">
        <v>148</v>
      </c>
      <c r="D7" s="158"/>
      <c r="F7" s="1346" t="s">
        <v>149</v>
      </c>
      <c r="G7" s="1346"/>
      <c r="H7" s="1346"/>
      <c r="J7" s="1346" t="s">
        <v>150</v>
      </c>
      <c r="K7" s="1346"/>
      <c r="L7" s="1346"/>
      <c r="M7" s="1346"/>
      <c r="N7" s="1346"/>
      <c r="O7" s="32"/>
      <c r="P7" s="1346" t="s">
        <v>151</v>
      </c>
      <c r="Q7" s="1346"/>
      <c r="R7" s="1346"/>
      <c r="S7" s="32"/>
      <c r="T7" s="1346" t="s">
        <v>152</v>
      </c>
      <c r="U7" s="1346"/>
      <c r="V7" s="1346"/>
      <c r="W7" s="1346"/>
    </row>
    <row r="8" spans="1:25" ht="7.5" customHeight="1" x14ac:dyDescent="0.35">
      <c r="A8" s="2"/>
      <c r="B8" s="2"/>
      <c r="C8" s="22"/>
      <c r="D8" s="2"/>
      <c r="E8" s="2"/>
      <c r="F8" s="2"/>
      <c r="G8" s="2"/>
      <c r="H8" s="2"/>
      <c r="I8" s="2"/>
      <c r="K8" s="2"/>
      <c r="L8" s="2"/>
      <c r="N8" s="2"/>
      <c r="O8" s="2"/>
      <c r="P8" s="2"/>
      <c r="Q8" s="2"/>
      <c r="S8" s="2"/>
      <c r="X8" s="2"/>
      <c r="Y8" s="2"/>
    </row>
    <row r="9" spans="1:25" x14ac:dyDescent="0.35">
      <c r="A9" s="2"/>
      <c r="B9" s="2"/>
      <c r="C9" s="2"/>
      <c r="D9" s="2"/>
      <c r="E9" s="2"/>
      <c r="F9" s="2"/>
      <c r="G9" s="2"/>
      <c r="H9" s="2"/>
      <c r="I9" s="2"/>
      <c r="N9" s="2"/>
      <c r="O9" s="2"/>
      <c r="P9" s="33"/>
      <c r="Q9" s="33"/>
      <c r="S9" s="2"/>
      <c r="T9" s="1345" t="s">
        <v>153</v>
      </c>
      <c r="U9" s="1345"/>
      <c r="V9" s="1345"/>
      <c r="W9" s="34"/>
      <c r="X9" s="2"/>
      <c r="Y9" s="2"/>
    </row>
    <row r="10" spans="1:25" x14ac:dyDescent="0.35">
      <c r="A10" s="2"/>
      <c r="B10" s="2"/>
      <c r="C10" s="2"/>
      <c r="D10" s="2"/>
      <c r="E10" s="2"/>
      <c r="F10" s="2"/>
      <c r="G10" s="2"/>
      <c r="H10" s="2"/>
      <c r="I10" s="2"/>
      <c r="J10" s="1347" t="str">
        <f ca="1">YEAR(TODAY())&amp;" Quarterly Financials"</f>
        <v>2026 Quarterly Financials</v>
      </c>
      <c r="K10" s="1348"/>
      <c r="L10" s="1348"/>
      <c r="M10" s="1349"/>
      <c r="N10" s="2"/>
      <c r="O10" s="2"/>
      <c r="P10" s="33"/>
      <c r="Q10" s="33"/>
      <c r="S10" s="2"/>
      <c r="T10" s="1345" t="s">
        <v>154</v>
      </c>
      <c r="U10" s="1345"/>
      <c r="V10" s="1345"/>
      <c r="W10" s="34"/>
      <c r="X10" s="2"/>
      <c r="Y10" s="2"/>
    </row>
    <row r="11" spans="1:25" x14ac:dyDescent="0.35">
      <c r="A11" s="35"/>
      <c r="B11" s="35"/>
      <c r="C11" s="2"/>
      <c r="D11" s="2"/>
      <c r="E11" s="35"/>
      <c r="F11" s="36" t="str">
        <f ca="1">$N$11-3&amp;F12</f>
        <v>2023</v>
      </c>
      <c r="G11" s="36" t="str">
        <f ca="1">$N$11-2&amp;G12</f>
        <v>2024</v>
      </c>
      <c r="H11" s="36" t="str">
        <f ca="1">$N$11-1&amp;H12</f>
        <v>2025</v>
      </c>
      <c r="I11" s="37"/>
      <c r="J11" s="38" t="str">
        <f ca="1">"Q1 "&amp;RIGHT(N11,2)&amp;J12</f>
        <v>Q1 26</v>
      </c>
      <c r="K11" s="39" t="str">
        <f ca="1">"Q2 "&amp;RIGHT(N11,2)&amp;K12</f>
        <v>Q2 26</v>
      </c>
      <c r="L11" s="39" t="str">
        <f ca="1">"Q2 "&amp;RIGHT(N11,2)&amp;L12</f>
        <v>Q2 26</v>
      </c>
      <c r="M11" s="40" t="str">
        <f ca="1">"Q4 "&amp;RIGHT(N11,2)&amp;M12</f>
        <v>Q4 26</v>
      </c>
      <c r="N11" s="37">
        <f ca="1">YEAR(TODAY())</f>
        <v>2026</v>
      </c>
      <c r="O11" s="37"/>
      <c r="P11" s="37" t="str">
        <f ca="1">$N$11+1&amp;"P"</f>
        <v>2027P</v>
      </c>
      <c r="Q11" s="37" t="str">
        <f ca="1">$N$11+2&amp;"P"</f>
        <v>2028P</v>
      </c>
      <c r="R11" s="37" t="str">
        <f ca="1">$N$11+3&amp;"E"</f>
        <v>2029E</v>
      </c>
      <c r="S11" s="37"/>
      <c r="T11" s="37" t="str">
        <f ca="1">$N$11&amp;"S"</f>
        <v>2026S</v>
      </c>
      <c r="U11" s="37" t="str">
        <f ca="1">$N$11+1&amp;"S"</f>
        <v>2027S</v>
      </c>
      <c r="V11" s="37" t="str">
        <f ca="1">$N$11+2&amp;"S"</f>
        <v>2028S</v>
      </c>
      <c r="W11" s="37" t="str">
        <f ca="1">$N$11+3&amp;"S"</f>
        <v>2029S</v>
      </c>
      <c r="X11" s="35"/>
      <c r="Y11" s="35"/>
    </row>
    <row r="12" spans="1:25" s="50" customFormat="1" ht="13" x14ac:dyDescent="0.3">
      <c r="A12" s="41"/>
      <c r="B12" s="41"/>
      <c r="C12" s="42" t="s">
        <v>155</v>
      </c>
      <c r="D12" s="43"/>
      <c r="E12" s="41"/>
      <c r="F12" s="44"/>
      <c r="G12" s="44"/>
      <c r="H12" s="44"/>
      <c r="I12" s="45"/>
      <c r="J12" s="46"/>
      <c r="K12" s="47"/>
      <c r="L12" s="47"/>
      <c r="M12" s="48"/>
      <c r="N12" s="49"/>
      <c r="O12" s="41"/>
      <c r="P12" s="41"/>
      <c r="Q12" s="41"/>
      <c r="R12" s="41"/>
      <c r="S12" s="41"/>
      <c r="X12" s="41"/>
      <c r="Y12" s="41"/>
    </row>
    <row r="13" spans="1:25" ht="7.5" customHeight="1" x14ac:dyDescent="0.35">
      <c r="A13" s="2"/>
      <c r="B13" s="2"/>
      <c r="C13" s="22"/>
      <c r="D13" s="2"/>
      <c r="E13" s="2"/>
      <c r="F13" s="2"/>
      <c r="G13" s="2"/>
      <c r="H13" s="2"/>
      <c r="I13" s="2"/>
      <c r="J13" s="51"/>
      <c r="K13" s="52"/>
      <c r="L13" s="52"/>
      <c r="M13" s="53"/>
      <c r="N13" s="2"/>
      <c r="O13" s="2"/>
      <c r="P13" s="2"/>
      <c r="Q13" s="2"/>
      <c r="S13" s="2"/>
      <c r="X13" s="2"/>
      <c r="Y13" s="2"/>
    </row>
    <row r="14" spans="1:25" x14ac:dyDescent="0.35">
      <c r="A14" s="2"/>
      <c r="B14" s="2"/>
      <c r="C14" s="22" t="s">
        <v>202</v>
      </c>
      <c r="D14" s="2"/>
      <c r="E14" s="2"/>
      <c r="F14" s="159"/>
      <c r="G14" s="160">
        <f>(F14-F15)+F16</f>
        <v>0</v>
      </c>
      <c r="H14" s="160">
        <f>(G14-G15)+G16</f>
        <v>0</v>
      </c>
      <c r="I14" s="2"/>
      <c r="J14" s="161"/>
      <c r="K14" s="162"/>
      <c r="L14" s="162"/>
      <c r="M14" s="163"/>
      <c r="N14" s="160">
        <f>(H14-H15)+H16</f>
        <v>0</v>
      </c>
      <c r="O14" s="2"/>
      <c r="P14" s="160">
        <f>(N14-N15)+N16</f>
        <v>0</v>
      </c>
      <c r="Q14" s="160">
        <f>(P14-P15)+P16</f>
        <v>0</v>
      </c>
      <c r="R14" s="160">
        <f>(Q14-Q15)+Q16</f>
        <v>0</v>
      </c>
      <c r="S14" s="2"/>
      <c r="X14" s="2"/>
      <c r="Y14" s="2"/>
    </row>
    <row r="15" spans="1:25" x14ac:dyDescent="0.35">
      <c r="A15" s="2"/>
      <c r="B15" s="2"/>
      <c r="C15" s="22" t="s">
        <v>203</v>
      </c>
      <c r="D15" s="2"/>
      <c r="E15" s="2"/>
      <c r="F15" s="164"/>
      <c r="G15" s="164"/>
      <c r="H15" s="164"/>
      <c r="I15" s="2"/>
      <c r="J15" s="161"/>
      <c r="K15" s="162"/>
      <c r="L15" s="162"/>
      <c r="M15" s="163"/>
      <c r="N15" s="164"/>
      <c r="O15" s="2"/>
      <c r="P15" s="164"/>
      <c r="Q15" s="164"/>
      <c r="R15" s="164"/>
      <c r="S15" s="2"/>
      <c r="T15" s="58"/>
      <c r="U15" s="58"/>
      <c r="V15" s="58"/>
      <c r="W15" s="58"/>
      <c r="X15" s="2"/>
      <c r="Y15" s="2"/>
    </row>
    <row r="16" spans="1:25" x14ac:dyDescent="0.35">
      <c r="A16" s="2"/>
      <c r="B16" s="2"/>
      <c r="C16" s="22" t="s">
        <v>204</v>
      </c>
      <c r="D16" s="2"/>
      <c r="E16" s="2"/>
      <c r="F16" s="164"/>
      <c r="G16" s="164"/>
      <c r="H16" s="164"/>
      <c r="I16" s="2"/>
      <c r="J16" s="161"/>
      <c r="K16" s="162"/>
      <c r="L16" s="162"/>
      <c r="M16" s="163"/>
      <c r="N16" s="164"/>
      <c r="O16" s="2"/>
      <c r="P16" s="164"/>
      <c r="Q16" s="164"/>
      <c r="R16" s="164"/>
      <c r="S16" s="2"/>
      <c r="T16" s="58"/>
      <c r="U16" s="58"/>
      <c r="V16" s="58"/>
      <c r="W16" s="58"/>
      <c r="X16" s="2"/>
      <c r="Y16" s="2"/>
    </row>
    <row r="17" spans="1:25" x14ac:dyDescent="0.35">
      <c r="A17" s="2"/>
      <c r="B17" s="2"/>
      <c r="C17" s="22" t="s">
        <v>205</v>
      </c>
      <c r="D17" s="2"/>
      <c r="E17" s="2"/>
      <c r="F17" s="54"/>
      <c r="G17" s="54"/>
      <c r="H17" s="54"/>
      <c r="I17" s="2"/>
      <c r="J17" s="161"/>
      <c r="K17" s="162"/>
      <c r="L17" s="162"/>
      <c r="M17" s="163"/>
      <c r="N17" s="54"/>
      <c r="O17" s="2"/>
      <c r="P17" s="164"/>
      <c r="Q17" s="54"/>
      <c r="R17" s="54"/>
      <c r="S17" s="2"/>
      <c r="T17" s="58"/>
      <c r="U17" s="58"/>
      <c r="V17" s="58"/>
      <c r="W17" s="58"/>
      <c r="X17" s="2"/>
      <c r="Y17" s="2"/>
    </row>
    <row r="18" spans="1:25" x14ac:dyDescent="0.35">
      <c r="A18" s="2"/>
      <c r="B18" s="2"/>
      <c r="C18" s="22" t="s">
        <v>206</v>
      </c>
      <c r="D18" s="2"/>
      <c r="E18" s="2"/>
      <c r="F18" s="54"/>
      <c r="G18" s="54"/>
      <c r="H18" s="54"/>
      <c r="I18" s="2"/>
      <c r="J18" s="161"/>
      <c r="K18" s="162"/>
      <c r="L18" s="162"/>
      <c r="M18" s="163"/>
      <c r="N18" s="54"/>
      <c r="O18" s="2"/>
      <c r="P18" s="164"/>
      <c r="Q18" s="54"/>
      <c r="R18" s="54"/>
      <c r="S18" s="2"/>
      <c r="T18" s="58"/>
      <c r="U18" s="58"/>
      <c r="V18" s="58"/>
      <c r="W18" s="58"/>
      <c r="X18" s="2"/>
      <c r="Y18" s="2"/>
    </row>
    <row r="19" spans="1:25" x14ac:dyDescent="0.35">
      <c r="A19" s="2"/>
      <c r="B19" s="2"/>
      <c r="C19" s="22" t="s">
        <v>207</v>
      </c>
      <c r="D19" s="2"/>
      <c r="E19" s="2"/>
      <c r="F19" s="165"/>
      <c r="G19" s="165"/>
      <c r="H19" s="165"/>
      <c r="I19" s="2"/>
      <c r="J19" s="161"/>
      <c r="K19" s="162"/>
      <c r="L19" s="162"/>
      <c r="M19" s="163"/>
      <c r="N19" s="165"/>
      <c r="O19" s="2"/>
      <c r="P19" s="164"/>
      <c r="Q19" s="165"/>
      <c r="R19" s="165"/>
      <c r="S19" s="2"/>
      <c r="T19" s="58"/>
      <c r="U19" s="58"/>
      <c r="V19" s="58"/>
      <c r="W19" s="58"/>
      <c r="X19" s="2"/>
      <c r="Y19" s="2"/>
    </row>
    <row r="20" spans="1:25" x14ac:dyDescent="0.35">
      <c r="A20" s="2"/>
      <c r="B20" s="2"/>
      <c r="C20" s="22" t="s">
        <v>208</v>
      </c>
      <c r="D20" s="2"/>
      <c r="E20" s="2"/>
      <c r="F20" s="54"/>
      <c r="G20" s="54"/>
      <c r="H20" s="54"/>
      <c r="I20" s="2"/>
      <c r="J20" s="161"/>
      <c r="K20" s="162"/>
      <c r="L20" s="162"/>
      <c r="M20" s="163"/>
      <c r="N20" s="54"/>
      <c r="O20" s="2"/>
      <c r="P20" s="54"/>
      <c r="Q20" s="54"/>
      <c r="R20" s="54"/>
      <c r="S20" s="2"/>
      <c r="T20" s="58"/>
      <c r="U20" s="58"/>
      <c r="V20" s="58"/>
      <c r="W20" s="58"/>
      <c r="X20" s="2"/>
      <c r="Y20" s="2"/>
    </row>
    <row r="21" spans="1:25" x14ac:dyDescent="0.35">
      <c r="A21" s="2"/>
      <c r="B21" s="2"/>
      <c r="C21" s="119" t="s">
        <v>209</v>
      </c>
      <c r="D21" s="68"/>
      <c r="E21" s="68"/>
      <c r="F21" s="166">
        <f>((F14-F15)*((F20*(1-F19)-F18)))+(F16*(F20*(1-F19)-F17))</f>
        <v>0</v>
      </c>
      <c r="G21" s="166">
        <f>((G14-G15)*((G20*(1-G19)-G18)))+(G16*(G20*(1-G19)-G17))</f>
        <v>0</v>
      </c>
      <c r="H21" s="166">
        <f>((H14-H15)*((H20*(1-H19)-H18)))+(H16*(H20*(1-H19)-H17))</f>
        <v>0</v>
      </c>
      <c r="I21" s="68"/>
      <c r="J21" s="167">
        <f>((J14-J15)*((J20*(1-J19)-J18)))+(J16*(J20*(1-J19)-J17))</f>
        <v>0</v>
      </c>
      <c r="K21" s="166">
        <f>((K14-K15)*((K20*(1-K19)-K18)))+(K16*(K20*(1-K19)-K17))</f>
        <v>0</v>
      </c>
      <c r="L21" s="166">
        <f>((L14-L15)*((L20*(1-L19)-L18)))+(L16*(L20*(1-L19)-L17))</f>
        <v>0</v>
      </c>
      <c r="M21" s="168">
        <f>((M14-M15)*((M20*(1-M19)-M18)))+(M16*(M20*(1-M19)-M17))</f>
        <v>0</v>
      </c>
      <c r="N21" s="166">
        <f>((N14-N15)*((N20*(1-N19)-N18)))+(N16*(N20*(1-N19)-N17))</f>
        <v>0</v>
      </c>
      <c r="O21" s="68"/>
      <c r="P21" s="166">
        <f>((P14-P15)*((P20*(1-P19)-P18)))+(P16*(P20*(1-P19)-P17))</f>
        <v>0</v>
      </c>
      <c r="Q21" s="166">
        <f>((Q14-Q15)*((Q20*(1-Q19)-Q18)))+(Q16*(Q20*(1-Q19)-Q17))</f>
        <v>0</v>
      </c>
      <c r="R21" s="166">
        <f>((R14-R15)*((R20*(1-R19)-R18)))+(R16*(R20*(1-R19)-R17))</f>
        <v>0</v>
      </c>
      <c r="S21" s="68"/>
      <c r="T21" s="169">
        <f>N21*(1+$W$9)</f>
        <v>0</v>
      </c>
      <c r="U21" s="169">
        <f>P21*(1+$W$9)</f>
        <v>0</v>
      </c>
      <c r="V21" s="169">
        <f>Q21*(1+$W$9)</f>
        <v>0</v>
      </c>
      <c r="W21" s="169">
        <f>R21*(1+$W$9)</f>
        <v>0</v>
      </c>
      <c r="X21" s="2"/>
      <c r="Y21" s="2"/>
    </row>
    <row r="22" spans="1:25" s="67" customFormat="1" ht="12.4" customHeight="1" outlineLevel="1" x14ac:dyDescent="0.35">
      <c r="A22" s="59"/>
      <c r="B22" s="59"/>
      <c r="C22" s="60" t="s">
        <v>157</v>
      </c>
      <c r="D22" s="59"/>
      <c r="E22" s="59"/>
      <c r="F22" s="61" t="s">
        <v>158</v>
      </c>
      <c r="G22" s="62" t="e">
        <f>IF(F21&lt;0,IF(G21&lt;0,-(G21/F21-1),-(G21/F21-1)),(G21/F21-1))</f>
        <v>#DIV/0!</v>
      </c>
      <c r="H22" s="62" t="e">
        <f>IF(G21&lt;0,IF(H21&lt;0,-(H21/G21-1),-(H21/G21-1)),(H21/G21-1))</f>
        <v>#DIV/0!</v>
      </c>
      <c r="I22" s="63"/>
      <c r="J22" s="64" t="e">
        <f>IF(H21&lt;0,IF(J21&lt;0,-(J21/(H21/4)-1),-(J21/(H21/4)-1)),(J21/(H21/4)-1))</f>
        <v>#DIV/0!</v>
      </c>
      <c r="K22" s="62" t="e">
        <f>IF(J21&lt;0,IF(K21&lt;0,-(K21/J21-1),-(K21/J21-1)),(K21/J21-1))</f>
        <v>#DIV/0!</v>
      </c>
      <c r="L22" s="62" t="e">
        <f>IF(K21&lt;0,IF(L21&lt;0,-(L21/K21-1),-(L21/K21-1)),(L21/K21-1))</f>
        <v>#DIV/0!</v>
      </c>
      <c r="M22" s="65" t="e">
        <f>IF(L21&lt;0,IF(M21&lt;0,-(M21/L21-1),-(M21/L21-1)),(M21/L21-1))</f>
        <v>#DIV/0!</v>
      </c>
      <c r="N22" s="62" t="e">
        <f>IF(H21&lt;0,IF(N21&lt;0,-(N21/H21-1),-(N21/H21-1)),(N21/H21-1))</f>
        <v>#DIV/0!</v>
      </c>
      <c r="O22" s="63"/>
      <c r="P22" s="62" t="e">
        <f>IF(N21&lt;0,IF(P21&lt;0,-(P21/N21-1),-(P21/N21-1)),(P21/N21-1))</f>
        <v>#DIV/0!</v>
      </c>
      <c r="Q22" s="62" t="e">
        <f>IF(P21&lt;0,IF(Q21&lt;0,-(Q21/P21-1),-(Q21/P21-1)),(Q21/P21-1))</f>
        <v>#DIV/0!</v>
      </c>
      <c r="R22" s="62" t="e">
        <f>IF(Q21&lt;0,IF(R21&lt;0,-(R21/Q21-1),-(R21/Q21-1)),(R21/Q21-1))</f>
        <v>#DIV/0!</v>
      </c>
      <c r="S22" s="66"/>
      <c r="T22" s="62" t="e">
        <f>IF(H21&lt;0,IF(T21&lt;0,-(T21/H21-1),-(T21/H21-1)),(T21/H21-1))</f>
        <v>#DIV/0!</v>
      </c>
      <c r="U22" s="62" t="e">
        <f>IF(T21&lt;0,IF(U21&lt;0,-(U21/T21-1),-(U21/T21-1)),(U21/T21-1))</f>
        <v>#DIV/0!</v>
      </c>
      <c r="V22" s="62" t="e">
        <f>IF(U21&lt;0,IF(V21&lt;0,-(V21/U21-1),-(V21/U21-1)),(V21/U21-1))</f>
        <v>#DIV/0!</v>
      </c>
      <c r="W22" s="62" t="e">
        <f>IF(V21&lt;0,IF(W21&lt;0,-(W21/V21-1),-(W21/V21-1)),(W21/V21-1))</f>
        <v>#DIV/0!</v>
      </c>
      <c r="X22" s="59"/>
      <c r="Y22" s="59"/>
    </row>
    <row r="23" spans="1:25" x14ac:dyDescent="0.35">
      <c r="A23" s="2"/>
      <c r="B23" s="2"/>
      <c r="C23" s="22" t="s">
        <v>210</v>
      </c>
      <c r="D23" s="2"/>
      <c r="E23" s="2"/>
      <c r="F23" s="54"/>
      <c r="G23" s="54"/>
      <c r="H23" s="54"/>
      <c r="I23" s="2"/>
      <c r="J23" s="55"/>
      <c r="K23" s="56"/>
      <c r="L23" s="56"/>
      <c r="M23" s="57"/>
      <c r="N23" s="54">
        <f>SUM(J23:M23)</f>
        <v>0</v>
      </c>
      <c r="O23" s="2"/>
      <c r="P23" s="54"/>
      <c r="Q23" s="54"/>
      <c r="R23" s="54"/>
      <c r="S23" s="2"/>
      <c r="T23" s="95"/>
      <c r="U23" s="95"/>
      <c r="V23" s="95"/>
      <c r="W23" s="95"/>
      <c r="X23" s="2"/>
      <c r="Y23" s="2"/>
    </row>
    <row r="24" spans="1:25" ht="12.4" customHeight="1" outlineLevel="1" x14ac:dyDescent="0.35">
      <c r="A24" s="2"/>
      <c r="B24" s="2"/>
      <c r="C24" s="60" t="s">
        <v>157</v>
      </c>
      <c r="D24" s="2"/>
      <c r="E24" s="2"/>
      <c r="F24" s="61" t="s">
        <v>158</v>
      </c>
      <c r="G24" s="62" t="e">
        <f>IF(F23&lt;0,IF(G23&lt;0,-(G23/F23-1),-(G23/F23-1)),(G23/F23-1))</f>
        <v>#DIV/0!</v>
      </c>
      <c r="H24" s="62" t="e">
        <f>IF(G23&lt;0,IF(H23&lt;0,-(H23/G23-1),-(H23/G23-1)),(H23/G23-1))</f>
        <v>#DIV/0!</v>
      </c>
      <c r="I24" s="63"/>
      <c r="J24" s="64" t="e">
        <f>IF(H23&lt;0,IF(J23&lt;0,-(J23/(H23/4)-1),-(J23/(H23/4)-1)),(J23/(H23/4)-1))</f>
        <v>#DIV/0!</v>
      </c>
      <c r="K24" s="62" t="e">
        <f>IF(J23&lt;0,IF(K23&lt;0,-(K23/J23-1),-(K23/J23-1)),(K23/J23-1))</f>
        <v>#DIV/0!</v>
      </c>
      <c r="L24" s="62" t="e">
        <f>IF(K23&lt;0,IF(L23&lt;0,-(L23/K23-1),-(L23/K23-1)),(L23/K23-1))</f>
        <v>#DIV/0!</v>
      </c>
      <c r="M24" s="65" t="e">
        <f>IF(L23&lt;0,IF(M23&lt;0,-(M23/L23-1),-(M23/L23-1)),(M23/L23-1))</f>
        <v>#DIV/0!</v>
      </c>
      <c r="N24" s="62" t="e">
        <f>IF(H23&lt;0,IF(N23&lt;0,-(N23/H23-1),-(N23/H23-1)),(N23/H23-1))</f>
        <v>#DIV/0!</v>
      </c>
      <c r="O24" s="63"/>
      <c r="P24" s="62" t="e">
        <f>IF(N23&lt;0,IF(P23&lt;0,-(P23/N23-1),-(P23/N23-1)),(P23/N23-1))</f>
        <v>#DIV/0!</v>
      </c>
      <c r="Q24" s="62" t="e">
        <f>IF(P23&lt;0,IF(Q23&lt;0,-(Q23/P23-1),-(Q23/P23-1)),(Q23/P23-1))</f>
        <v>#DIV/0!</v>
      </c>
      <c r="R24" s="62" t="e">
        <f>IF(Q23&lt;0,IF(R23&lt;0,-(R23/Q23-1),-(R23/Q23-1)),(R23/Q23-1))</f>
        <v>#DIV/0!</v>
      </c>
      <c r="S24" s="66"/>
      <c r="T24" s="62" t="e">
        <f>IF(H23&lt;0,IF(T23&lt;0,-(T23/H23-1),-(T23/H23-1)),(T23/H23-1))</f>
        <v>#DIV/0!</v>
      </c>
      <c r="U24" s="62" t="e">
        <f>IF(T23&lt;0,IF(U23&lt;0,-(U23/T23-1),-(U23/T23-1)),(U23/T23-1))</f>
        <v>#DIV/0!</v>
      </c>
      <c r="V24" s="62" t="e">
        <f>IF(U23&lt;0,IF(V23&lt;0,-(V23/U23-1),-(V23/U23-1)),(V23/U23-1))</f>
        <v>#DIV/0!</v>
      </c>
      <c r="W24" s="62" t="e">
        <f>IF(V23&lt;0,IF(W23&lt;0,-(W23/V23-1),-(W23/V23-1)),(W23/V23-1))</f>
        <v>#DIV/0!</v>
      </c>
      <c r="X24" s="2"/>
      <c r="Y24" s="2"/>
    </row>
    <row r="25" spans="1:25" x14ac:dyDescent="0.35">
      <c r="A25" s="68"/>
      <c r="B25" s="68"/>
      <c r="C25" s="69" t="s">
        <v>160</v>
      </c>
      <c r="D25" s="68"/>
      <c r="E25" s="68"/>
      <c r="F25" s="70">
        <f>+F21+F23</f>
        <v>0</v>
      </c>
      <c r="G25" s="70">
        <f>+G21+G23</f>
        <v>0</v>
      </c>
      <c r="H25" s="70">
        <f>+H21+H23</f>
        <v>0</v>
      </c>
      <c r="I25" s="68"/>
      <c r="J25" s="71">
        <f>+J21+J23</f>
        <v>0</v>
      </c>
      <c r="K25" s="72">
        <f>+K21+K23</f>
        <v>0</v>
      </c>
      <c r="L25" s="72">
        <f>+L21+L23</f>
        <v>0</v>
      </c>
      <c r="M25" s="73">
        <f>+M21+M23</f>
        <v>0</v>
      </c>
      <c r="N25" s="70">
        <f>+N21+N23</f>
        <v>0</v>
      </c>
      <c r="O25" s="68"/>
      <c r="P25" s="70">
        <f>+P21+P23</f>
        <v>0</v>
      </c>
      <c r="Q25" s="70">
        <f>+Q21+Q23</f>
        <v>0</v>
      </c>
      <c r="R25" s="70">
        <f>+R21+R23</f>
        <v>0</v>
      </c>
      <c r="S25" s="68"/>
      <c r="T25" s="70">
        <f>+T21+T23</f>
        <v>0</v>
      </c>
      <c r="U25" s="70">
        <f>+U21+U23</f>
        <v>0</v>
      </c>
      <c r="V25" s="70">
        <f>+V21+V23</f>
        <v>0</v>
      </c>
      <c r="W25" s="70">
        <f>+W21+W23</f>
        <v>0</v>
      </c>
      <c r="X25" s="2"/>
      <c r="Y25" s="2"/>
    </row>
    <row r="26" spans="1:25" ht="12.4" customHeight="1" outlineLevel="1" x14ac:dyDescent="0.35">
      <c r="A26" s="2"/>
      <c r="B26" s="2"/>
      <c r="C26" s="60" t="s">
        <v>157</v>
      </c>
      <c r="D26" s="2"/>
      <c r="E26" s="2"/>
      <c r="F26" s="61" t="s">
        <v>158</v>
      </c>
      <c r="G26" s="62" t="e">
        <f>IF(F25&lt;0,IF(G25&lt;0,-(G25/F25-1),-(G25/F25-1)),(G25/F25-1))</f>
        <v>#DIV/0!</v>
      </c>
      <c r="H26" s="62" t="e">
        <f>IF(G25&lt;0,IF(H25&lt;0,-(H25/G25-1),-(H25/G25-1)),(H25/G25-1))</f>
        <v>#DIV/0!</v>
      </c>
      <c r="I26" s="63"/>
      <c r="J26" s="64" t="e">
        <f>IF(H25&lt;0,IF(J25&lt;0,-(J25/(H25/4)-1),-(J25/(H25/4)-1)),(J25/(H25/4)-1))</f>
        <v>#DIV/0!</v>
      </c>
      <c r="K26" s="62" t="e">
        <f>IF(J25&lt;0,IF(K25&lt;0,-(K25/J25-1),-(K25/J25-1)),(K25/J25-1))</f>
        <v>#DIV/0!</v>
      </c>
      <c r="L26" s="62" t="e">
        <f>IF(K25&lt;0,IF(L25&lt;0,-(L25/K25-1),-(L25/K25-1)),(L25/K25-1))</f>
        <v>#DIV/0!</v>
      </c>
      <c r="M26" s="65" t="e">
        <f>IF(L25&lt;0,IF(M25&lt;0,-(M25/L25-1),-(M25/L25-1)),(M25/L25-1))</f>
        <v>#DIV/0!</v>
      </c>
      <c r="N26" s="62" t="e">
        <f>IF(H25&lt;0,IF(N25&lt;0,-(N25/H25-1),-(N25/H25-1)),(N25/H25-1))</f>
        <v>#DIV/0!</v>
      </c>
      <c r="O26" s="63"/>
      <c r="P26" s="62" t="e">
        <f>IF(N25&lt;0,IF(P25&lt;0,-(P25/N25-1),-(P25/N25-1)),(P25/N25-1))</f>
        <v>#DIV/0!</v>
      </c>
      <c r="Q26" s="62" t="e">
        <f>IF(P25&lt;0,IF(Q25&lt;0,-(Q25/P25-1),-(Q25/P25-1)),(Q25/P25-1))</f>
        <v>#DIV/0!</v>
      </c>
      <c r="R26" s="62" t="e">
        <f>IF(Q25&lt;0,IF(R25&lt;0,-(R25/Q25-1),-(R25/Q25-1)),(R25/Q25-1))</f>
        <v>#DIV/0!</v>
      </c>
      <c r="S26" s="66"/>
      <c r="T26" s="62" t="e">
        <f>IF(H25&lt;0,IF(T25&lt;0,-(T25/H25-1),-(T25/H25-1)),(T25/H25-1))</f>
        <v>#DIV/0!</v>
      </c>
      <c r="U26" s="62" t="e">
        <f>IF(T25&lt;0,IF(U25&lt;0,-(U25/T25-1),-(U25/T25-1)),(U25/T25-1))</f>
        <v>#DIV/0!</v>
      </c>
      <c r="V26" s="62" t="e">
        <f>IF(U25&lt;0,IF(V25&lt;0,-(V25/U25-1),-(V25/U25-1)),(V25/U25-1))</f>
        <v>#DIV/0!</v>
      </c>
      <c r="W26" s="62" t="e">
        <f>IF(V25&lt;0,IF(W25&lt;0,-(W25/V25-1),-(W25/V25-1)),(W25/V25-1))</f>
        <v>#DIV/0!</v>
      </c>
      <c r="X26" s="2"/>
      <c r="Y26" s="2"/>
    </row>
    <row r="27" spans="1:25" ht="13.15" customHeight="1" x14ac:dyDescent="0.35">
      <c r="A27" s="2"/>
      <c r="B27" s="2"/>
      <c r="C27" s="22"/>
      <c r="D27" s="2"/>
      <c r="E27" s="2"/>
      <c r="F27" s="2"/>
      <c r="G27" s="2"/>
      <c r="H27" s="2"/>
      <c r="I27" s="2"/>
      <c r="J27" s="51"/>
      <c r="K27" s="52"/>
      <c r="L27" s="52"/>
      <c r="M27" s="53"/>
      <c r="N27" s="2"/>
      <c r="O27" s="2"/>
      <c r="P27" s="2"/>
      <c r="Q27" s="2"/>
      <c r="S27" s="2"/>
      <c r="X27" s="2"/>
      <c r="Y27" s="2"/>
    </row>
    <row r="28" spans="1:25" x14ac:dyDescent="0.35">
      <c r="A28" s="2"/>
      <c r="B28" s="2"/>
      <c r="C28" s="22" t="s">
        <v>161</v>
      </c>
      <c r="D28" s="2"/>
      <c r="E28" s="2"/>
      <c r="F28" s="54"/>
      <c r="G28" s="54"/>
      <c r="H28" s="54"/>
      <c r="I28" s="2"/>
      <c r="J28" s="55"/>
      <c r="K28" s="56"/>
      <c r="L28" s="56"/>
      <c r="M28" s="57"/>
      <c r="N28" s="54">
        <f>SUM(J28:M28)</f>
        <v>0</v>
      </c>
      <c r="O28" s="2"/>
      <c r="P28" s="54"/>
      <c r="Q28" s="54"/>
      <c r="R28" s="54"/>
      <c r="S28" s="2"/>
      <c r="T28" s="95"/>
      <c r="U28" s="95"/>
      <c r="V28" s="95"/>
      <c r="W28" s="95"/>
      <c r="X28" s="2"/>
      <c r="Y28" s="2"/>
    </row>
    <row r="29" spans="1:25" ht="12.4" customHeight="1" outlineLevel="1" x14ac:dyDescent="0.35">
      <c r="A29" s="2"/>
      <c r="B29" s="2"/>
      <c r="C29" s="60" t="s">
        <v>162</v>
      </c>
      <c r="D29" s="2"/>
      <c r="E29" s="2"/>
      <c r="F29" s="170" t="e">
        <f>F28/F25</f>
        <v>#DIV/0!</v>
      </c>
      <c r="G29" s="170" t="e">
        <f>G28/G25</f>
        <v>#DIV/0!</v>
      </c>
      <c r="H29" s="170" t="e">
        <f>H28/H25</f>
        <v>#DIV/0!</v>
      </c>
      <c r="I29" s="63"/>
      <c r="J29" s="89" t="e">
        <f>J28/J25</f>
        <v>#DIV/0!</v>
      </c>
      <c r="K29" s="90" t="e">
        <f>K28/K25</f>
        <v>#DIV/0!</v>
      </c>
      <c r="L29" s="90" t="e">
        <f>L28/L25</f>
        <v>#DIV/0!</v>
      </c>
      <c r="M29" s="91" t="e">
        <f>M28/M25</f>
        <v>#DIV/0!</v>
      </c>
      <c r="N29" s="90" t="e">
        <f>N28/N25</f>
        <v>#DIV/0!</v>
      </c>
      <c r="O29" s="63"/>
      <c r="P29" s="90" t="e">
        <f>P28/P25</f>
        <v>#DIV/0!</v>
      </c>
      <c r="Q29" s="90" t="e">
        <f>Q28/Q25</f>
        <v>#DIV/0!</v>
      </c>
      <c r="R29" s="90" t="e">
        <f>R28/R25</f>
        <v>#DIV/0!</v>
      </c>
      <c r="S29" s="66"/>
      <c r="T29" s="90" t="e">
        <f>T28/T25</f>
        <v>#DIV/0!</v>
      </c>
      <c r="U29" s="90" t="e">
        <f>U28/U25</f>
        <v>#DIV/0!</v>
      </c>
      <c r="V29" s="90" t="e">
        <f>V28/V25</f>
        <v>#DIV/0!</v>
      </c>
      <c r="W29" s="90" t="e">
        <f>W28/W25</f>
        <v>#DIV/0!</v>
      </c>
      <c r="X29" s="2"/>
      <c r="Y29" s="2"/>
    </row>
    <row r="30" spans="1:25" ht="13.15" customHeight="1" x14ac:dyDescent="0.35">
      <c r="A30" s="2"/>
      <c r="B30" s="2"/>
      <c r="C30" s="22"/>
      <c r="D30" s="2"/>
      <c r="E30" s="2"/>
      <c r="F30" s="2"/>
      <c r="G30" s="2"/>
      <c r="H30" s="2"/>
      <c r="I30" s="2"/>
      <c r="J30" s="171"/>
      <c r="K30" s="172"/>
      <c r="L30" s="172"/>
      <c r="M30" s="173"/>
      <c r="N30" s="2"/>
      <c r="O30" s="2"/>
      <c r="P30" s="2"/>
      <c r="Q30" s="2"/>
      <c r="S30" s="2"/>
      <c r="X30" s="2"/>
      <c r="Y30" s="2"/>
    </row>
    <row r="31" spans="1:25" x14ac:dyDescent="0.35">
      <c r="A31" s="68"/>
      <c r="B31" s="68"/>
      <c r="C31" s="69" t="s">
        <v>163</v>
      </c>
      <c r="D31" s="68"/>
      <c r="E31" s="68"/>
      <c r="F31" s="76">
        <f>+F25-F28</f>
        <v>0</v>
      </c>
      <c r="G31" s="76">
        <f>+G25-G28</f>
        <v>0</v>
      </c>
      <c r="H31" s="76">
        <f>+H25-H28</f>
        <v>0</v>
      </c>
      <c r="I31" s="68"/>
      <c r="J31" s="77">
        <f>+J25-J28</f>
        <v>0</v>
      </c>
      <c r="K31" s="78">
        <f>+K25-K28</f>
        <v>0</v>
      </c>
      <c r="L31" s="78">
        <f>+L25-L28</f>
        <v>0</v>
      </c>
      <c r="M31" s="79">
        <f>+M25-M28</f>
        <v>0</v>
      </c>
      <c r="N31" s="76">
        <f>+N25-N28</f>
        <v>0</v>
      </c>
      <c r="O31" s="68"/>
      <c r="P31" s="76">
        <f>+P25-P28</f>
        <v>0</v>
      </c>
      <c r="Q31" s="76">
        <f>+Q25-Q28</f>
        <v>0</v>
      </c>
      <c r="R31" s="76">
        <f>+R25-R28</f>
        <v>0</v>
      </c>
      <c r="S31" s="68"/>
      <c r="T31" s="76">
        <f>+T25-T28</f>
        <v>0</v>
      </c>
      <c r="U31" s="76">
        <f>+U25-U28</f>
        <v>0</v>
      </c>
      <c r="V31" s="76">
        <f>+V25-V28</f>
        <v>0</v>
      </c>
      <c r="W31" s="76">
        <f>+W25-W28</f>
        <v>0</v>
      </c>
      <c r="X31" s="2"/>
      <c r="Y31" s="2"/>
    </row>
    <row r="32" spans="1:25" ht="7.5" customHeight="1" x14ac:dyDescent="0.35">
      <c r="A32" s="2"/>
      <c r="B32" s="2"/>
      <c r="C32" s="22"/>
      <c r="D32" s="2"/>
      <c r="E32" s="2"/>
      <c r="F32" s="2"/>
      <c r="G32" s="2"/>
      <c r="H32" s="2"/>
      <c r="I32" s="2"/>
      <c r="J32" s="51"/>
      <c r="K32" s="52"/>
      <c r="L32" s="52"/>
      <c r="M32" s="53"/>
      <c r="N32" s="2"/>
      <c r="O32" s="2"/>
      <c r="P32" s="2"/>
      <c r="Q32" s="2"/>
      <c r="S32" s="2"/>
      <c r="X32" s="2"/>
      <c r="Y32" s="2"/>
    </row>
    <row r="33" spans="1:25" x14ac:dyDescent="0.35">
      <c r="A33" s="2"/>
      <c r="B33" s="2"/>
      <c r="C33" s="80" t="s">
        <v>164</v>
      </c>
      <c r="D33" s="2"/>
      <c r="E33" s="2"/>
      <c r="F33" s="81"/>
      <c r="G33" s="81"/>
      <c r="H33" s="81"/>
      <c r="I33" s="2"/>
      <c r="J33" s="82"/>
      <c r="K33" s="83"/>
      <c r="L33" s="83"/>
      <c r="M33" s="84"/>
      <c r="N33" s="81"/>
      <c r="O33" s="2"/>
      <c r="P33" s="81"/>
      <c r="Q33" s="81"/>
      <c r="S33" s="2"/>
      <c r="X33" s="2"/>
      <c r="Y33" s="2"/>
    </row>
    <row r="34" spans="1:25" x14ac:dyDescent="0.35">
      <c r="A34" s="2"/>
      <c r="B34" s="2"/>
      <c r="C34" s="85" t="s">
        <v>165</v>
      </c>
      <c r="D34" s="2"/>
      <c r="E34" s="2"/>
      <c r="F34" s="54"/>
      <c r="G34" s="54"/>
      <c r="H34" s="54"/>
      <c r="I34" s="2"/>
      <c r="J34" s="55"/>
      <c r="K34" s="56"/>
      <c r="L34" s="56"/>
      <c r="M34" s="57"/>
      <c r="N34" s="54">
        <f>SUM(J34:M34)</f>
        <v>0</v>
      </c>
      <c r="O34" s="2"/>
      <c r="P34" s="54"/>
      <c r="Q34" s="54"/>
      <c r="R34" s="54"/>
      <c r="S34" s="2"/>
      <c r="X34" s="2"/>
      <c r="Y34" s="2"/>
    </row>
    <row r="35" spans="1:25" x14ac:dyDescent="0.35">
      <c r="A35" s="2"/>
      <c r="B35" s="2"/>
      <c r="C35" s="85" t="s">
        <v>166</v>
      </c>
      <c r="D35" s="2"/>
      <c r="E35" s="2"/>
      <c r="F35" s="54"/>
      <c r="G35" s="54"/>
      <c r="H35" s="54"/>
      <c r="I35" s="2"/>
      <c r="J35" s="55"/>
      <c r="K35" s="56"/>
      <c r="L35" s="56"/>
      <c r="M35" s="57"/>
      <c r="N35" s="54">
        <f>SUM(J35:M35)</f>
        <v>0</v>
      </c>
      <c r="O35" s="2"/>
      <c r="P35" s="54"/>
      <c r="Q35" s="54"/>
      <c r="R35" s="54"/>
      <c r="S35" s="2"/>
      <c r="X35" s="2"/>
      <c r="Y35" s="2"/>
    </row>
    <row r="36" spans="1:25" x14ac:dyDescent="0.35">
      <c r="A36" s="2"/>
      <c r="B36" s="2"/>
      <c r="C36" s="85" t="s">
        <v>167</v>
      </c>
      <c r="D36" s="2"/>
      <c r="E36" s="2"/>
      <c r="F36" s="54"/>
      <c r="G36" s="54"/>
      <c r="H36" s="54"/>
      <c r="I36" s="2"/>
      <c r="J36" s="55"/>
      <c r="K36" s="56"/>
      <c r="L36" s="56"/>
      <c r="M36" s="57"/>
      <c r="N36" s="54">
        <f>SUM(J36:M36)</f>
        <v>0</v>
      </c>
      <c r="O36" s="2"/>
      <c r="P36" s="54"/>
      <c r="Q36" s="54"/>
      <c r="R36" s="54"/>
      <c r="S36" s="2"/>
      <c r="X36" s="2"/>
      <c r="Y36" s="2"/>
    </row>
    <row r="37" spans="1:25" x14ac:dyDescent="0.35">
      <c r="A37" s="2"/>
      <c r="B37" s="2"/>
      <c r="C37" s="85" t="s">
        <v>168</v>
      </c>
      <c r="D37" s="2"/>
      <c r="E37" s="2"/>
      <c r="F37" s="54"/>
      <c r="G37" s="54"/>
      <c r="H37" s="54"/>
      <c r="I37" s="2"/>
      <c r="J37" s="55"/>
      <c r="K37" s="56"/>
      <c r="L37" s="56"/>
      <c r="M37" s="57"/>
      <c r="N37" s="54">
        <f>SUM(J37:M37)</f>
        <v>0</v>
      </c>
      <c r="O37" s="2"/>
      <c r="P37" s="54"/>
      <c r="Q37" s="54"/>
      <c r="R37" s="54"/>
      <c r="S37" s="2"/>
      <c r="X37" s="2"/>
      <c r="Y37" s="2"/>
    </row>
    <row r="38" spans="1:25" x14ac:dyDescent="0.35">
      <c r="A38" s="2"/>
      <c r="B38" s="2"/>
      <c r="C38" s="85" t="s">
        <v>169</v>
      </c>
      <c r="D38" s="2"/>
      <c r="E38" s="2"/>
      <c r="F38" s="54"/>
      <c r="G38" s="54"/>
      <c r="H38" s="54"/>
      <c r="I38" s="2"/>
      <c r="J38" s="55"/>
      <c r="K38" s="56"/>
      <c r="L38" s="56"/>
      <c r="M38" s="57"/>
      <c r="N38" s="54">
        <f>SUM(J38:M38)</f>
        <v>0</v>
      </c>
      <c r="O38" s="2"/>
      <c r="P38" s="54"/>
      <c r="Q38" s="54"/>
      <c r="R38" s="54"/>
      <c r="S38" s="2"/>
      <c r="X38" s="2"/>
      <c r="Y38" s="2"/>
    </row>
    <row r="39" spans="1:25" x14ac:dyDescent="0.35">
      <c r="A39" s="68"/>
      <c r="B39" s="68"/>
      <c r="C39" s="69" t="s">
        <v>170</v>
      </c>
      <c r="D39" s="68"/>
      <c r="E39" s="68"/>
      <c r="F39" s="70">
        <f>F34+F35+F36+F37+F38</f>
        <v>0</v>
      </c>
      <c r="G39" s="70">
        <f>G34+G35+G36+G37+G38</f>
        <v>0</v>
      </c>
      <c r="H39" s="70">
        <f>H34+H35+H36+H37+H38</f>
        <v>0</v>
      </c>
      <c r="I39" s="68"/>
      <c r="J39" s="86">
        <f>J34+J35+J36+J37+J38</f>
        <v>0</v>
      </c>
      <c r="K39" s="70">
        <f>K34+K35+K36+K37+K38</f>
        <v>0</v>
      </c>
      <c r="L39" s="70">
        <f>L34+L35+L36+L37+L38</f>
        <v>0</v>
      </c>
      <c r="M39" s="87">
        <f>M34+M35+M36+M37+M38</f>
        <v>0</v>
      </c>
      <c r="N39" s="70">
        <f>N34+N35+N36+N37+N38</f>
        <v>0</v>
      </c>
      <c r="O39" s="68"/>
      <c r="P39" s="70">
        <f>P34+P35+P36+P37+P38</f>
        <v>0</v>
      </c>
      <c r="Q39" s="70">
        <f>Q34+Q35+Q36+Q37+Q38</f>
        <v>0</v>
      </c>
      <c r="R39" s="70">
        <f>R34+R35+R36+R37+R38</f>
        <v>0</v>
      </c>
      <c r="S39" s="68"/>
      <c r="T39" s="88">
        <f>N39*(1+$W$10)</f>
        <v>0</v>
      </c>
      <c r="U39" s="88">
        <f>P39*(1+$W$10)</f>
        <v>0</v>
      </c>
      <c r="V39" s="88">
        <f>Q39*(1+$W$10)</f>
        <v>0</v>
      </c>
      <c r="W39" s="88">
        <f>R39*(1+$W$10)</f>
        <v>0</v>
      </c>
      <c r="X39" s="2"/>
      <c r="Y39" s="2"/>
    </row>
    <row r="40" spans="1:25" ht="12.4" customHeight="1" outlineLevel="1" x14ac:dyDescent="0.35">
      <c r="A40" s="2"/>
      <c r="B40" s="2"/>
      <c r="C40" s="60" t="s">
        <v>157</v>
      </c>
      <c r="D40" s="2"/>
      <c r="E40" s="2"/>
      <c r="F40" s="61" t="s">
        <v>158</v>
      </c>
      <c r="G40" s="62" t="e">
        <f>IF(F39&lt;0,IF(G39&lt;0,-(G39/F39-1),-(G39/F39-1)),(G39/F39-1))</f>
        <v>#DIV/0!</v>
      </c>
      <c r="H40" s="62" t="e">
        <f>IF(G39&lt;0,IF(H39&lt;0,-(H39/G39-1),-(H39/G39-1)),(H39/G39-1))</f>
        <v>#DIV/0!</v>
      </c>
      <c r="I40" s="63"/>
      <c r="J40" s="64" t="e">
        <f>IF(H39&lt;0,IF(J39&lt;0,-(J39/(H39/4)-1),-(J39/(H39/4)-1)),(J39/(H39/4)-1))</f>
        <v>#DIV/0!</v>
      </c>
      <c r="K40" s="62" t="e">
        <f>IF(J39&lt;0,IF(K39&lt;0,-(K39/J39-1),-(K39/J39-1)),(K39/J39-1))</f>
        <v>#DIV/0!</v>
      </c>
      <c r="L40" s="62" t="e">
        <f>IF(K39&lt;0,IF(L39&lt;0,-(L39/K39-1),-(L39/K39-1)),(L39/K39-1))</f>
        <v>#DIV/0!</v>
      </c>
      <c r="M40" s="65" t="e">
        <f>IF(L39&lt;0,IF(M39&lt;0,-(M39/L39-1),-(M39/L39-1)),(M39/L39-1))</f>
        <v>#DIV/0!</v>
      </c>
      <c r="N40" s="62" t="e">
        <f>IF(H39&lt;0,IF(N39&lt;0,-(N39/H39-1),-(N39/H39-1)),(N39/H39-1))</f>
        <v>#DIV/0!</v>
      </c>
      <c r="O40" s="63"/>
      <c r="P40" s="62" t="e">
        <f>IF(N39&lt;0,IF(P39&lt;0,-(P39/N39-1),-(P39/N39-1)),(P39/N39-1))</f>
        <v>#DIV/0!</v>
      </c>
      <c r="Q40" s="62" t="e">
        <f>IF(P39&lt;0,IF(Q39&lt;0,-(Q39/P39-1),-(Q39/P39-1)),(Q39/P39-1))</f>
        <v>#DIV/0!</v>
      </c>
      <c r="R40" s="62" t="e">
        <f>IF(Q39&lt;0,IF(R39&lt;0,-(R39/Q39-1),-(R39/Q39-1)),(R39/Q39-1))</f>
        <v>#DIV/0!</v>
      </c>
      <c r="S40" s="66"/>
      <c r="T40" s="62" t="e">
        <f>IF(H39&lt;0,IF(T39&lt;0,-(T39/H39-1),-(T39/H39-1)),(T39/H39-1))</f>
        <v>#DIV/0!</v>
      </c>
      <c r="U40" s="62" t="e">
        <f>IF(T39&lt;0,IF(U39&lt;0,-(U39/T39-1),-(U39/T39-1)),(U39/T39-1))</f>
        <v>#DIV/0!</v>
      </c>
      <c r="V40" s="62" t="e">
        <f>IF(U39&lt;0,IF(V39&lt;0,-(V39/U39-1),-(V39/U39-1)),(V39/U39-1))</f>
        <v>#DIV/0!</v>
      </c>
      <c r="W40" s="62" t="e">
        <f>IF(V39&lt;0,IF(W39&lt;0,-(W39/V39-1),-(W39/V39-1)),(W39/V39-1))</f>
        <v>#DIV/0!</v>
      </c>
      <c r="X40" s="2"/>
      <c r="Y40" s="2"/>
    </row>
    <row r="41" spans="1:25" ht="12.4" customHeight="1" outlineLevel="1" x14ac:dyDescent="0.35">
      <c r="A41" s="2"/>
      <c r="B41" s="2"/>
      <c r="C41" s="60" t="s">
        <v>171</v>
      </c>
      <c r="D41" s="2"/>
      <c r="E41" s="2"/>
      <c r="F41" s="61" t="e">
        <f>F39/F25</f>
        <v>#DIV/0!</v>
      </c>
      <c r="G41" s="61" t="e">
        <f>G39/G25</f>
        <v>#DIV/0!</v>
      </c>
      <c r="H41" s="61" t="e">
        <f>H39/H25</f>
        <v>#DIV/0!</v>
      </c>
      <c r="I41" s="63"/>
      <c r="J41" s="89" t="e">
        <f>J39/J25</f>
        <v>#DIV/0!</v>
      </c>
      <c r="K41" s="90" t="e">
        <f>K39/K25</f>
        <v>#DIV/0!</v>
      </c>
      <c r="L41" s="90" t="e">
        <f>L39/L25</f>
        <v>#DIV/0!</v>
      </c>
      <c r="M41" s="91" t="e">
        <f>M39/M25</f>
        <v>#DIV/0!</v>
      </c>
      <c r="N41" s="62" t="e">
        <f>N39/N25</f>
        <v>#DIV/0!</v>
      </c>
      <c r="O41" s="63"/>
      <c r="P41" s="62" t="e">
        <f>P39/P25</f>
        <v>#DIV/0!</v>
      </c>
      <c r="Q41" s="62" t="e">
        <f>Q39/Q25</f>
        <v>#DIV/0!</v>
      </c>
      <c r="R41" s="62" t="e">
        <f>R39/R25</f>
        <v>#DIV/0!</v>
      </c>
      <c r="S41" s="2"/>
      <c r="T41" s="62" t="e">
        <f>T39/T25</f>
        <v>#DIV/0!</v>
      </c>
      <c r="U41" s="62" t="e">
        <f>U39/U25</f>
        <v>#DIV/0!</v>
      </c>
      <c r="V41" s="62" t="e">
        <f>V39/V25</f>
        <v>#DIV/0!</v>
      </c>
      <c r="W41" s="62" t="e">
        <f>W39/W25</f>
        <v>#DIV/0!</v>
      </c>
      <c r="X41" s="2"/>
      <c r="Y41" s="2"/>
    </row>
    <row r="42" spans="1:25" ht="13.15" customHeight="1" x14ac:dyDescent="0.35">
      <c r="A42" s="2"/>
      <c r="B42" s="2"/>
      <c r="C42" s="22"/>
      <c r="D42" s="2"/>
      <c r="E42" s="2"/>
      <c r="F42" s="2"/>
      <c r="G42" s="2"/>
      <c r="H42" s="2"/>
      <c r="I42" s="2"/>
      <c r="J42" s="51"/>
      <c r="K42" s="52"/>
      <c r="L42" s="52"/>
      <c r="M42" s="53"/>
      <c r="N42" s="2"/>
      <c r="O42" s="2"/>
      <c r="P42" s="2"/>
      <c r="Q42" s="2"/>
      <c r="S42" s="2"/>
      <c r="X42" s="2"/>
      <c r="Y42" s="2"/>
    </row>
    <row r="43" spans="1:25" x14ac:dyDescent="0.35">
      <c r="A43" s="68"/>
      <c r="B43" s="68"/>
      <c r="C43" s="69" t="s">
        <v>172</v>
      </c>
      <c r="D43" s="68"/>
      <c r="E43" s="68"/>
      <c r="F43" s="76">
        <f>+F31-F39</f>
        <v>0</v>
      </c>
      <c r="G43" s="76">
        <f>+G31-G39</f>
        <v>0</v>
      </c>
      <c r="H43" s="76">
        <f>+H31-H39</f>
        <v>0</v>
      </c>
      <c r="I43" s="68"/>
      <c r="J43" s="77">
        <f>+J31-J39</f>
        <v>0</v>
      </c>
      <c r="K43" s="78">
        <f>+K31-K39</f>
        <v>0</v>
      </c>
      <c r="L43" s="78">
        <f>+L31-L39</f>
        <v>0</v>
      </c>
      <c r="M43" s="79">
        <f>+M31-M39</f>
        <v>0</v>
      </c>
      <c r="N43" s="76">
        <f>+N31-N39</f>
        <v>0</v>
      </c>
      <c r="O43" s="68"/>
      <c r="P43" s="76">
        <f>+P31-P39</f>
        <v>0</v>
      </c>
      <c r="Q43" s="76">
        <f>+Q31-Q39</f>
        <v>0</v>
      </c>
      <c r="R43" s="76">
        <f>+R31-R39</f>
        <v>0</v>
      </c>
      <c r="S43" s="68"/>
      <c r="T43" s="76">
        <f>+T31-T39</f>
        <v>0</v>
      </c>
      <c r="U43" s="76">
        <f>+U31-U39</f>
        <v>0</v>
      </c>
      <c r="V43" s="76">
        <f>+V31-V39</f>
        <v>0</v>
      </c>
      <c r="W43" s="76">
        <f>+W31-W39</f>
        <v>0</v>
      </c>
      <c r="X43" s="2"/>
      <c r="Y43" s="2"/>
    </row>
    <row r="44" spans="1:25" ht="12.4" customHeight="1" outlineLevel="1" x14ac:dyDescent="0.35">
      <c r="A44" s="2"/>
      <c r="B44" s="2"/>
      <c r="C44" s="60" t="s">
        <v>173</v>
      </c>
      <c r="D44" s="2"/>
      <c r="E44" s="2"/>
      <c r="F44" s="61" t="e">
        <f>+F43/F25</f>
        <v>#DIV/0!</v>
      </c>
      <c r="G44" s="61" t="e">
        <f>+G43/G25</f>
        <v>#DIV/0!</v>
      </c>
      <c r="H44" s="61" t="e">
        <f>+H43/H25</f>
        <v>#DIV/0!</v>
      </c>
      <c r="I44" s="63"/>
      <c r="J44" s="92" t="e">
        <f>+J43/J25</f>
        <v>#DIV/0!</v>
      </c>
      <c r="K44" s="93" t="e">
        <f>+K43/K25</f>
        <v>#DIV/0!</v>
      </c>
      <c r="L44" s="93" t="e">
        <f>+L43/L25</f>
        <v>#DIV/0!</v>
      </c>
      <c r="M44" s="94" t="e">
        <f>+M43/M25</f>
        <v>#DIV/0!</v>
      </c>
      <c r="N44" s="61" t="e">
        <f>+N43/N25</f>
        <v>#DIV/0!</v>
      </c>
      <c r="O44" s="63"/>
      <c r="P44" s="61" t="e">
        <f>+P43/P25</f>
        <v>#DIV/0!</v>
      </c>
      <c r="Q44" s="61" t="e">
        <f>+Q43/Q25</f>
        <v>#DIV/0!</v>
      </c>
      <c r="R44" s="61" t="e">
        <f>+R43/R25</f>
        <v>#DIV/0!</v>
      </c>
      <c r="S44" s="66"/>
      <c r="T44" s="61" t="e">
        <f>+T43/T25</f>
        <v>#DIV/0!</v>
      </c>
      <c r="U44" s="61" t="e">
        <f>+U43/U25</f>
        <v>#DIV/0!</v>
      </c>
      <c r="V44" s="61" t="e">
        <f>+V43/V25</f>
        <v>#DIV/0!</v>
      </c>
      <c r="W44" s="61" t="e">
        <f>+W43/W25</f>
        <v>#DIV/0!</v>
      </c>
      <c r="X44" s="2"/>
      <c r="Y44" s="2"/>
    </row>
    <row r="45" spans="1:25" ht="13.15" customHeight="1" x14ac:dyDescent="0.35">
      <c r="A45" s="2"/>
      <c r="B45" s="2"/>
      <c r="C45" s="22"/>
      <c r="D45" s="2"/>
      <c r="E45" s="2"/>
      <c r="F45" s="2"/>
      <c r="G45" s="2"/>
      <c r="H45" s="2"/>
      <c r="I45" s="2"/>
      <c r="J45" s="51"/>
      <c r="K45" s="52"/>
      <c r="L45" s="52"/>
      <c r="M45" s="53"/>
      <c r="N45" s="2"/>
      <c r="O45" s="2"/>
      <c r="P45" s="2"/>
      <c r="Q45" s="2"/>
      <c r="S45" s="2"/>
      <c r="X45" s="2"/>
      <c r="Y45" s="2"/>
    </row>
    <row r="46" spans="1:25" x14ac:dyDescent="0.35">
      <c r="A46" s="2"/>
      <c r="B46" s="2"/>
      <c r="C46" s="85" t="s">
        <v>174</v>
      </c>
      <c r="D46" s="2"/>
      <c r="E46" s="2"/>
      <c r="F46" s="54"/>
      <c r="G46" s="54"/>
      <c r="H46" s="54"/>
      <c r="I46" s="2"/>
      <c r="J46" s="55"/>
      <c r="K46" s="56"/>
      <c r="L46" s="56"/>
      <c r="M46" s="57"/>
      <c r="N46" s="54">
        <f>SUM(J46:M46)</f>
        <v>0</v>
      </c>
      <c r="O46" s="2"/>
      <c r="P46" s="54"/>
      <c r="Q46" s="54"/>
      <c r="R46" s="54"/>
      <c r="S46" s="2"/>
      <c r="T46" s="95"/>
      <c r="U46" s="95"/>
      <c r="V46" s="95"/>
      <c r="W46" s="95"/>
      <c r="X46" s="2"/>
      <c r="Y46" s="2"/>
    </row>
    <row r="47" spans="1:25" x14ac:dyDescent="0.35">
      <c r="A47" s="2"/>
      <c r="B47" s="2"/>
      <c r="C47" s="85" t="s">
        <v>175</v>
      </c>
      <c r="D47" s="2"/>
      <c r="E47" s="2"/>
      <c r="F47" s="96">
        <f>F43*$D$48</f>
        <v>0</v>
      </c>
      <c r="G47" s="96">
        <f>G43*$D$48</f>
        <v>0</v>
      </c>
      <c r="H47" s="96">
        <f>H43*$D$48</f>
        <v>0</v>
      </c>
      <c r="I47" s="2"/>
      <c r="J47" s="97">
        <f>J43*$D$48</f>
        <v>0</v>
      </c>
      <c r="K47" s="96">
        <f>K43*$D$48</f>
        <v>0</v>
      </c>
      <c r="L47" s="96">
        <f>L43*$D$48</f>
        <v>0</v>
      </c>
      <c r="M47" s="98">
        <f>M43*$D$48</f>
        <v>0</v>
      </c>
      <c r="N47" s="96">
        <f>N43*$D$48</f>
        <v>0</v>
      </c>
      <c r="O47" s="2"/>
      <c r="P47" s="96">
        <f>P43*$D$48</f>
        <v>0</v>
      </c>
      <c r="Q47" s="96">
        <f>Q43*$D$48</f>
        <v>0</v>
      </c>
      <c r="R47" s="96">
        <f>R43*$D$48</f>
        <v>0</v>
      </c>
      <c r="S47" s="2"/>
      <c r="T47" s="96">
        <f>T43*$D$48</f>
        <v>0</v>
      </c>
      <c r="U47" s="96">
        <f>U43*$D$48</f>
        <v>0</v>
      </c>
      <c r="V47" s="96">
        <f>V43*$D$48</f>
        <v>0</v>
      </c>
      <c r="W47" s="96">
        <f>W43*$D$48</f>
        <v>0</v>
      </c>
      <c r="X47" s="2"/>
      <c r="Y47" s="2"/>
    </row>
    <row r="48" spans="1:25" x14ac:dyDescent="0.35">
      <c r="A48" s="2"/>
      <c r="B48" s="2"/>
      <c r="C48" s="99" t="s">
        <v>176</v>
      </c>
      <c r="D48" s="100"/>
      <c r="E48" s="2"/>
      <c r="F48" s="101"/>
      <c r="G48" s="101"/>
      <c r="H48" s="101"/>
      <c r="I48" s="2"/>
      <c r="J48" s="102"/>
      <c r="K48" s="103"/>
      <c r="L48" s="103"/>
      <c r="M48" s="104"/>
      <c r="N48" s="105"/>
      <c r="O48" s="2"/>
      <c r="P48" s="105"/>
      <c r="Q48" s="105"/>
      <c r="S48" s="2"/>
      <c r="X48" s="2"/>
      <c r="Y48" s="2"/>
    </row>
    <row r="49" spans="1:26" ht="7.5" customHeight="1" x14ac:dyDescent="0.35">
      <c r="A49" s="2"/>
      <c r="B49" s="2"/>
      <c r="C49" s="22"/>
      <c r="D49" s="2"/>
      <c r="E49" s="2"/>
      <c r="F49" s="2"/>
      <c r="G49" s="2"/>
      <c r="H49" s="2"/>
      <c r="I49" s="2"/>
      <c r="J49" s="51"/>
      <c r="K49" s="52"/>
      <c r="L49" s="52"/>
      <c r="M49" s="53"/>
      <c r="N49" s="2"/>
      <c r="O49" s="2"/>
      <c r="P49" s="2"/>
      <c r="Q49" s="2"/>
      <c r="S49" s="2"/>
      <c r="X49" s="2"/>
      <c r="Y49" s="2"/>
    </row>
    <row r="50" spans="1:26" x14ac:dyDescent="0.35">
      <c r="A50" s="68"/>
      <c r="B50" s="68"/>
      <c r="C50" s="69" t="s">
        <v>177</v>
      </c>
      <c r="D50" s="68"/>
      <c r="E50" s="68"/>
      <c r="F50" s="76">
        <f>F43+F46-F47</f>
        <v>0</v>
      </c>
      <c r="G50" s="76">
        <f t="shared" ref="G50:W50" si="0">G43+G46-G47</f>
        <v>0</v>
      </c>
      <c r="H50" s="76">
        <f t="shared" si="0"/>
        <v>0</v>
      </c>
      <c r="I50" s="76"/>
      <c r="J50" s="106">
        <f t="shared" si="0"/>
        <v>0</v>
      </c>
      <c r="K50" s="76">
        <f t="shared" si="0"/>
        <v>0</v>
      </c>
      <c r="L50" s="76">
        <f t="shared" si="0"/>
        <v>0</v>
      </c>
      <c r="M50" s="107">
        <f t="shared" si="0"/>
        <v>0</v>
      </c>
      <c r="N50" s="76">
        <f t="shared" si="0"/>
        <v>0</v>
      </c>
      <c r="O50" s="76"/>
      <c r="P50" s="76">
        <f t="shared" si="0"/>
        <v>0</v>
      </c>
      <c r="Q50" s="76">
        <f t="shared" si="0"/>
        <v>0</v>
      </c>
      <c r="R50" s="76">
        <f t="shared" si="0"/>
        <v>0</v>
      </c>
      <c r="S50" s="76"/>
      <c r="T50" s="76">
        <f t="shared" si="0"/>
        <v>0</v>
      </c>
      <c r="U50" s="76">
        <f t="shared" si="0"/>
        <v>0</v>
      </c>
      <c r="V50" s="76">
        <f t="shared" si="0"/>
        <v>0</v>
      </c>
      <c r="W50" s="76">
        <f t="shared" si="0"/>
        <v>0</v>
      </c>
      <c r="X50" s="2"/>
      <c r="Y50" s="2"/>
    </row>
    <row r="51" spans="1:26" ht="12.4" customHeight="1" outlineLevel="1" x14ac:dyDescent="0.35">
      <c r="A51" s="2"/>
      <c r="B51" s="2"/>
      <c r="C51" s="60" t="s">
        <v>157</v>
      </c>
      <c r="D51" s="2"/>
      <c r="E51" s="2"/>
      <c r="F51" s="61" t="s">
        <v>158</v>
      </c>
      <c r="G51" s="62" t="e">
        <f>IF(F50&lt;0,IF(G50&lt;0,-(G50/F50-1),-(G50/F50-1)),(G50/F50-1))</f>
        <v>#DIV/0!</v>
      </c>
      <c r="H51" s="62" t="e">
        <f>IF(G50&lt;0,IF(H50&lt;0,-(H50/G50-1),-(H50/G50-1)),(H50/G50-1))</f>
        <v>#DIV/0!</v>
      </c>
      <c r="I51" s="63"/>
      <c r="J51" s="64" t="e">
        <f>IF(H50&lt;0,IF(J50&lt;0,-(J50/(H50/4)-1),-(J50/(H50/4)-1)),(J50/(H50/4)-1))</f>
        <v>#DIV/0!</v>
      </c>
      <c r="K51" s="62" t="e">
        <f>IF(J50&lt;0,IF(K50&lt;0,-(K50/J50-1),-(K50/J50-1)),(K50/J50-1))</f>
        <v>#DIV/0!</v>
      </c>
      <c r="L51" s="62" t="e">
        <f>IF(K50&lt;0,IF(L50&lt;0,-(L50/K50-1),-(L50/K50-1)),(L50/K50-1))</f>
        <v>#DIV/0!</v>
      </c>
      <c r="M51" s="65" t="e">
        <f>IF(L50&lt;0,IF(M50&lt;0,-(M50/L50-1),-(M50/L50-1)),(M50/L50-1))</f>
        <v>#DIV/0!</v>
      </c>
      <c r="N51" s="62" t="e">
        <f>IF(H50&lt;0,IF(N50&lt;0,-(N50/H50-1),-(N50/H50-1)),(N50/H50-1))</f>
        <v>#DIV/0!</v>
      </c>
      <c r="O51" s="63"/>
      <c r="P51" s="62" t="e">
        <f>IF(N50&lt;0,IF(P50&lt;0,-(P50/N50-1),-(P50/N50-1)),(P50/N50-1))</f>
        <v>#DIV/0!</v>
      </c>
      <c r="Q51" s="62" t="e">
        <f>IF(P50&lt;0,IF(Q50&lt;0,-(Q50/P50-1),-(Q50/P50-1)),(Q50/P50-1))</f>
        <v>#DIV/0!</v>
      </c>
      <c r="R51" s="62" t="e">
        <f>IF(Q50&lt;0,IF(R50&lt;0,-(R50/Q50-1),-(R50/Q50-1)),(R50/Q50-1))</f>
        <v>#DIV/0!</v>
      </c>
      <c r="S51" s="66"/>
      <c r="T51" s="62" t="e">
        <f>IF(H50&lt;0,IF(T50&lt;0,-(T50/H50-1),-(T50/H50-1)),(T50/H50-1))</f>
        <v>#DIV/0!</v>
      </c>
      <c r="U51" s="62" t="e">
        <f>IF(T50&lt;0,IF(U50&lt;0,-(U50/T50-1),-(U50/T50-1)),(U50/T50-1))</f>
        <v>#DIV/0!</v>
      </c>
      <c r="V51" s="62" t="e">
        <f>IF(U50&lt;0,IF(V50&lt;0,-(V50/U50-1),-(V50/U50-1)),(V50/U50-1))</f>
        <v>#DIV/0!</v>
      </c>
      <c r="W51" s="62" t="e">
        <f>IF(V50&lt;0,IF(W50&lt;0,-(W50/V50-1),-(W50/V50-1)),(W50/V50-1))</f>
        <v>#DIV/0!</v>
      </c>
      <c r="X51" s="2"/>
      <c r="Y51" s="2"/>
    </row>
    <row r="52" spans="1:26" ht="12.4" customHeight="1" outlineLevel="1" x14ac:dyDescent="0.35">
      <c r="A52" s="2"/>
      <c r="B52" s="2"/>
      <c r="C52" s="60" t="s">
        <v>178</v>
      </c>
      <c r="D52" s="2"/>
      <c r="E52" s="2"/>
      <c r="F52" s="61" t="e">
        <f>F50/F25</f>
        <v>#DIV/0!</v>
      </c>
      <c r="G52" s="61" t="e">
        <f>G50/G25</f>
        <v>#DIV/0!</v>
      </c>
      <c r="H52" s="61" t="e">
        <f>H50/H25</f>
        <v>#DIV/0!</v>
      </c>
      <c r="I52" s="63"/>
      <c r="J52" s="108" t="e">
        <f>J50/J25</f>
        <v>#DIV/0!</v>
      </c>
      <c r="K52" s="61" t="e">
        <f>K50/K25</f>
        <v>#DIV/0!</v>
      </c>
      <c r="L52" s="61" t="e">
        <f>L50/L25</f>
        <v>#DIV/0!</v>
      </c>
      <c r="M52" s="109" t="e">
        <f>M50/M25</f>
        <v>#DIV/0!</v>
      </c>
      <c r="N52" s="61" t="e">
        <f>N50/N25</f>
        <v>#DIV/0!</v>
      </c>
      <c r="O52" s="63"/>
      <c r="P52" s="61" t="e">
        <f>P50/P25</f>
        <v>#DIV/0!</v>
      </c>
      <c r="Q52" s="61" t="e">
        <f>Q50/Q25</f>
        <v>#DIV/0!</v>
      </c>
      <c r="R52" s="61" t="e">
        <f>R50/R25</f>
        <v>#DIV/0!</v>
      </c>
      <c r="S52" s="66"/>
      <c r="T52" s="61" t="e">
        <f>T50/T25</f>
        <v>#DIV/0!</v>
      </c>
      <c r="U52" s="61" t="e">
        <f>U50/U25</f>
        <v>#DIV/0!</v>
      </c>
      <c r="V52" s="61" t="e">
        <f>V50/V25</f>
        <v>#DIV/0!</v>
      </c>
      <c r="W52" s="61" t="e">
        <f>W50/W25</f>
        <v>#DIV/0!</v>
      </c>
      <c r="X52" s="2"/>
      <c r="Y52" s="2"/>
      <c r="Z52" s="174"/>
    </row>
    <row r="53" spans="1:26" ht="13.15" customHeight="1" x14ac:dyDescent="0.35">
      <c r="A53" s="2"/>
      <c r="B53" s="2"/>
      <c r="C53" s="22"/>
      <c r="D53" s="2"/>
      <c r="E53" s="2"/>
      <c r="F53" s="2"/>
      <c r="G53" s="2"/>
      <c r="H53" s="2"/>
      <c r="I53" s="2"/>
      <c r="J53" s="51"/>
      <c r="K53" s="52"/>
      <c r="L53" s="52"/>
      <c r="M53" s="53"/>
      <c r="N53" s="2"/>
      <c r="O53" s="2"/>
      <c r="P53" s="2"/>
      <c r="Q53" s="2"/>
      <c r="S53" s="2"/>
      <c r="X53" s="2"/>
      <c r="Y53" s="2"/>
    </row>
    <row r="54" spans="1:26" ht="12.4" customHeight="1" x14ac:dyDescent="0.35">
      <c r="A54" s="2"/>
      <c r="B54" s="2"/>
      <c r="C54" s="60"/>
      <c r="D54" s="2"/>
      <c r="E54" s="2"/>
      <c r="F54" s="110"/>
      <c r="G54" s="111"/>
      <c r="H54" s="111"/>
      <c r="I54" s="63"/>
      <c r="J54" s="112"/>
      <c r="K54" s="113"/>
      <c r="L54" s="113"/>
      <c r="M54" s="114"/>
      <c r="N54" s="111"/>
      <c r="O54" s="63"/>
      <c r="P54" s="111"/>
      <c r="Q54" s="111"/>
      <c r="R54" s="111"/>
      <c r="S54" s="66"/>
      <c r="T54" s="110"/>
      <c r="U54" s="111"/>
      <c r="V54" s="111"/>
      <c r="W54" s="111"/>
      <c r="X54" s="2"/>
      <c r="Y54" s="2"/>
    </row>
    <row r="55" spans="1:26" x14ac:dyDescent="0.35">
      <c r="A55" s="2"/>
      <c r="B55" s="2"/>
      <c r="C55" s="22" t="s">
        <v>179</v>
      </c>
      <c r="D55" s="2"/>
      <c r="E55" s="2"/>
      <c r="F55" s="54"/>
      <c r="G55" s="54"/>
      <c r="H55" s="54"/>
      <c r="I55" s="2"/>
      <c r="J55" s="55"/>
      <c r="K55" s="56"/>
      <c r="L55" s="56"/>
      <c r="M55" s="57"/>
      <c r="N55" s="54">
        <f>SUM(J55:M55)</f>
        <v>0</v>
      </c>
      <c r="O55" s="2"/>
      <c r="P55" s="54"/>
      <c r="Q55" s="54"/>
      <c r="R55" s="54"/>
      <c r="S55" s="2"/>
      <c r="T55" s="75"/>
      <c r="U55" s="75"/>
      <c r="V55" s="75"/>
      <c r="W55" s="75"/>
      <c r="X55" s="2"/>
      <c r="Y55" s="2"/>
    </row>
    <row r="56" spans="1:26" ht="7.5" customHeight="1" x14ac:dyDescent="0.35">
      <c r="A56" s="2"/>
      <c r="B56" s="2"/>
      <c r="C56" s="22"/>
      <c r="D56" s="2"/>
      <c r="E56" s="2"/>
      <c r="F56" s="2"/>
      <c r="G56" s="2"/>
      <c r="H56" s="2"/>
      <c r="I56" s="2"/>
      <c r="J56" s="51"/>
      <c r="K56" s="52"/>
      <c r="L56" s="52"/>
      <c r="M56" s="53"/>
      <c r="N56" s="2"/>
      <c r="O56" s="2"/>
      <c r="P56" s="2"/>
      <c r="Q56" s="2"/>
      <c r="S56" s="2"/>
      <c r="X56" s="2"/>
      <c r="Y56" s="2"/>
    </row>
    <row r="57" spans="1:26" ht="12.4" customHeight="1" x14ac:dyDescent="0.35">
      <c r="A57" s="2"/>
      <c r="B57" s="2"/>
      <c r="C57" s="85" t="s">
        <v>180</v>
      </c>
      <c r="E57" s="115"/>
      <c r="F57" s="54"/>
      <c r="G57" s="54"/>
      <c r="H57" s="54"/>
      <c r="I57" s="2"/>
      <c r="J57" s="55"/>
      <c r="K57" s="56"/>
      <c r="L57" s="56"/>
      <c r="M57" s="57"/>
      <c r="N57" s="54">
        <f>SUM(J57:M57)</f>
        <v>0</v>
      </c>
      <c r="O57" s="2"/>
      <c r="P57" s="54"/>
      <c r="Q57" s="54"/>
      <c r="R57" s="54"/>
      <c r="S57" s="66"/>
      <c r="T57" s="110"/>
      <c r="U57" s="111"/>
      <c r="V57" s="111"/>
      <c r="W57" s="111"/>
      <c r="X57" s="2"/>
      <c r="Y57" s="2"/>
    </row>
    <row r="58" spans="1:26" ht="12.4" customHeight="1" x14ac:dyDescent="0.35">
      <c r="A58" s="2"/>
      <c r="B58" s="2"/>
      <c r="C58" s="85" t="s">
        <v>181</v>
      </c>
      <c r="E58" s="115"/>
      <c r="F58" s="54"/>
      <c r="G58" s="54"/>
      <c r="H58" s="54"/>
      <c r="I58" s="2"/>
      <c r="J58" s="55"/>
      <c r="K58" s="56"/>
      <c r="L58" s="56"/>
      <c r="M58" s="57"/>
      <c r="N58" s="54">
        <f>SUM(J58:M58)</f>
        <v>0</v>
      </c>
      <c r="O58" s="2"/>
      <c r="P58" s="54"/>
      <c r="Q58" s="54"/>
      <c r="R58" s="54"/>
      <c r="S58" s="66"/>
      <c r="T58" s="110"/>
      <c r="U58" s="111"/>
      <c r="V58" s="111"/>
      <c r="W58" s="111"/>
      <c r="X58" s="2"/>
      <c r="Y58" s="2"/>
    </row>
    <row r="59" spans="1:26" ht="12.4" customHeight="1" x14ac:dyDescent="0.35">
      <c r="A59" s="2"/>
      <c r="B59" s="2"/>
      <c r="C59" s="85" t="s">
        <v>182</v>
      </c>
      <c r="E59" s="115"/>
      <c r="F59" s="54"/>
      <c r="G59" s="54"/>
      <c r="H59" s="54"/>
      <c r="I59" s="2"/>
      <c r="J59" s="55"/>
      <c r="K59" s="56"/>
      <c r="L59" s="56"/>
      <c r="M59" s="57"/>
      <c r="N59" s="54">
        <f>SUM(J59:M59)</f>
        <v>0</v>
      </c>
      <c r="O59" s="2"/>
      <c r="P59" s="54"/>
      <c r="Q59" s="54"/>
      <c r="R59" s="54"/>
      <c r="S59" s="66"/>
      <c r="T59" s="110"/>
      <c r="U59" s="111"/>
      <c r="V59" s="111"/>
      <c r="W59" s="111"/>
      <c r="X59" s="2"/>
      <c r="Y59" s="2"/>
    </row>
    <row r="60" spans="1:26" x14ac:dyDescent="0.35">
      <c r="A60" s="68"/>
      <c r="B60" s="68"/>
      <c r="C60" s="119" t="s">
        <v>183</v>
      </c>
      <c r="D60" s="68"/>
      <c r="E60" s="68"/>
      <c r="F60" s="70">
        <f>SUM(F57:F59)</f>
        <v>0</v>
      </c>
      <c r="G60" s="70">
        <f>SUM(G57:G59)</f>
        <v>0</v>
      </c>
      <c r="H60" s="70">
        <f>SUM(H57:H59)</f>
        <v>0</v>
      </c>
      <c r="I60" s="68"/>
      <c r="J60" s="86">
        <f>SUM(J57:J59)</f>
        <v>0</v>
      </c>
      <c r="K60" s="70">
        <f>SUM(K57:K59)</f>
        <v>0</v>
      </c>
      <c r="L60" s="70">
        <f>SUM(L57:L59)</f>
        <v>0</v>
      </c>
      <c r="M60" s="87">
        <f>SUM(M57:M59)</f>
        <v>0</v>
      </c>
      <c r="N60" s="70">
        <f>SUM(N57:N59)</f>
        <v>0</v>
      </c>
      <c r="O60" s="68"/>
      <c r="P60" s="70">
        <f>SUM(P57:P59)</f>
        <v>0</v>
      </c>
      <c r="Q60" s="70">
        <f>SUM(Q57:Q59)</f>
        <v>0</v>
      </c>
      <c r="R60" s="70">
        <f>SUM(R57:R59)</f>
        <v>0</v>
      </c>
      <c r="S60" s="68"/>
      <c r="T60" s="74">
        <f>N60</f>
        <v>0</v>
      </c>
      <c r="U60" s="74">
        <f>P60</f>
        <v>0</v>
      </c>
      <c r="V60" s="74">
        <f>Q60</f>
        <v>0</v>
      </c>
      <c r="W60" s="74">
        <f>R60</f>
        <v>0</v>
      </c>
      <c r="X60" s="2"/>
      <c r="Y60" s="2"/>
    </row>
    <row r="61" spans="1:26" ht="7.5" customHeight="1" x14ac:dyDescent="0.35">
      <c r="A61" s="2"/>
      <c r="B61" s="2"/>
      <c r="C61" s="22"/>
      <c r="D61" s="2"/>
      <c r="E61" s="2"/>
      <c r="F61" s="2"/>
      <c r="G61" s="2"/>
      <c r="H61" s="2"/>
      <c r="I61" s="2"/>
      <c r="J61" s="51"/>
      <c r="K61" s="52"/>
      <c r="L61" s="52"/>
      <c r="M61" s="53"/>
      <c r="N61" s="2"/>
      <c r="O61" s="2"/>
      <c r="P61" s="2"/>
      <c r="Q61" s="2"/>
      <c r="S61" s="2"/>
      <c r="X61" s="2"/>
      <c r="Y61" s="2"/>
    </row>
    <row r="62" spans="1:26" x14ac:dyDescent="0.35">
      <c r="A62" s="2"/>
      <c r="B62" s="2"/>
      <c r="C62" s="22" t="s">
        <v>184</v>
      </c>
      <c r="D62" s="2"/>
      <c r="E62" s="2"/>
      <c r="F62" s="96">
        <f>F50-F55+F60+F37</f>
        <v>0</v>
      </c>
      <c r="G62" s="96">
        <f>G50-G55+G60+G37</f>
        <v>0</v>
      </c>
      <c r="H62" s="96">
        <f>H50-H55+H60+H37</f>
        <v>0</v>
      </c>
      <c r="I62" s="2"/>
      <c r="J62" s="120">
        <f>J50-J55+J60+J37</f>
        <v>0</v>
      </c>
      <c r="K62" s="121">
        <f>K50-K55+K60+K37</f>
        <v>0</v>
      </c>
      <c r="L62" s="121">
        <f>L50-L55+L60+L37</f>
        <v>0</v>
      </c>
      <c r="M62" s="122">
        <f>M50-M55+M60+M37</f>
        <v>0</v>
      </c>
      <c r="N62" s="96">
        <f>N50-N55+N60+N37</f>
        <v>0</v>
      </c>
      <c r="O62" s="2"/>
      <c r="P62" s="96">
        <f>P50-P55+P60+P37</f>
        <v>0</v>
      </c>
      <c r="Q62" s="96">
        <f>Q50-Q55+Q60+Q37</f>
        <v>0</v>
      </c>
      <c r="R62" s="96">
        <f>R50-R55+R60+R37</f>
        <v>0</v>
      </c>
      <c r="S62" s="2"/>
      <c r="T62" s="96">
        <f>T50-T55+T60+N37</f>
        <v>0</v>
      </c>
      <c r="U62" s="96">
        <f>U50-U55+U60+P37</f>
        <v>0</v>
      </c>
      <c r="V62" s="96">
        <f>V50-V55+V60+Q37</f>
        <v>0</v>
      </c>
      <c r="W62" s="96">
        <f>W50-W55+W60+R37</f>
        <v>0</v>
      </c>
      <c r="X62" s="2"/>
      <c r="Y62" s="2"/>
    </row>
    <row r="63" spans="1:26" ht="12.4" customHeight="1" x14ac:dyDescent="0.35">
      <c r="A63" s="2"/>
      <c r="B63" s="2"/>
      <c r="C63" s="60"/>
      <c r="D63" s="2"/>
      <c r="E63" s="2"/>
      <c r="F63" s="110"/>
      <c r="G63" s="111"/>
      <c r="H63" s="111"/>
      <c r="I63" s="63"/>
      <c r="J63" s="113"/>
      <c r="K63" s="113"/>
      <c r="L63" s="113"/>
      <c r="M63" s="113"/>
      <c r="N63" s="111"/>
      <c r="O63" s="63"/>
      <c r="P63" s="111"/>
      <c r="Q63" s="111"/>
      <c r="R63" s="111"/>
      <c r="S63" s="66"/>
      <c r="T63" s="110"/>
      <c r="U63" s="111"/>
      <c r="V63" s="111"/>
      <c r="W63" s="111"/>
      <c r="X63" s="2"/>
      <c r="Y63" s="2"/>
    </row>
    <row r="64" spans="1:26" ht="18.5" x14ac:dyDescent="0.65">
      <c r="A64" s="2"/>
      <c r="B64" s="2"/>
      <c r="C64" s="28" t="s">
        <v>185</v>
      </c>
      <c r="D64" s="29"/>
      <c r="E64" s="2"/>
      <c r="F64" s="1346" t="str">
        <f>F7</f>
        <v>Historical</v>
      </c>
      <c r="G64" s="1346"/>
      <c r="H64" s="1346"/>
      <c r="I64" s="31"/>
      <c r="J64" s="1346" t="str">
        <f>J7</f>
        <v>Current</v>
      </c>
      <c r="K64" s="1346"/>
      <c r="L64" s="1346"/>
      <c r="M64" s="1346"/>
      <c r="N64" s="1346"/>
      <c r="O64" s="32"/>
      <c r="P64" s="1346" t="str">
        <f>P7</f>
        <v>Projected</v>
      </c>
      <c r="Q64" s="1346"/>
      <c r="R64" s="1346"/>
      <c r="S64" s="32"/>
      <c r="T64" s="1346" t="str">
        <f>T7</f>
        <v>DTC Sensitized</v>
      </c>
      <c r="U64" s="1346"/>
      <c r="V64" s="1346"/>
      <c r="W64" s="1346"/>
      <c r="X64" s="2"/>
      <c r="Y64" s="2"/>
    </row>
    <row r="65" spans="1:25" x14ac:dyDescent="0.35">
      <c r="A65" s="35"/>
      <c r="B65" s="35"/>
      <c r="C65" s="2"/>
      <c r="D65" s="2"/>
      <c r="E65" s="35"/>
      <c r="F65" s="123" t="str">
        <f ca="1">F11</f>
        <v>2023</v>
      </c>
      <c r="G65" s="123" t="str">
        <f ca="1">G11</f>
        <v>2024</v>
      </c>
      <c r="H65" s="123" t="str">
        <f ca="1">H11</f>
        <v>2025</v>
      </c>
      <c r="I65" s="35"/>
      <c r="J65" s="124" t="str">
        <f ca="1">J11</f>
        <v>Q1 26</v>
      </c>
      <c r="K65" s="125" t="str">
        <f ca="1">K11</f>
        <v>Q2 26</v>
      </c>
      <c r="L65" s="125" t="str">
        <f ca="1">L11</f>
        <v>Q2 26</v>
      </c>
      <c r="M65" s="126" t="str">
        <f ca="1">M11</f>
        <v>Q4 26</v>
      </c>
      <c r="N65" s="123">
        <f ca="1">N11</f>
        <v>2026</v>
      </c>
      <c r="O65" s="35"/>
      <c r="P65" s="123" t="str">
        <f ca="1">P11</f>
        <v>2027P</v>
      </c>
      <c r="Q65" s="123" t="str">
        <f ca="1">Q11</f>
        <v>2028P</v>
      </c>
      <c r="R65" s="123" t="str">
        <f ca="1">R11</f>
        <v>2029E</v>
      </c>
      <c r="S65" s="35"/>
      <c r="T65" s="123" t="str">
        <f ca="1">T11</f>
        <v>2026S</v>
      </c>
      <c r="U65" s="123" t="str">
        <f ca="1">U11</f>
        <v>2027S</v>
      </c>
      <c r="V65" s="123" t="str">
        <f ca="1">V11</f>
        <v>2028S</v>
      </c>
      <c r="W65" s="123" t="str">
        <f ca="1">W11</f>
        <v>2029S</v>
      </c>
      <c r="X65" s="35"/>
      <c r="Y65" s="35"/>
    </row>
    <row r="66" spans="1:25" x14ac:dyDescent="0.35">
      <c r="A66" s="2"/>
      <c r="B66" s="2"/>
      <c r="C66" s="80" t="s">
        <v>186</v>
      </c>
      <c r="D66" s="99"/>
      <c r="E66" s="2"/>
      <c r="F66" s="127">
        <f>F50+F38+F37+F47</f>
        <v>0</v>
      </c>
      <c r="G66" s="127">
        <f>G50+G38+G37+G47</f>
        <v>0</v>
      </c>
      <c r="H66" s="127">
        <f>H50+H38+H37+H47</f>
        <v>0</v>
      </c>
      <c r="I66" s="2"/>
      <c r="J66" s="128">
        <f t="shared" ref="J66:R66" si="1">J50+J38+J37+J47</f>
        <v>0</v>
      </c>
      <c r="K66" s="127">
        <f t="shared" si="1"/>
        <v>0</v>
      </c>
      <c r="L66" s="127">
        <f t="shared" si="1"/>
        <v>0</v>
      </c>
      <c r="M66" s="129">
        <f t="shared" si="1"/>
        <v>0</v>
      </c>
      <c r="N66" s="127">
        <f t="shared" si="1"/>
        <v>0</v>
      </c>
      <c r="O66" s="2"/>
      <c r="P66" s="127">
        <f t="shared" si="1"/>
        <v>0</v>
      </c>
      <c r="Q66" s="127">
        <f t="shared" si="1"/>
        <v>0</v>
      </c>
      <c r="R66" s="127">
        <f t="shared" si="1"/>
        <v>0</v>
      </c>
      <c r="S66" s="2"/>
      <c r="T66" s="127">
        <f>T50+T38+T37+T47</f>
        <v>0</v>
      </c>
      <c r="U66" s="127">
        <f>U50+U38+U37+U47</f>
        <v>0</v>
      </c>
      <c r="V66" s="127">
        <f>V50+V38+V37+V47</f>
        <v>0</v>
      </c>
      <c r="W66" s="127">
        <f>W50+W38+W37+W47</f>
        <v>0</v>
      </c>
      <c r="X66" s="2"/>
      <c r="Y66" s="2"/>
    </row>
    <row r="67" spans="1:25" x14ac:dyDescent="0.35">
      <c r="A67" s="2"/>
      <c r="B67" s="2"/>
      <c r="C67" s="80" t="s">
        <v>187</v>
      </c>
      <c r="D67" s="99"/>
      <c r="E67" s="2"/>
      <c r="F67" s="130">
        <f>F50+F38+F47</f>
        <v>0</v>
      </c>
      <c r="G67" s="130">
        <f>G50+G38+G47</f>
        <v>0</v>
      </c>
      <c r="H67" s="130">
        <f>H50+H38+H47</f>
        <v>0</v>
      </c>
      <c r="I67" s="2"/>
      <c r="J67" s="131">
        <f t="shared" ref="J67:R67" si="2">J50+J38+J47</f>
        <v>0</v>
      </c>
      <c r="K67" s="132">
        <f t="shared" si="2"/>
        <v>0</v>
      </c>
      <c r="L67" s="132">
        <f t="shared" si="2"/>
        <v>0</v>
      </c>
      <c r="M67" s="133">
        <f t="shared" si="2"/>
        <v>0</v>
      </c>
      <c r="N67" s="130">
        <f t="shared" si="2"/>
        <v>0</v>
      </c>
      <c r="O67" s="2"/>
      <c r="P67" s="130">
        <f t="shared" si="2"/>
        <v>0</v>
      </c>
      <c r="Q67" s="130">
        <f t="shared" si="2"/>
        <v>0</v>
      </c>
      <c r="R67" s="130">
        <f t="shared" si="2"/>
        <v>0</v>
      </c>
      <c r="S67" s="2"/>
      <c r="T67" s="130">
        <f>T50+T38+T47</f>
        <v>0</v>
      </c>
      <c r="U67" s="130">
        <f>U50+U38+U47</f>
        <v>0</v>
      </c>
      <c r="V67" s="130">
        <f>V50+V38+V47</f>
        <v>0</v>
      </c>
      <c r="W67" s="130">
        <f>W50+W38+W47</f>
        <v>0</v>
      </c>
      <c r="X67" s="2"/>
      <c r="Y67" s="2"/>
    </row>
    <row r="68" spans="1:25" ht="7.5" customHeight="1" x14ac:dyDescent="0.35">
      <c r="A68" s="2"/>
      <c r="B68" s="2"/>
      <c r="C68" s="22"/>
      <c r="D68" s="2"/>
      <c r="E68" s="2"/>
      <c r="F68" s="2"/>
      <c r="G68" s="2"/>
      <c r="H68" s="2"/>
      <c r="I68" s="2"/>
      <c r="J68" s="52"/>
      <c r="K68" s="52"/>
      <c r="L68" s="52"/>
      <c r="M68" s="52"/>
      <c r="N68" s="2"/>
      <c r="O68" s="2"/>
      <c r="P68" s="2"/>
      <c r="Q68" s="2"/>
      <c r="S68" s="2"/>
      <c r="X68" s="2"/>
      <c r="Y68" s="2"/>
    </row>
    <row r="69" spans="1:25" x14ac:dyDescent="0.35">
      <c r="A69" s="2"/>
      <c r="B69" s="2"/>
      <c r="C69" s="80" t="str">
        <f ca="1">"NPV "&amp;N11+1&amp;"-"&amp;N11+2&amp;" ("&amp;D70*100&amp;"%"&amp;")"</f>
        <v>NPV 2027-2028 (0%)</v>
      </c>
      <c r="D69" s="99"/>
      <c r="E69" s="2"/>
      <c r="F69" s="134"/>
      <c r="G69" s="101"/>
      <c r="H69" s="101"/>
      <c r="I69" s="2"/>
      <c r="J69" s="103"/>
      <c r="K69" s="103"/>
      <c r="L69" s="103"/>
      <c r="M69" s="103"/>
      <c r="N69" s="105"/>
      <c r="O69" s="2"/>
      <c r="P69" s="175">
        <f>NPV(D70,P62:R62)</f>
        <v>0</v>
      </c>
      <c r="Q69" s="136"/>
      <c r="S69" s="2"/>
      <c r="U69" s="175">
        <f>NPV(D70,U62:W62)</f>
        <v>0</v>
      </c>
      <c r="X69" s="2"/>
      <c r="Y69" s="2"/>
    </row>
    <row r="70" spans="1:25" x14ac:dyDescent="0.35">
      <c r="A70" s="2"/>
      <c r="B70" s="2"/>
      <c r="C70" s="99" t="s">
        <v>188</v>
      </c>
      <c r="D70" s="100"/>
      <c r="E70" s="2"/>
      <c r="F70" s="101"/>
      <c r="G70" s="101"/>
      <c r="H70" s="101"/>
      <c r="I70" s="2"/>
      <c r="J70" s="103"/>
      <c r="K70" s="103"/>
      <c r="L70" s="103"/>
      <c r="M70" s="103"/>
      <c r="N70" s="105"/>
      <c r="O70" s="2"/>
      <c r="P70" s="105"/>
      <c r="Q70" s="105"/>
      <c r="S70" s="2"/>
      <c r="X70" s="2"/>
      <c r="Y70" s="2"/>
    </row>
    <row r="71" spans="1:25" ht="7.5" customHeight="1" x14ac:dyDescent="0.35">
      <c r="A71" s="2"/>
      <c r="B71" s="2"/>
      <c r="C71" s="22"/>
      <c r="D71" s="2"/>
      <c r="E71" s="2"/>
      <c r="F71" s="2"/>
      <c r="G71" s="2"/>
      <c r="H71" s="2"/>
      <c r="I71" s="2"/>
      <c r="J71" s="52"/>
      <c r="K71" s="52"/>
      <c r="L71" s="52"/>
      <c r="M71" s="52"/>
      <c r="N71" s="2"/>
      <c r="O71" s="2"/>
      <c r="P71" s="2"/>
      <c r="Q71" s="2"/>
      <c r="S71" s="2"/>
      <c r="X71" s="2"/>
      <c r="Y71" s="2"/>
    </row>
    <row r="72" spans="1:25" x14ac:dyDescent="0.35">
      <c r="A72" s="2"/>
      <c r="B72" s="2"/>
      <c r="C72" s="80" t="s">
        <v>211</v>
      </c>
      <c r="D72" s="80"/>
      <c r="E72" s="2"/>
      <c r="F72" s="101"/>
      <c r="G72" s="101"/>
      <c r="H72" s="101"/>
      <c r="I72" s="2"/>
      <c r="J72" s="103"/>
      <c r="K72" s="103"/>
      <c r="L72" s="103"/>
      <c r="M72" s="103"/>
      <c r="N72" s="105"/>
      <c r="O72" s="2"/>
      <c r="P72" s="105"/>
      <c r="Q72" s="105"/>
      <c r="S72" s="2"/>
      <c r="X72" s="2"/>
      <c r="Y72" s="2"/>
    </row>
    <row r="73" spans="1:25" x14ac:dyDescent="0.35">
      <c r="A73" s="2"/>
      <c r="B73" s="2"/>
      <c r="C73" s="85" t="s">
        <v>212</v>
      </c>
      <c r="D73" s="2"/>
      <c r="E73" s="2"/>
      <c r="F73" s="96" t="e">
        <f>F21/(F14-F15+F16/2)</f>
        <v>#DIV/0!</v>
      </c>
      <c r="G73" s="96" t="e">
        <f>G21/(G14-G15+G16/2)</f>
        <v>#DIV/0!</v>
      </c>
      <c r="H73" s="96" t="e">
        <f>H21/(H14-H15+H16/2)</f>
        <v>#DIV/0!</v>
      </c>
      <c r="I73" s="2"/>
      <c r="J73" s="103"/>
      <c r="K73" s="103"/>
      <c r="L73" s="103"/>
      <c r="M73" s="103"/>
      <c r="N73" s="96" t="e">
        <f>N21/(N14-N15+N16/2)</f>
        <v>#DIV/0!</v>
      </c>
      <c r="O73" s="2"/>
      <c r="P73" s="96" t="e">
        <f>P21/(P14-P15+P16/2)</f>
        <v>#DIV/0!</v>
      </c>
      <c r="Q73" s="96" t="e">
        <f>Q21/(Q14-Q15+Q16/2)</f>
        <v>#DIV/0!</v>
      </c>
      <c r="R73" s="96" t="e">
        <f>R21/(R14-R15+R16/2)</f>
        <v>#DIV/0!</v>
      </c>
      <c r="S73" s="2"/>
      <c r="T73" s="96" t="e">
        <f>T21/(N14-N15+N16/2)</f>
        <v>#DIV/0!</v>
      </c>
      <c r="U73" s="96" t="e">
        <f>U21/(P14-P15+P16/2)</f>
        <v>#DIV/0!</v>
      </c>
      <c r="V73" s="96" t="e">
        <f>V21/(Q14-Q15+Q16/2)</f>
        <v>#DIV/0!</v>
      </c>
      <c r="W73" s="96" t="e">
        <f>W21/(R14-R15+R16/2)</f>
        <v>#DIV/0!</v>
      </c>
      <c r="X73" s="2"/>
      <c r="Y73" s="2"/>
    </row>
    <row r="74" spans="1:25" x14ac:dyDescent="0.35">
      <c r="A74" s="2"/>
      <c r="B74" s="2"/>
      <c r="C74" s="85" t="s">
        <v>213</v>
      </c>
      <c r="D74" s="2"/>
      <c r="E74" s="2"/>
      <c r="F74" s="176">
        <f>D70</f>
        <v>0</v>
      </c>
      <c r="G74" s="101"/>
      <c r="H74" s="101"/>
      <c r="I74" s="2"/>
      <c r="J74" s="103"/>
      <c r="K74" s="103"/>
      <c r="L74" s="103"/>
      <c r="M74" s="103"/>
      <c r="N74" s="105"/>
      <c r="O74" s="2"/>
      <c r="P74" s="105"/>
      <c r="Q74" s="105"/>
      <c r="S74" s="2"/>
      <c r="X74" s="2"/>
      <c r="Y74" s="2"/>
    </row>
    <row r="75" spans="1:25" x14ac:dyDescent="0.35">
      <c r="A75" s="2"/>
      <c r="B75" s="2"/>
      <c r="C75" s="85" t="s">
        <v>214</v>
      </c>
      <c r="D75" s="2"/>
      <c r="E75" s="2"/>
      <c r="F75" s="165">
        <v>0.03</v>
      </c>
      <c r="G75" s="101"/>
      <c r="H75" s="101"/>
      <c r="I75" s="2"/>
      <c r="J75" s="103"/>
      <c r="K75" s="103"/>
      <c r="L75" s="103"/>
      <c r="M75" s="103"/>
      <c r="N75" s="105"/>
      <c r="O75" s="2"/>
      <c r="P75" s="105"/>
      <c r="Q75" s="105"/>
      <c r="S75" s="2"/>
      <c r="X75" s="2"/>
      <c r="Y75" s="2"/>
    </row>
    <row r="76" spans="1:25" hidden="1" x14ac:dyDescent="0.35">
      <c r="A76" s="2"/>
      <c r="B76" s="2"/>
      <c r="C76" s="85" t="s">
        <v>215</v>
      </c>
      <c r="D76" s="2"/>
      <c r="E76" s="2"/>
      <c r="F76" s="101" t="e">
        <f>(1-F15/F14)*(1-$F$74)</f>
        <v>#DIV/0!</v>
      </c>
      <c r="G76" s="101"/>
      <c r="H76" s="101"/>
      <c r="I76" s="2"/>
      <c r="J76" s="103"/>
      <c r="K76" s="103"/>
      <c r="L76" s="103"/>
      <c r="M76" s="103"/>
      <c r="N76" s="105"/>
      <c r="O76" s="2"/>
      <c r="P76" s="105"/>
      <c r="Q76" s="105"/>
      <c r="S76" s="2"/>
      <c r="X76" s="2"/>
      <c r="Y76" s="2"/>
    </row>
    <row r="77" spans="1:25" x14ac:dyDescent="0.35">
      <c r="A77" s="2"/>
      <c r="B77" s="2"/>
      <c r="C77" s="85" t="s">
        <v>211</v>
      </c>
      <c r="D77" s="2"/>
      <c r="E77" s="2"/>
      <c r="F77" s="96" t="e">
        <f>F73*(F31/F25)*((1/(1-$F$76))+($F$75*$F$74/(1-$F$76)^2))</f>
        <v>#DIV/0!</v>
      </c>
      <c r="G77" s="96" t="e">
        <f>G73*(G31/G25)*((1/(1-$F$76))+($F$75*$F$74/(1-$F$76)^2))</f>
        <v>#DIV/0!</v>
      </c>
      <c r="H77" s="96" t="e">
        <f>H73*(H31/H25)*((1/(1-$F$76))+($F$75*$F$74/(1-$F$76)^2))</f>
        <v>#DIV/0!</v>
      </c>
      <c r="I77" s="2"/>
      <c r="J77" s="103"/>
      <c r="K77" s="103"/>
      <c r="L77" s="103"/>
      <c r="M77" s="103"/>
      <c r="N77" s="96" t="e">
        <f>N73*(N31/N25)*((1/(1-$F$76))+($F$75*$F$74/(1-$F$76)^2))</f>
        <v>#DIV/0!</v>
      </c>
      <c r="O77" s="2"/>
      <c r="P77" s="96" t="e">
        <f>P73*(P31/P25)*((1/(1-$F$76))+($F$75*$F$74/(1-$F$76)^2))</f>
        <v>#DIV/0!</v>
      </c>
      <c r="Q77" s="96" t="e">
        <f>Q73*(Q31/Q25)*((1/(1-$F$76))+($F$75*$F$74/(1-$F$76)^2))</f>
        <v>#DIV/0!</v>
      </c>
      <c r="R77" s="96" t="e">
        <f>R73*(R31/R25)*((1/(1-$F$76))+($F$75*$F$74/(1-$F$76)^2))</f>
        <v>#DIV/0!</v>
      </c>
      <c r="S77" s="2"/>
      <c r="T77" s="96" t="e">
        <f>T73*(T31/T25)*((1/(1-$F$76))+($F$75*$F$74/(1-$F$76)^2))</f>
        <v>#DIV/0!</v>
      </c>
      <c r="U77" s="96" t="e">
        <f>U73*(U31/U25)*((1/(1-$F$76))+($F$75*$F$74/(1-$F$76)^2))</f>
        <v>#DIV/0!</v>
      </c>
      <c r="V77" s="96" t="e">
        <f>V73*(V31/V25)*((1/(1-$F$76))+($F$75*$F$74/(1-$F$76)^2))</f>
        <v>#DIV/0!</v>
      </c>
      <c r="W77" s="96" t="e">
        <f>W73*(W31/W25)*((1/(1-$F$76))+($F$75*$F$74/(1-$F$76)^2))</f>
        <v>#DIV/0!</v>
      </c>
      <c r="X77" s="2"/>
      <c r="Y77" s="2"/>
    </row>
    <row r="78" spans="1:25" ht="7.5" customHeight="1" x14ac:dyDescent="0.35">
      <c r="A78" s="2"/>
      <c r="B78" s="2"/>
      <c r="C78" s="22"/>
      <c r="D78" s="2"/>
      <c r="E78" s="2"/>
      <c r="F78" s="2"/>
      <c r="G78" s="2"/>
      <c r="H78" s="2"/>
      <c r="I78" s="2"/>
      <c r="J78" s="52"/>
      <c r="K78" s="52"/>
      <c r="L78" s="52"/>
      <c r="M78" s="52"/>
      <c r="N78" s="2"/>
      <c r="O78" s="2"/>
      <c r="P78" s="2"/>
      <c r="Q78" s="2"/>
      <c r="S78" s="2"/>
      <c r="X78" s="2"/>
      <c r="Y78" s="2"/>
    </row>
    <row r="79" spans="1:25" x14ac:dyDescent="0.35">
      <c r="A79" s="2"/>
      <c r="B79" s="2"/>
      <c r="C79" s="80" t="s">
        <v>189</v>
      </c>
      <c r="D79" s="2"/>
      <c r="E79" s="2"/>
      <c r="F79" s="101"/>
      <c r="G79" s="101"/>
      <c r="H79" s="101"/>
      <c r="I79" s="2"/>
      <c r="J79" s="103"/>
      <c r="K79" s="103"/>
      <c r="L79" s="103"/>
      <c r="M79" s="103"/>
      <c r="N79" s="105"/>
      <c r="O79" s="2"/>
      <c r="P79" s="105"/>
      <c r="Q79" s="105"/>
      <c r="S79" s="2"/>
      <c r="X79" s="2"/>
      <c r="Y79" s="2"/>
    </row>
    <row r="80" spans="1:25" x14ac:dyDescent="0.35">
      <c r="A80" s="2"/>
      <c r="B80" s="2"/>
      <c r="C80" s="85" t="s">
        <v>190</v>
      </c>
      <c r="D80" s="2"/>
      <c r="E80" s="2"/>
      <c r="F80" s="54"/>
      <c r="G80" s="54"/>
      <c r="H80" s="54"/>
      <c r="I80" s="2"/>
      <c r="J80" s="137"/>
      <c r="K80" s="138"/>
      <c r="L80" s="138"/>
      <c r="M80" s="139"/>
      <c r="N80" s="54">
        <f>M80</f>
        <v>0</v>
      </c>
      <c r="O80" s="2"/>
      <c r="P80" s="54"/>
      <c r="Q80" s="54"/>
      <c r="R80" s="54"/>
      <c r="S80" s="2"/>
      <c r="T80" s="54"/>
      <c r="U80" s="54"/>
      <c r="V80" s="54"/>
      <c r="W80" s="54"/>
      <c r="X80" s="2"/>
      <c r="Y80" s="2"/>
    </row>
    <row r="81" spans="1:25" x14ac:dyDescent="0.35">
      <c r="A81" s="2"/>
      <c r="B81" s="2"/>
      <c r="C81" s="85" t="s">
        <v>191</v>
      </c>
      <c r="D81" s="2"/>
      <c r="E81" s="2"/>
      <c r="F81" s="54"/>
      <c r="G81" s="54"/>
      <c r="H81" s="54"/>
      <c r="I81" s="2"/>
      <c r="J81" s="140"/>
      <c r="K81" s="54"/>
      <c r="L81" s="54"/>
      <c r="M81" s="141"/>
      <c r="N81" s="54">
        <f>M81</f>
        <v>0</v>
      </c>
      <c r="O81" s="2"/>
      <c r="P81" s="54"/>
      <c r="Q81" s="54"/>
      <c r="R81" s="54"/>
      <c r="S81" s="2"/>
      <c r="T81" s="54"/>
      <c r="U81" s="54"/>
      <c r="V81" s="54"/>
      <c r="W81" s="54"/>
      <c r="X81" s="2"/>
      <c r="Y81" s="2"/>
    </row>
    <row r="82" spans="1:25" x14ac:dyDescent="0.35">
      <c r="A82" s="2"/>
      <c r="B82" s="2"/>
      <c r="C82" s="85" t="s">
        <v>192</v>
      </c>
      <c r="D82" s="2"/>
      <c r="E82" s="2"/>
      <c r="F82" s="54"/>
      <c r="G82" s="54"/>
      <c r="H82" s="54"/>
      <c r="I82" s="2"/>
      <c r="J82" s="142"/>
      <c r="K82" s="143"/>
      <c r="L82" s="143"/>
      <c r="M82" s="144"/>
      <c r="N82" s="54">
        <f>SUM(J82:M82)</f>
        <v>0</v>
      </c>
      <c r="O82" s="2"/>
      <c r="P82" s="54"/>
      <c r="Q82" s="54"/>
      <c r="R82" s="54"/>
      <c r="S82" s="2"/>
      <c r="T82" s="54"/>
      <c r="U82" s="54"/>
      <c r="V82" s="54"/>
      <c r="W82" s="54"/>
      <c r="X82" s="2"/>
      <c r="Y82" s="2"/>
    </row>
    <row r="83" spans="1:25" x14ac:dyDescent="0.35">
      <c r="A83" s="2"/>
      <c r="B83" s="2"/>
      <c r="C83" s="80" t="s">
        <v>193</v>
      </c>
      <c r="D83" s="2"/>
      <c r="E83" s="2"/>
      <c r="F83" s="145"/>
      <c r="G83" s="145"/>
      <c r="H83" s="145"/>
      <c r="I83" s="2"/>
      <c r="J83" s="146"/>
      <c r="K83" s="146"/>
      <c r="L83" s="147"/>
      <c r="M83" s="146"/>
      <c r="N83" s="148"/>
      <c r="O83" s="2"/>
      <c r="P83" s="177">
        <f>SUM(P62:R62)+SUM(P80:R80)-SUM(P81:R81)+SUM(P82:R82)</f>
        <v>0</v>
      </c>
      <c r="Q83" s="150"/>
      <c r="S83" s="2"/>
      <c r="U83" s="177">
        <f>SUM(U62:W62)+SUM(U80:W80)-SUM(U81:W81)+SUM(U82:W82)</f>
        <v>0</v>
      </c>
      <c r="X83" s="2"/>
      <c r="Y83" s="2"/>
    </row>
    <row r="84" spans="1:25" ht="7.5" customHeight="1" x14ac:dyDescent="0.35">
      <c r="A84" s="2"/>
      <c r="B84" s="2"/>
      <c r="C84" s="22"/>
      <c r="D84" s="2"/>
      <c r="E84" s="2"/>
      <c r="F84" s="2"/>
      <c r="G84" s="2"/>
      <c r="H84" s="2"/>
      <c r="I84" s="2"/>
      <c r="J84" s="52"/>
      <c r="K84" s="52"/>
      <c r="L84" s="52"/>
      <c r="M84" s="52"/>
      <c r="N84" s="2"/>
      <c r="O84" s="2"/>
      <c r="P84" s="2"/>
      <c r="Q84" s="2"/>
      <c r="S84" s="2"/>
      <c r="X84" s="2"/>
      <c r="Y84" s="2"/>
    </row>
    <row r="85" spans="1:25" x14ac:dyDescent="0.35">
      <c r="A85" s="2"/>
      <c r="B85" s="2"/>
      <c r="C85" s="80" t="s">
        <v>194</v>
      </c>
      <c r="D85" s="2"/>
      <c r="E85" s="2"/>
      <c r="F85" s="145"/>
      <c r="G85" s="145"/>
      <c r="H85" s="145"/>
      <c r="I85" s="2"/>
      <c r="J85" s="146"/>
      <c r="K85" s="146"/>
      <c r="L85" s="147"/>
      <c r="M85" s="146"/>
      <c r="N85" s="148"/>
      <c r="O85" s="2"/>
      <c r="P85" s="148"/>
      <c r="Q85" s="148"/>
      <c r="S85" s="2"/>
      <c r="X85" s="2"/>
      <c r="Y85" s="2"/>
    </row>
    <row r="86" spans="1:25" x14ac:dyDescent="0.35">
      <c r="A86" s="2"/>
      <c r="B86" s="2"/>
      <c r="C86" s="85" t="s">
        <v>195</v>
      </c>
      <c r="D86" s="2"/>
      <c r="E86" s="2"/>
      <c r="F86" s="54"/>
      <c r="G86" s="54"/>
      <c r="H86" s="54"/>
      <c r="I86" s="2"/>
      <c r="J86" s="151"/>
      <c r="K86" s="152"/>
      <c r="L86" s="152"/>
      <c r="M86" s="153"/>
      <c r="N86" s="54">
        <f>M86</f>
        <v>0</v>
      </c>
      <c r="O86" s="2"/>
      <c r="P86" s="54"/>
      <c r="Q86" s="54"/>
      <c r="R86" s="54"/>
      <c r="S86" s="2"/>
      <c r="T86" s="54"/>
      <c r="U86" s="54"/>
      <c r="V86" s="54"/>
      <c r="W86" s="54"/>
      <c r="X86" s="2"/>
      <c r="Y86" s="2"/>
    </row>
    <row r="87" spans="1:25" ht="7.5" customHeight="1" x14ac:dyDescent="0.35">
      <c r="A87" s="2"/>
      <c r="B87" s="2"/>
      <c r="C87" s="22"/>
      <c r="D87" s="2"/>
      <c r="E87" s="2"/>
      <c r="F87" s="2"/>
      <c r="G87" s="2"/>
      <c r="H87" s="2"/>
      <c r="I87" s="2"/>
      <c r="J87" s="52"/>
      <c r="K87" s="52"/>
      <c r="L87" s="52"/>
      <c r="M87" s="52"/>
      <c r="N87" s="2"/>
      <c r="O87" s="2"/>
      <c r="P87" s="2"/>
      <c r="Q87" s="2"/>
      <c r="S87" s="2"/>
      <c r="X87" s="2"/>
      <c r="Y87" s="2"/>
    </row>
    <row r="88" spans="1:25" x14ac:dyDescent="0.35">
      <c r="A88" s="2"/>
      <c r="B88" s="2"/>
      <c r="C88" s="80" t="s">
        <v>216</v>
      </c>
      <c r="D88" s="2"/>
      <c r="E88" s="2"/>
      <c r="F88" s="154"/>
      <c r="G88" s="154"/>
      <c r="H88" s="154"/>
      <c r="I88" s="2"/>
      <c r="J88" s="155"/>
      <c r="K88" s="155"/>
      <c r="L88" s="156"/>
      <c r="M88" s="156"/>
      <c r="N88" s="2"/>
      <c r="O88" s="2"/>
      <c r="P88" s="2"/>
      <c r="Q88" s="2"/>
      <c r="S88" s="2"/>
      <c r="X88" s="2"/>
      <c r="Y88" s="2"/>
    </row>
    <row r="89" spans="1:25" x14ac:dyDescent="0.35">
      <c r="A89" s="2"/>
      <c r="B89" s="2"/>
      <c r="C89" s="85" t="s">
        <v>197</v>
      </c>
      <c r="D89" s="2"/>
      <c r="E89" s="2"/>
      <c r="F89" s="54"/>
      <c r="G89" s="54"/>
      <c r="H89" s="54"/>
      <c r="I89" s="2"/>
      <c r="J89" s="137"/>
      <c r="K89" s="138"/>
      <c r="L89" s="138"/>
      <c r="M89" s="139"/>
      <c r="N89" s="54">
        <f>M89</f>
        <v>0</v>
      </c>
      <c r="O89" s="2"/>
      <c r="P89" s="54"/>
      <c r="Q89" s="54"/>
      <c r="R89" s="54"/>
      <c r="S89" s="2"/>
      <c r="T89" s="54"/>
      <c r="U89" s="54"/>
      <c r="V89" s="54"/>
      <c r="W89" s="54"/>
      <c r="X89" s="2"/>
      <c r="Y89" s="2"/>
    </row>
    <row r="90" spans="1:25" x14ac:dyDescent="0.35">
      <c r="A90" s="2"/>
      <c r="B90" s="2"/>
      <c r="C90" s="85" t="s">
        <v>198</v>
      </c>
      <c r="D90" s="2"/>
      <c r="E90" s="2"/>
      <c r="F90" s="54"/>
      <c r="G90" s="54"/>
      <c r="H90" s="54"/>
      <c r="I90" s="2"/>
      <c r="J90" s="140"/>
      <c r="K90" s="54"/>
      <c r="L90" s="54"/>
      <c r="M90" s="141"/>
      <c r="N90" s="54">
        <f>M90</f>
        <v>0</v>
      </c>
      <c r="O90" s="2"/>
      <c r="P90" s="54"/>
      <c r="Q90" s="54"/>
      <c r="R90" s="54"/>
      <c r="S90" s="2"/>
      <c r="T90" s="54"/>
      <c r="U90" s="54"/>
      <c r="V90" s="54"/>
      <c r="W90" s="54"/>
      <c r="X90" s="2"/>
      <c r="Y90" s="2"/>
    </row>
    <row r="91" spans="1:25" x14ac:dyDescent="0.35">
      <c r="A91" s="2"/>
      <c r="B91" s="2"/>
      <c r="C91" s="85" t="s">
        <v>199</v>
      </c>
      <c r="D91" s="2"/>
      <c r="E91" s="2"/>
      <c r="F91" s="54"/>
      <c r="G91" s="54"/>
      <c r="H91" s="54"/>
      <c r="I91" s="2"/>
      <c r="J91" s="140"/>
      <c r="K91" s="54"/>
      <c r="L91" s="54"/>
      <c r="M91" s="141"/>
      <c r="N91" s="54">
        <f>M91</f>
        <v>0</v>
      </c>
      <c r="O91" s="2"/>
      <c r="P91" s="54"/>
      <c r="Q91" s="54"/>
      <c r="R91" s="54"/>
      <c r="S91" s="2"/>
      <c r="T91" s="54"/>
      <c r="U91" s="54"/>
      <c r="V91" s="54"/>
      <c r="W91" s="54"/>
      <c r="X91" s="2"/>
      <c r="Y91" s="2"/>
    </row>
    <row r="92" spans="1:25" x14ac:dyDescent="0.35">
      <c r="A92" s="2"/>
      <c r="B92" s="2"/>
      <c r="C92" s="85" t="s">
        <v>200</v>
      </c>
      <c r="D92" s="2"/>
      <c r="E92" s="2"/>
      <c r="F92" s="54"/>
      <c r="G92" s="54"/>
      <c r="H92" s="54"/>
      <c r="I92" s="2"/>
      <c r="J92" s="142"/>
      <c r="K92" s="143"/>
      <c r="L92" s="143"/>
      <c r="M92" s="144"/>
      <c r="N92" s="54">
        <f>M92</f>
        <v>0</v>
      </c>
      <c r="O92" s="2"/>
      <c r="P92" s="54"/>
      <c r="Q92" s="54"/>
      <c r="R92" s="54"/>
      <c r="S92" s="2"/>
      <c r="T92" s="54"/>
      <c r="U92" s="54"/>
      <c r="V92" s="54"/>
      <c r="W92" s="54"/>
      <c r="X92" s="2"/>
      <c r="Y92" s="2"/>
    </row>
    <row r="93" spans="1:25" ht="7.5" customHeight="1" x14ac:dyDescent="0.35">
      <c r="A93" s="2"/>
      <c r="B93" s="2"/>
      <c r="C93" s="22"/>
      <c r="D93" s="2"/>
      <c r="E93" s="2"/>
      <c r="F93" s="2"/>
      <c r="G93" s="2"/>
      <c r="H93" s="2"/>
      <c r="I93" s="2"/>
      <c r="J93" s="52"/>
      <c r="K93" s="52"/>
      <c r="L93" s="52"/>
      <c r="M93" s="52"/>
      <c r="N93" s="2"/>
      <c r="O93" s="2"/>
      <c r="P93" s="2"/>
      <c r="Q93" s="2"/>
      <c r="S93" s="2"/>
      <c r="X93" s="2"/>
      <c r="Y93" s="2"/>
    </row>
    <row r="94" spans="1:25" x14ac:dyDescent="0.35">
      <c r="A94" s="2"/>
      <c r="B94" s="2"/>
      <c r="C94" s="80" t="s">
        <v>217</v>
      </c>
      <c r="D94" s="2"/>
      <c r="E94" s="2"/>
      <c r="F94" s="54"/>
      <c r="G94" s="54"/>
      <c r="H94" s="54"/>
      <c r="I94" s="2"/>
      <c r="J94" s="151"/>
      <c r="K94" s="152"/>
      <c r="L94" s="152"/>
      <c r="M94" s="153"/>
      <c r="N94" s="54">
        <f>M94</f>
        <v>0</v>
      </c>
      <c r="O94" s="2"/>
      <c r="P94" s="54"/>
      <c r="Q94" s="54"/>
      <c r="R94" s="54"/>
      <c r="S94" s="2"/>
      <c r="T94" s="54"/>
      <c r="U94" s="54"/>
      <c r="V94" s="54"/>
      <c r="W94" s="54"/>
      <c r="X94" s="2"/>
      <c r="Y94" s="2"/>
    </row>
  </sheetData>
  <mergeCells count="11">
    <mergeCell ref="F64:H64"/>
    <mergeCell ref="J64:N64"/>
    <mergeCell ref="P64:R64"/>
    <mergeCell ref="T64:W64"/>
    <mergeCell ref="F7:H7"/>
    <mergeCell ref="J7:N7"/>
    <mergeCell ref="P7:R7"/>
    <mergeCell ref="T7:W7"/>
    <mergeCell ref="T9:V9"/>
    <mergeCell ref="J10:M10"/>
    <mergeCell ref="T10:V10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657A-7812-4E18-9234-67CC74907EA7}">
  <dimension ref="A1"/>
  <sheetViews>
    <sheetView workbookViewId="0"/>
  </sheetViews>
  <sheetFormatPr defaultRowHeight="14.5" x14ac:dyDescent="0.35"/>
  <sheetData>
    <row r="1" spans="1:1" x14ac:dyDescent="0.35">
      <c r="A1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A4F2-1684-445C-88FE-927C0E2BA095}">
  <dimension ref="A1:CG61"/>
  <sheetViews>
    <sheetView zoomScale="85" zoomScaleNormal="85" workbookViewId="0">
      <selection activeCell="H28" sqref="H28"/>
    </sheetView>
  </sheetViews>
  <sheetFormatPr defaultColWidth="8.7265625" defaultRowHeight="15.5" x14ac:dyDescent="0.35"/>
  <cols>
    <col min="1" max="2" width="0.81640625" style="181" customWidth="1"/>
    <col min="3" max="3" width="3.7265625" style="191" customWidth="1"/>
    <col min="4" max="4" width="37.1796875" style="191" customWidth="1"/>
    <col min="5" max="7" width="13.81640625" style="191" customWidth="1"/>
    <col min="8" max="8" width="16.453125" style="191" customWidth="1"/>
    <col min="9" max="11" width="13.81640625" style="191" customWidth="1"/>
    <col min="12" max="12" width="16.1796875" style="191" bestFit="1" customWidth="1"/>
    <col min="13" max="15" width="13.81640625" style="191" customWidth="1"/>
    <col min="16" max="16" width="16.453125" style="191" customWidth="1"/>
    <col min="17" max="19" width="13.81640625" style="191" customWidth="1"/>
    <col min="20" max="20" width="16.1796875" style="191" bestFit="1" customWidth="1"/>
    <col min="21" max="23" width="13.81640625" style="191" customWidth="1"/>
    <col min="24" max="24" width="16.453125" style="191" customWidth="1"/>
    <col min="25" max="27" width="13.81640625" style="191" customWidth="1"/>
    <col min="28" max="28" width="16.1796875" style="191" bestFit="1" customWidth="1"/>
    <col min="29" max="31" width="13.81640625" style="191" customWidth="1"/>
    <col min="32" max="32" width="16.453125" style="191" customWidth="1"/>
    <col min="33" max="35" width="13.81640625" style="191" customWidth="1"/>
    <col min="36" max="36" width="16.1796875" style="191" bestFit="1" customWidth="1"/>
    <col min="37" max="39" width="13.81640625" style="191" customWidth="1"/>
    <col min="40" max="40" width="16.453125" style="191" customWidth="1"/>
    <col min="41" max="43" width="13.81640625" style="191" customWidth="1"/>
    <col min="44" max="44" width="16.1796875" style="191" bestFit="1" customWidth="1"/>
    <col min="45" max="47" width="13.81640625" style="191" customWidth="1"/>
    <col min="48" max="48" width="16.453125" style="191" customWidth="1"/>
    <col min="49" max="51" width="13.81640625" style="191" customWidth="1"/>
    <col min="52" max="52" width="16.1796875" style="191" bestFit="1" customWidth="1"/>
    <col min="53" max="55" width="13.81640625" style="191" customWidth="1"/>
    <col min="56" max="56" width="16.453125" style="191" customWidth="1"/>
    <col min="57" max="59" width="13.81640625" style="191" customWidth="1"/>
    <col min="60" max="60" width="16.1796875" style="191" bestFit="1" customWidth="1"/>
    <col min="61" max="63" width="13.81640625" style="191" customWidth="1"/>
    <col min="64" max="64" width="16.453125" style="191" customWidth="1"/>
    <col min="65" max="67" width="13.81640625" style="191" customWidth="1"/>
    <col min="68" max="68" width="16.1796875" style="191" bestFit="1" customWidth="1"/>
    <col min="69" max="71" width="13.81640625" style="191" customWidth="1"/>
    <col min="72" max="72" width="16.453125" style="191" customWidth="1"/>
    <col min="73" max="75" width="13.81640625" style="191" customWidth="1"/>
    <col min="76" max="76" width="16.1796875" style="191" bestFit="1" customWidth="1"/>
    <col min="77" max="78" width="13.81640625" style="191" customWidth="1"/>
    <col min="79" max="79" width="14" style="191" customWidth="1"/>
    <col min="80" max="80" width="1.26953125" style="181" customWidth="1"/>
    <col min="81" max="81" width="13.81640625" style="191" customWidth="1"/>
    <col min="82" max="83" width="1.26953125" style="181" customWidth="1"/>
    <col min="84" max="16384" width="8.7265625" style="191"/>
  </cols>
  <sheetData>
    <row r="1" spans="1:83" s="181" customFormat="1" ht="7.5" customHeight="1" x14ac:dyDescent="0.35">
      <c r="A1" s="178"/>
      <c r="B1" s="178"/>
      <c r="C1" s="179"/>
      <c r="D1" s="180"/>
      <c r="E1" s="180"/>
      <c r="F1" s="180"/>
      <c r="G1" s="180"/>
      <c r="H1" s="180"/>
      <c r="I1" s="180"/>
      <c r="K1" s="180"/>
      <c r="L1" s="180"/>
      <c r="O1" s="180"/>
      <c r="P1" s="180"/>
      <c r="Q1" s="180"/>
      <c r="R1" s="180"/>
      <c r="T1" s="180"/>
      <c r="Y1" s="180"/>
      <c r="CB1" s="180"/>
      <c r="CD1" s="180"/>
      <c r="CE1" s="180"/>
    </row>
    <row r="2" spans="1:83" s="186" customFormat="1" ht="21.5" thickBot="1" x14ac:dyDescent="0.55000000000000004">
      <c r="A2" s="182"/>
      <c r="B2" s="182"/>
      <c r="C2" s="183" t="str">
        <f xml:space="preserve"> "Project " &amp; 'Master Inputs'!D8 &amp; " - NOPLAY Capitalization Table"</f>
        <v>Project MODEL - NOPLAY Capitalization Table</v>
      </c>
      <c r="D2" s="18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4"/>
      <c r="W2" s="184"/>
      <c r="X2" s="184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2"/>
      <c r="CC2" s="185"/>
      <c r="CD2" s="182"/>
      <c r="CE2" s="182"/>
    </row>
    <row r="3" spans="1:83" s="26" customFormat="1" x14ac:dyDescent="0.35">
      <c r="C3" s="27" t="str">
        <f>'Cap Table'!C3</f>
        <v>Enter data in Yellow.  Leave it blank if not relevant or not available. Optional data enter in Light Blue cells.</v>
      </c>
      <c r="Q3" s="187" t="str">
        <f t="shared" ref="Q3:Q8" si="0">K6</f>
        <v>Seed</v>
      </c>
    </row>
    <row r="4" spans="1:83" s="181" customFormat="1" ht="8.15" customHeight="1" x14ac:dyDescent="0.35">
      <c r="A4" s="180"/>
      <c r="B4" s="180"/>
      <c r="C4" s="179"/>
      <c r="D4" s="180"/>
      <c r="E4" s="180"/>
      <c r="F4" s="180"/>
      <c r="G4" s="180"/>
      <c r="H4" s="180"/>
      <c r="I4" s="180"/>
      <c r="K4" s="180"/>
      <c r="L4" s="180"/>
      <c r="O4" s="180"/>
      <c r="P4" s="180"/>
      <c r="Q4" s="247" t="str">
        <f t="shared" si="0"/>
        <v>Series A</v>
      </c>
      <c r="R4" s="180"/>
      <c r="S4" s="202"/>
      <c r="T4" s="180"/>
      <c r="Y4" s="180"/>
      <c r="CB4" s="189"/>
      <c r="CD4" s="189"/>
      <c r="CE4" s="189"/>
    </row>
    <row r="5" spans="1:83" ht="15.75" customHeight="1" x14ac:dyDescent="0.35">
      <c r="A5" s="180"/>
      <c r="B5" s="180"/>
      <c r="C5" s="190"/>
      <c r="D5" s="190"/>
      <c r="E5" s="190"/>
      <c r="K5" s="1317" t="s">
        <v>19</v>
      </c>
      <c r="L5" s="1318"/>
      <c r="M5" s="1318"/>
      <c r="N5" s="1319"/>
      <c r="P5" s="196"/>
      <c r="Q5" s="247" t="str">
        <f t="shared" si="0"/>
        <v>Series B</v>
      </c>
      <c r="R5" s="196"/>
      <c r="S5" s="196"/>
      <c r="T5" s="196"/>
      <c r="CB5" s="180"/>
      <c r="CD5" s="180"/>
      <c r="CE5" s="180"/>
    </row>
    <row r="6" spans="1:83" ht="15.75" customHeight="1" x14ac:dyDescent="0.35">
      <c r="A6" s="191"/>
      <c r="B6" s="191"/>
      <c r="D6" s="197" t="s">
        <v>20</v>
      </c>
      <c r="E6" s="1356" t="s">
        <v>28</v>
      </c>
      <c r="F6" s="1357"/>
      <c r="K6" s="193" t="str">
        <f>H13</f>
        <v>Seed</v>
      </c>
      <c r="L6" s="194" t="e">
        <f>(H$40+I$40)/$BY$40</f>
        <v>#DIV/0!</v>
      </c>
      <c r="M6" s="195" t="str">
        <f>BD13</f>
        <v>Series E-1</v>
      </c>
      <c r="N6" s="194" t="e">
        <f>(BD40+BE40)/$BY$40</f>
        <v>#DIV/0!</v>
      </c>
      <c r="P6" s="196"/>
      <c r="Q6" s="247" t="str">
        <f t="shared" si="0"/>
        <v>Series C</v>
      </c>
      <c r="R6" s="196"/>
      <c r="S6" s="196"/>
      <c r="T6" s="196"/>
      <c r="AK6" s="201"/>
      <c r="AL6" s="201"/>
      <c r="CB6" s="180"/>
      <c r="CD6" s="180"/>
      <c r="CE6" s="180"/>
    </row>
    <row r="7" spans="1:83" ht="15.75" customHeight="1" x14ac:dyDescent="0.35">
      <c r="A7" s="202"/>
      <c r="B7" s="202"/>
      <c r="D7" s="197" t="str">
        <f>"DTC Ventures Investment in "&amp;E6</f>
        <v>DTC Ventures Investment in Series A</v>
      </c>
      <c r="E7" s="1358">
        <f>'Cap Table'!E7:F7</f>
        <v>0</v>
      </c>
      <c r="F7" s="1359"/>
      <c r="K7" s="198" t="str">
        <f>P13</f>
        <v>Series A</v>
      </c>
      <c r="L7" s="199" t="e">
        <f>(P$40+Q$40)/$BY$40</f>
        <v>#DIV/0!</v>
      </c>
      <c r="M7" s="200" t="str">
        <f>BL13</f>
        <v>Series F</v>
      </c>
      <c r="N7" s="199" t="e">
        <f>(J$40+K$40)/$BY$40</f>
        <v>#DIV/0!</v>
      </c>
      <c r="P7" s="196"/>
      <c r="Q7" s="247" t="str">
        <f t="shared" si="0"/>
        <v>Series D</v>
      </c>
      <c r="R7" s="196"/>
      <c r="S7" s="196"/>
      <c r="T7" s="196"/>
      <c r="AK7" s="201"/>
      <c r="AL7" s="201"/>
      <c r="CB7" s="180"/>
      <c r="CD7" s="180"/>
      <c r="CE7" s="180"/>
    </row>
    <row r="8" spans="1:83" ht="15.75" customHeight="1" x14ac:dyDescent="0.35">
      <c r="A8" s="180"/>
      <c r="B8" s="180"/>
      <c r="D8" s="197" t="s">
        <v>22</v>
      </c>
      <c r="E8" s="1358">
        <f>'Cap Table'!E8:F8</f>
        <v>0</v>
      </c>
      <c r="F8" s="1359"/>
      <c r="K8" s="198" t="str">
        <f>X13</f>
        <v>Series B</v>
      </c>
      <c r="L8" s="199" t="e">
        <f>(X$40+Y$40)/$BY$40</f>
        <v>#DIV/0!</v>
      </c>
      <c r="M8" s="198" t="str">
        <f>BT13</f>
        <v>Series G</v>
      </c>
      <c r="N8" s="199" t="e">
        <f>(BT40+BU40)/$BY$40</f>
        <v>#DIV/0!</v>
      </c>
      <c r="P8" s="196"/>
      <c r="Q8" s="247" t="str">
        <f t="shared" si="0"/>
        <v>Series E</v>
      </c>
      <c r="R8" s="196"/>
      <c r="S8" s="196"/>
      <c r="T8" s="196"/>
      <c r="AK8" s="201"/>
      <c r="AL8" s="201"/>
      <c r="CB8" s="203"/>
      <c r="CD8" s="203"/>
      <c r="CE8" s="203"/>
    </row>
    <row r="9" spans="1:83" ht="15.75" customHeight="1" x14ac:dyDescent="0.35">
      <c r="A9" s="180"/>
      <c r="B9" s="180"/>
      <c r="D9" s="197" t="str">
        <f>"Total "&amp;E6&amp;" Funding Round"</f>
        <v>Total Series A Funding Round</v>
      </c>
      <c r="E9" s="1358">
        <f>'Cap Table'!E9:F9</f>
        <v>0</v>
      </c>
      <c r="F9" s="1359"/>
      <c r="K9" s="198" t="str">
        <f>AF13</f>
        <v>Series C</v>
      </c>
      <c r="L9" s="199" t="e">
        <f>(AF$40+AG$40)/$BY$40</f>
        <v>#DIV/0!</v>
      </c>
      <c r="M9" s="198" t="s">
        <v>23</v>
      </c>
      <c r="N9" s="199" t="e">
        <f>E$40/$BY$40</f>
        <v>#DIV/0!</v>
      </c>
      <c r="P9" s="196"/>
      <c r="Q9" s="187" t="str">
        <f>M6</f>
        <v>Series E-1</v>
      </c>
      <c r="R9" s="196"/>
      <c r="S9" s="196"/>
      <c r="T9" s="196"/>
      <c r="AK9" s="201"/>
      <c r="AL9" s="201"/>
      <c r="CB9" s="180"/>
      <c r="CD9" s="180"/>
      <c r="CE9" s="180"/>
    </row>
    <row r="10" spans="1:83" ht="15.65" customHeight="1" x14ac:dyDescent="0.35">
      <c r="A10" s="180"/>
      <c r="B10" s="180"/>
      <c r="D10" s="197" t="s">
        <v>25</v>
      </c>
      <c r="E10" s="1354">
        <f>IF(E6=H13,H16*M40,(IF(E6=P13,P16*U40,(IF(E6=X13,X16*AC40,(IF(E6=AF13,AF16*AK40,(IF(E6=AN13,AN16*AS40,(IF(E6=AV13,AV16*BA40,(IF(E6=BD13,BD16*BI40,(IF(E6=BL13,BL16*BQ40,(IF(E6=BT13,BT16*BY40,0)))))))))))))))))</f>
        <v>0</v>
      </c>
      <c r="F10" s="1355"/>
      <c r="G10" s="204"/>
      <c r="K10" s="198" t="str">
        <f>AN13</f>
        <v>Series D</v>
      </c>
      <c r="L10" s="199" t="e">
        <f>(AN$40+AO$40)/$BY$40</f>
        <v>#DIV/0!</v>
      </c>
      <c r="M10" s="198" t="s">
        <v>24</v>
      </c>
      <c r="N10" s="199" t="e">
        <f>F$40/$BY$40</f>
        <v>#DIV/0!</v>
      </c>
      <c r="P10" s="196"/>
      <c r="Q10" s="187" t="str">
        <f>M7</f>
        <v>Series F</v>
      </c>
      <c r="R10" s="196"/>
      <c r="S10" s="196"/>
      <c r="T10" s="196"/>
      <c r="AK10" s="201"/>
      <c r="AL10" s="201"/>
      <c r="CB10" s="180"/>
      <c r="CD10" s="180"/>
      <c r="CE10" s="180"/>
    </row>
    <row r="11" spans="1:83" x14ac:dyDescent="0.35">
      <c r="A11" s="37"/>
      <c r="B11" s="37"/>
      <c r="D11" s="207" t="s">
        <v>27</v>
      </c>
      <c r="E11" s="1324" t="str">
        <f>IF(ROUND(E10,-2)=ROUND((E8+E9),-2),"ok", "Review")</f>
        <v>ok</v>
      </c>
      <c r="F11" s="1324"/>
      <c r="G11" s="208"/>
      <c r="K11" s="205" t="str">
        <f>AV13</f>
        <v>Series E</v>
      </c>
      <c r="L11" s="206" t="e">
        <f>(AV$40+AW$40)/$BY$40</f>
        <v>#DIV/0!</v>
      </c>
      <c r="M11" s="205" t="s">
        <v>26</v>
      </c>
      <c r="N11" s="206" t="e">
        <f>G$40/$BY$40</f>
        <v>#DIV/0!</v>
      </c>
      <c r="P11" s="196"/>
      <c r="Q11" s="247" t="str">
        <f>M8</f>
        <v>Series G</v>
      </c>
      <c r="R11" s="196"/>
      <c r="S11" s="196"/>
      <c r="T11" s="209"/>
      <c r="X11" s="190"/>
      <c r="Y11" s="192"/>
      <c r="Z11" s="192"/>
      <c r="AA11" s="192"/>
      <c r="AB11" s="192"/>
      <c r="AK11" s="201"/>
      <c r="AL11" s="201"/>
      <c r="BD11" s="210"/>
      <c r="BL11" s="210"/>
      <c r="BN11" s="210"/>
      <c r="CB11" s="180"/>
      <c r="CD11" s="180"/>
      <c r="CE11" s="180"/>
    </row>
    <row r="12" spans="1:83" ht="15.75" customHeight="1" x14ac:dyDescent="0.35">
      <c r="A12" s="37"/>
      <c r="B12" s="37"/>
      <c r="H12" s="226"/>
      <c r="P12" s="196"/>
      <c r="Q12" s="196"/>
      <c r="R12" s="196"/>
      <c r="S12" s="196"/>
      <c r="T12" s="209"/>
      <c r="X12" s="190"/>
      <c r="Y12" s="192"/>
      <c r="Z12" s="192"/>
      <c r="AA12" s="192"/>
      <c r="AB12" s="192"/>
      <c r="AK12" s="201"/>
      <c r="AL12" s="201"/>
      <c r="CB12" s="180"/>
      <c r="CD12" s="180"/>
      <c r="CE12" s="180"/>
    </row>
    <row r="13" spans="1:83" s="211" customFormat="1" ht="15.75" customHeight="1" x14ac:dyDescent="0.35">
      <c r="A13" s="212"/>
      <c r="B13" s="212"/>
      <c r="G13" s="213"/>
      <c r="H13" s="1352" t="str">
        <f>'Cap Table'!H13</f>
        <v>Seed</v>
      </c>
      <c r="I13" s="1353">
        <v>0</v>
      </c>
      <c r="J13" s="1353">
        <v>0</v>
      </c>
      <c r="K13" s="1353">
        <v>0</v>
      </c>
      <c r="L13" s="1353">
        <v>0</v>
      </c>
      <c r="M13" s="1353">
        <v>0</v>
      </c>
      <c r="N13" s="1353"/>
      <c r="O13" s="1353">
        <v>0</v>
      </c>
      <c r="P13" s="1352" t="str">
        <f>'Cap Table'!P13</f>
        <v>Series A</v>
      </c>
      <c r="Q13" s="1353">
        <v>0</v>
      </c>
      <c r="R13" s="1353">
        <v>0</v>
      </c>
      <c r="S13" s="1353">
        <v>0</v>
      </c>
      <c r="T13" s="1353">
        <v>0</v>
      </c>
      <c r="U13" s="1353">
        <v>0</v>
      </c>
      <c r="V13" s="1353">
        <v>0</v>
      </c>
      <c r="W13" s="1353">
        <v>0</v>
      </c>
      <c r="X13" s="1352" t="str">
        <f>'Cap Table'!X13</f>
        <v>Series B</v>
      </c>
      <c r="Y13" s="1353">
        <v>0</v>
      </c>
      <c r="Z13" s="1353">
        <v>0</v>
      </c>
      <c r="AA13" s="1353">
        <v>0</v>
      </c>
      <c r="AB13" s="1353">
        <v>0</v>
      </c>
      <c r="AC13" s="1353">
        <v>0</v>
      </c>
      <c r="AD13" s="1353">
        <v>0</v>
      </c>
      <c r="AE13" s="1353">
        <v>0</v>
      </c>
      <c r="AF13" s="1352" t="str">
        <f>'Cap Table'!AF13</f>
        <v>Series C</v>
      </c>
      <c r="AG13" s="1353">
        <v>0</v>
      </c>
      <c r="AH13" s="1353">
        <v>0</v>
      </c>
      <c r="AI13" s="1353">
        <v>0</v>
      </c>
      <c r="AJ13" s="1353">
        <v>0</v>
      </c>
      <c r="AK13" s="1353">
        <v>0</v>
      </c>
      <c r="AL13" s="1353">
        <v>0</v>
      </c>
      <c r="AM13" s="1353">
        <v>0</v>
      </c>
      <c r="AN13" s="1352" t="str">
        <f>'Cap Table'!AN13</f>
        <v>Series D</v>
      </c>
      <c r="AO13" s="1353">
        <v>0</v>
      </c>
      <c r="AP13" s="1353">
        <v>0</v>
      </c>
      <c r="AQ13" s="1353">
        <v>0</v>
      </c>
      <c r="AR13" s="1353">
        <v>0</v>
      </c>
      <c r="AS13" s="1353">
        <v>0</v>
      </c>
      <c r="AT13" s="1353">
        <v>0</v>
      </c>
      <c r="AU13" s="1353">
        <v>0</v>
      </c>
      <c r="AV13" s="1352" t="str">
        <f>'Cap Table'!AV13</f>
        <v>Series E</v>
      </c>
      <c r="AW13" s="1353">
        <v>0</v>
      </c>
      <c r="AX13" s="1353">
        <v>0</v>
      </c>
      <c r="AY13" s="1353">
        <v>0</v>
      </c>
      <c r="AZ13" s="1353">
        <v>0</v>
      </c>
      <c r="BA13" s="1353">
        <v>0</v>
      </c>
      <c r="BB13" s="1353">
        <v>0</v>
      </c>
      <c r="BC13" s="1353">
        <v>0</v>
      </c>
      <c r="BD13" s="1352" t="str">
        <f>'Cap Table'!BD13</f>
        <v>Series E-1</v>
      </c>
      <c r="BE13" s="1353">
        <v>0</v>
      </c>
      <c r="BF13" s="1353">
        <v>0</v>
      </c>
      <c r="BG13" s="1353">
        <v>0</v>
      </c>
      <c r="BH13" s="1353">
        <v>0</v>
      </c>
      <c r="BI13" s="1353">
        <v>0</v>
      </c>
      <c r="BJ13" s="1353">
        <v>0</v>
      </c>
      <c r="BK13" s="1353">
        <v>0</v>
      </c>
      <c r="BL13" s="1352" t="str">
        <f>'Cap Table'!BL13</f>
        <v>Series F</v>
      </c>
      <c r="BM13" s="1353">
        <v>0</v>
      </c>
      <c r="BN13" s="1353">
        <v>0</v>
      </c>
      <c r="BO13" s="1353">
        <v>0</v>
      </c>
      <c r="BP13" s="1353">
        <v>0</v>
      </c>
      <c r="BQ13" s="1353">
        <v>0</v>
      </c>
      <c r="BR13" s="1353">
        <v>0</v>
      </c>
      <c r="BS13" s="1353">
        <v>0</v>
      </c>
      <c r="BT13" s="1352" t="str">
        <f>'Cap Table'!BT13</f>
        <v>Series G</v>
      </c>
      <c r="BU13" s="1353">
        <v>0</v>
      </c>
      <c r="BV13" s="1353">
        <v>0</v>
      </c>
      <c r="BW13" s="1353">
        <v>0</v>
      </c>
      <c r="BX13" s="1353">
        <v>0</v>
      </c>
      <c r="BY13" s="1353">
        <v>0</v>
      </c>
      <c r="BZ13" s="1353">
        <v>0</v>
      </c>
      <c r="CA13" s="1353">
        <v>0</v>
      </c>
      <c r="CB13" s="180"/>
      <c r="CC13" s="214"/>
      <c r="CD13" s="180"/>
      <c r="CE13" s="180"/>
    </row>
    <row r="14" spans="1:83" ht="15.75" customHeight="1" x14ac:dyDescent="0.35">
      <c r="D14" s="273"/>
      <c r="H14" s="1351" t="str">
        <f>'Cap Table'!H14</f>
        <v>[Date]</v>
      </c>
      <c r="I14" s="1351">
        <v>0</v>
      </c>
      <c r="J14" s="1351">
        <v>0</v>
      </c>
      <c r="K14" s="1351">
        <v>0</v>
      </c>
      <c r="L14" s="1351">
        <v>0</v>
      </c>
      <c r="M14" s="1351">
        <v>0</v>
      </c>
      <c r="N14" s="1351"/>
      <c r="O14" s="1351">
        <v>0</v>
      </c>
      <c r="P14" s="1350" t="str">
        <f>'Cap Table'!P14</f>
        <v>[Date]</v>
      </c>
      <c r="Q14" s="1351">
        <v>0</v>
      </c>
      <c r="R14" s="1351">
        <v>0</v>
      </c>
      <c r="S14" s="1351">
        <v>0</v>
      </c>
      <c r="T14" s="1351">
        <v>0</v>
      </c>
      <c r="U14" s="1351">
        <v>0</v>
      </c>
      <c r="V14" s="1351">
        <v>0</v>
      </c>
      <c r="W14" s="1351">
        <v>0</v>
      </c>
      <c r="X14" s="1350" t="str">
        <f>'Cap Table'!X14</f>
        <v>[Date]</v>
      </c>
      <c r="Y14" s="1351">
        <v>0</v>
      </c>
      <c r="Z14" s="1351">
        <v>0</v>
      </c>
      <c r="AA14" s="1351">
        <v>0</v>
      </c>
      <c r="AB14" s="1351">
        <v>0</v>
      </c>
      <c r="AC14" s="1351">
        <v>0</v>
      </c>
      <c r="AD14" s="1351">
        <v>0</v>
      </c>
      <c r="AE14" s="1351">
        <v>0</v>
      </c>
      <c r="AF14" s="1350" t="str">
        <f>'Cap Table'!AF14</f>
        <v>[Date]</v>
      </c>
      <c r="AG14" s="1351">
        <v>0</v>
      </c>
      <c r="AH14" s="1351">
        <v>0</v>
      </c>
      <c r="AI14" s="1351">
        <v>0</v>
      </c>
      <c r="AJ14" s="1351">
        <v>0</v>
      </c>
      <c r="AK14" s="1351">
        <v>0</v>
      </c>
      <c r="AL14" s="1351">
        <v>0</v>
      </c>
      <c r="AM14" s="1351">
        <v>0</v>
      </c>
      <c r="AN14" s="1350" t="str">
        <f>'Cap Table'!AN14</f>
        <v>[Date]</v>
      </c>
      <c r="AO14" s="1351">
        <v>0</v>
      </c>
      <c r="AP14" s="1351">
        <v>0</v>
      </c>
      <c r="AQ14" s="1351">
        <v>0</v>
      </c>
      <c r="AR14" s="1351">
        <v>0</v>
      </c>
      <c r="AS14" s="1351">
        <v>0</v>
      </c>
      <c r="AT14" s="1351">
        <v>0</v>
      </c>
      <c r="AU14" s="1351">
        <v>0</v>
      </c>
      <c r="AV14" s="1350" t="str">
        <f>'Cap Table'!AV14</f>
        <v>[Date]</v>
      </c>
      <c r="AW14" s="1351">
        <v>0</v>
      </c>
      <c r="AX14" s="1351">
        <v>0</v>
      </c>
      <c r="AY14" s="1351">
        <v>0</v>
      </c>
      <c r="AZ14" s="1351">
        <v>0</v>
      </c>
      <c r="BA14" s="1351">
        <v>0</v>
      </c>
      <c r="BB14" s="1351">
        <v>0</v>
      </c>
      <c r="BC14" s="1351">
        <v>0</v>
      </c>
      <c r="BD14" s="1350" t="str">
        <f>'Cap Table'!BD14</f>
        <v>[Date]</v>
      </c>
      <c r="BE14" s="1351">
        <v>0</v>
      </c>
      <c r="BF14" s="1351">
        <v>0</v>
      </c>
      <c r="BG14" s="1351">
        <v>0</v>
      </c>
      <c r="BH14" s="1351">
        <v>0</v>
      </c>
      <c r="BI14" s="1351">
        <v>0</v>
      </c>
      <c r="BJ14" s="1351">
        <v>0</v>
      </c>
      <c r="BK14" s="1351">
        <v>0</v>
      </c>
      <c r="BL14" s="1350" t="str">
        <f>'Cap Table'!BL14</f>
        <v>[Date]</v>
      </c>
      <c r="BM14" s="1351">
        <v>0</v>
      </c>
      <c r="BN14" s="1351">
        <v>0</v>
      </c>
      <c r="BO14" s="1351">
        <v>0</v>
      </c>
      <c r="BP14" s="1351">
        <v>0</v>
      </c>
      <c r="BQ14" s="1351">
        <v>0</v>
      </c>
      <c r="BR14" s="1351">
        <v>0</v>
      </c>
      <c r="BS14" s="1351">
        <v>0</v>
      </c>
      <c r="BT14" s="1350" t="str">
        <f>'Cap Table'!BT14</f>
        <v>[Date]</v>
      </c>
      <c r="BU14" s="1351">
        <v>0</v>
      </c>
      <c r="BV14" s="1351">
        <v>0</v>
      </c>
      <c r="BW14" s="1351">
        <v>0</v>
      </c>
      <c r="BX14" s="1351">
        <v>0</v>
      </c>
      <c r="BY14" s="1351">
        <v>0</v>
      </c>
      <c r="BZ14" s="1351">
        <v>0</v>
      </c>
      <c r="CA14" s="1351">
        <v>0</v>
      </c>
    </row>
    <row r="15" spans="1:83" s="214" customFormat="1" ht="48" customHeight="1" x14ac:dyDescent="0.35">
      <c r="A15" s="180"/>
      <c r="B15" s="180"/>
      <c r="C15" s="217"/>
      <c r="D15" s="711"/>
      <c r="E15" s="711" t="s">
        <v>23</v>
      </c>
      <c r="F15" s="711" t="s">
        <v>24</v>
      </c>
      <c r="G15" s="711" t="s">
        <v>37</v>
      </c>
      <c r="H15" s="267" t="str">
        <f>$H$13&amp;" Preferred"</f>
        <v>Seed Preferred</v>
      </c>
      <c r="I15" s="711" t="str">
        <f>$H$13&amp;" Warrants"</f>
        <v>Seed Warrants</v>
      </c>
      <c r="J15" s="711" t="str">
        <f>$H$13&amp;"      $$ Invested"</f>
        <v>Seed      $$ Invested</v>
      </c>
      <c r="K15" s="711" t="str">
        <f>$H$13&amp;" Preferred  %"</f>
        <v>Seed Preferred  %</v>
      </c>
      <c r="L15" s="711" t="s">
        <v>219</v>
      </c>
      <c r="M15" s="711" t="s">
        <v>39</v>
      </c>
      <c r="N15" s="711" t="s">
        <v>220</v>
      </c>
      <c r="O15" s="711" t="s">
        <v>41</v>
      </c>
      <c r="P15" s="267" t="str">
        <f>P13&amp;" Preferred"</f>
        <v>Series A Preferred</v>
      </c>
      <c r="Q15" s="711" t="str">
        <f>P13&amp;" Warrants"</f>
        <v>Series A Warrants</v>
      </c>
      <c r="R15" s="711" t="str">
        <f>P13&amp;"      $$ Invested"</f>
        <v>Series A      $$ Invested</v>
      </c>
      <c r="S15" s="711" t="str">
        <f>P13&amp;" Preferred  %"</f>
        <v>Series A Preferred  %</v>
      </c>
      <c r="T15" s="711" t="s">
        <v>219</v>
      </c>
      <c r="U15" s="711" t="s">
        <v>39</v>
      </c>
      <c r="V15" s="711" t="s">
        <v>220</v>
      </c>
      <c r="W15" s="711" t="s">
        <v>41</v>
      </c>
      <c r="X15" s="267" t="str">
        <f>X13&amp;" Preferred"</f>
        <v>Series B Preferred</v>
      </c>
      <c r="Y15" s="711" t="str">
        <f>X13&amp;" Warrants"</f>
        <v>Series B Warrants</v>
      </c>
      <c r="Z15" s="711" t="str">
        <f>X13&amp;"      $$ Invested"</f>
        <v>Series B      $$ Invested</v>
      </c>
      <c r="AA15" s="711" t="str">
        <f>X13&amp;" Preferred  %"</f>
        <v>Series B Preferred  %</v>
      </c>
      <c r="AB15" s="711" t="s">
        <v>219</v>
      </c>
      <c r="AC15" s="711" t="s">
        <v>39</v>
      </c>
      <c r="AD15" s="711" t="s">
        <v>220</v>
      </c>
      <c r="AE15" s="711" t="s">
        <v>41</v>
      </c>
      <c r="AF15" s="267" t="str">
        <f>AF13&amp;" Preferred"</f>
        <v>Series C Preferred</v>
      </c>
      <c r="AG15" s="711" t="str">
        <f>AF13&amp;" Warrants"</f>
        <v>Series C Warrants</v>
      </c>
      <c r="AH15" s="711" t="str">
        <f>AF13&amp;"      $$ Invested"</f>
        <v>Series C      $$ Invested</v>
      </c>
      <c r="AI15" s="711" t="str">
        <f>AF13&amp;" Preferred  %"</f>
        <v>Series C Preferred  %</v>
      </c>
      <c r="AJ15" s="711" t="s">
        <v>219</v>
      </c>
      <c r="AK15" s="711" t="s">
        <v>39</v>
      </c>
      <c r="AL15" s="711" t="s">
        <v>220</v>
      </c>
      <c r="AM15" s="711" t="s">
        <v>41</v>
      </c>
      <c r="AN15" s="267" t="str">
        <f>AN13&amp;" Preferred"</f>
        <v>Series D Preferred</v>
      </c>
      <c r="AO15" s="711" t="str">
        <f>AN13&amp;" Warrants"</f>
        <v>Series D Warrants</v>
      </c>
      <c r="AP15" s="711" t="str">
        <f>AN13&amp;"      $$ Invested"</f>
        <v>Series D      $$ Invested</v>
      </c>
      <c r="AQ15" s="711" t="str">
        <f>AN13&amp;" Preferred  %"</f>
        <v>Series D Preferred  %</v>
      </c>
      <c r="AR15" s="711" t="s">
        <v>219</v>
      </c>
      <c r="AS15" s="711" t="s">
        <v>39</v>
      </c>
      <c r="AT15" s="711" t="s">
        <v>220</v>
      </c>
      <c r="AU15" s="711" t="s">
        <v>41</v>
      </c>
      <c r="AV15" s="267" t="str">
        <f>AV13&amp;" Preferred"</f>
        <v>Series E Preferred</v>
      </c>
      <c r="AW15" s="711" t="str">
        <f>AV13&amp;" Warrants"</f>
        <v>Series E Warrants</v>
      </c>
      <c r="AX15" s="711" t="str">
        <f>AV13&amp;"      $$ Invested (k)"</f>
        <v>Series E      $$ Invested (k)</v>
      </c>
      <c r="AY15" s="711" t="str">
        <f>AV13&amp;" Preferred  %"</f>
        <v>Series E Preferred  %</v>
      </c>
      <c r="AZ15" s="711" t="s">
        <v>219</v>
      </c>
      <c r="BA15" s="711" t="s">
        <v>39</v>
      </c>
      <c r="BB15" s="711" t="s">
        <v>220</v>
      </c>
      <c r="BC15" s="711" t="s">
        <v>41</v>
      </c>
      <c r="BD15" s="267" t="str">
        <f>BD13&amp;" Preferred"</f>
        <v>Series E-1 Preferred</v>
      </c>
      <c r="BE15" s="711" t="str">
        <f>BD13&amp;" Warrants"</f>
        <v>Series E-1 Warrants</v>
      </c>
      <c r="BF15" s="711" t="str">
        <f>BD13&amp;"      $$ Invested (k)"</f>
        <v>Series E-1      $$ Invested (k)</v>
      </c>
      <c r="BG15" s="711" t="str">
        <f>BD13&amp;" Preferred  %"</f>
        <v>Series E-1 Preferred  %</v>
      </c>
      <c r="BH15" s="711" t="s">
        <v>219</v>
      </c>
      <c r="BI15" s="711" t="s">
        <v>39</v>
      </c>
      <c r="BJ15" s="711" t="s">
        <v>220</v>
      </c>
      <c r="BK15" s="711" t="s">
        <v>41</v>
      </c>
      <c r="BL15" s="267" t="str">
        <f>BL13&amp;" Preferred"</f>
        <v>Series F Preferred</v>
      </c>
      <c r="BM15" s="711" t="str">
        <f>BL13&amp;" Warrants"</f>
        <v>Series F Warrants</v>
      </c>
      <c r="BN15" s="711" t="str">
        <f>BL13&amp;"      $$ Invested (k)"</f>
        <v>Series F      $$ Invested (k)</v>
      </c>
      <c r="BO15" s="711" t="str">
        <f>BL13&amp;" Preferred  %"</f>
        <v>Series F Preferred  %</v>
      </c>
      <c r="BP15" s="711" t="s">
        <v>219</v>
      </c>
      <c r="BQ15" s="711" t="s">
        <v>39</v>
      </c>
      <c r="BR15" s="711" t="s">
        <v>220</v>
      </c>
      <c r="BS15" s="711" t="s">
        <v>41</v>
      </c>
      <c r="BT15" s="267" t="str">
        <f>BT13&amp;" Preferred"</f>
        <v>Series G Preferred</v>
      </c>
      <c r="BU15" s="711" t="str">
        <f>BT13&amp;" Warrants"</f>
        <v>Series G Warrants</v>
      </c>
      <c r="BV15" s="711" t="str">
        <f>BT13&amp;"      $$ Invested"</f>
        <v>Series G      $$ Invested</v>
      </c>
      <c r="BW15" s="711" t="str">
        <f>BT13&amp;" Preferred  %"</f>
        <v>Series G Preferred  %</v>
      </c>
      <c r="BX15" s="711" t="s">
        <v>219</v>
      </c>
      <c r="BY15" s="711" t="s">
        <v>39</v>
      </c>
      <c r="BZ15" s="711" t="s">
        <v>220</v>
      </c>
      <c r="CA15" s="711" t="s">
        <v>41</v>
      </c>
      <c r="CB15" s="180"/>
      <c r="CC15" s="711" t="s">
        <v>42</v>
      </c>
      <c r="CD15" s="180"/>
      <c r="CE15" s="180"/>
    </row>
    <row r="16" spans="1:83" s="226" customFormat="1" ht="15.75" customHeight="1" x14ac:dyDescent="0.35">
      <c r="A16" s="180"/>
      <c r="B16" s="180"/>
      <c r="C16" s="218">
        <v>1</v>
      </c>
      <c r="D16" s="219" t="s">
        <v>43</v>
      </c>
      <c r="E16" s="191"/>
      <c r="F16" s="191"/>
      <c r="G16" s="191"/>
      <c r="H16" s="274" t="e">
        <f>'Cap Table'!H16</f>
        <v>#DIV/0!</v>
      </c>
      <c r="I16" s="274" t="e">
        <f>'Cap Table'!I16</f>
        <v>#DIV/0!</v>
      </c>
      <c r="J16" s="191"/>
      <c r="K16" s="191"/>
      <c r="L16" s="191"/>
      <c r="M16" s="191"/>
      <c r="N16" s="275"/>
      <c r="O16" s="276"/>
      <c r="P16" s="274">
        <f>'Cap Table'!P16</f>
        <v>0</v>
      </c>
      <c r="Q16" s="274">
        <f>'Cap Table'!Q16</f>
        <v>0</v>
      </c>
      <c r="R16" s="275"/>
      <c r="S16" s="275"/>
      <c r="T16" s="275"/>
      <c r="U16" s="275"/>
      <c r="V16" s="275"/>
      <c r="W16" s="275"/>
      <c r="X16" s="274">
        <f>'Cap Table'!X16</f>
        <v>0</v>
      </c>
      <c r="Y16" s="274">
        <f>'Cap Table'!Y16</f>
        <v>0</v>
      </c>
      <c r="Z16" s="275"/>
      <c r="AA16" s="275"/>
      <c r="AB16" s="275"/>
      <c r="AC16" s="275"/>
      <c r="AD16" s="275"/>
      <c r="AE16" s="275"/>
      <c r="AF16" s="274">
        <f>'Cap Table'!AF16</f>
        <v>0</v>
      </c>
      <c r="AG16" s="274">
        <f>'Cap Table'!AG16</f>
        <v>0</v>
      </c>
      <c r="AH16" s="275"/>
      <c r="AI16" s="275"/>
      <c r="AJ16" s="275"/>
      <c r="AK16" s="275"/>
      <c r="AL16" s="275"/>
      <c r="AM16" s="275"/>
      <c r="AN16" s="274">
        <f>'Cap Table'!AN16</f>
        <v>0</v>
      </c>
      <c r="AO16" s="274">
        <f>'Cap Table'!AO16</f>
        <v>0</v>
      </c>
      <c r="AP16" s="275"/>
      <c r="AQ16" s="275"/>
      <c r="AR16" s="275"/>
      <c r="AS16" s="275"/>
      <c r="AT16" s="275"/>
      <c r="AU16" s="275"/>
      <c r="AV16" s="274">
        <f>'Cap Table'!AV16</f>
        <v>0</v>
      </c>
      <c r="AW16" s="274">
        <f>'Cap Table'!AW16</f>
        <v>0</v>
      </c>
      <c r="AX16" s="275"/>
      <c r="AY16" s="275"/>
      <c r="AZ16" s="275"/>
      <c r="BA16" s="275"/>
      <c r="BB16" s="275"/>
      <c r="BC16" s="275"/>
      <c r="BD16" s="274">
        <f>'Cap Table'!BD16</f>
        <v>0</v>
      </c>
      <c r="BE16" s="274">
        <f>'Cap Table'!BE16</f>
        <v>0</v>
      </c>
      <c r="BF16" s="275"/>
      <c r="BG16" s="275"/>
      <c r="BH16" s="275"/>
      <c r="BI16" s="275"/>
      <c r="BJ16" s="275"/>
      <c r="BK16" s="275"/>
      <c r="BL16" s="274">
        <f>'Cap Table'!BL16</f>
        <v>0</v>
      </c>
      <c r="BM16" s="274">
        <f>'Cap Table'!BM16</f>
        <v>0</v>
      </c>
      <c r="BN16" s="275"/>
      <c r="BO16" s="275"/>
      <c r="BP16" s="275"/>
      <c r="BQ16" s="275"/>
      <c r="BR16" s="275"/>
      <c r="BS16" s="275"/>
      <c r="BT16" s="274">
        <f>'Cap Table'!BT16</f>
        <v>0</v>
      </c>
      <c r="BU16" s="274">
        <f>'Cap Table'!BU16</f>
        <v>0</v>
      </c>
      <c r="BV16" s="275"/>
      <c r="BW16" s="275"/>
      <c r="BX16" s="275"/>
      <c r="BY16" s="275"/>
      <c r="BZ16" s="275"/>
      <c r="CA16" s="277"/>
      <c r="CB16" s="180"/>
      <c r="CC16" s="278"/>
      <c r="CD16" s="180"/>
      <c r="CE16" s="180"/>
    </row>
    <row r="17" spans="1:85" s="226" customFormat="1" ht="15.75" customHeight="1" x14ac:dyDescent="0.35">
      <c r="A17" s="180"/>
      <c r="B17" s="180"/>
      <c r="C17" s="218">
        <v>2</v>
      </c>
      <c r="D17" s="219" t="s">
        <v>44</v>
      </c>
      <c r="E17" s="191"/>
      <c r="F17" s="191"/>
      <c r="G17" s="191"/>
      <c r="H17" s="279">
        <f>'Cap Table'!H17</f>
        <v>1</v>
      </c>
      <c r="I17" s="275"/>
      <c r="J17" s="275"/>
      <c r="K17" s="275"/>
      <c r="L17" s="275"/>
      <c r="M17" s="275"/>
      <c r="N17" s="275"/>
      <c r="O17" s="275"/>
      <c r="P17" s="279">
        <f>'Cap Table'!P17</f>
        <v>1</v>
      </c>
      <c r="Q17" s="275"/>
      <c r="R17" s="275"/>
      <c r="S17" s="275"/>
      <c r="T17" s="275"/>
      <c r="U17" s="275"/>
      <c r="V17" s="275"/>
      <c r="W17" s="275"/>
      <c r="X17" s="279">
        <f>'Cap Table'!X17</f>
        <v>1</v>
      </c>
      <c r="Y17" s="275"/>
      <c r="Z17" s="275"/>
      <c r="AA17" s="275"/>
      <c r="AB17" s="275"/>
      <c r="AC17" s="275"/>
      <c r="AD17" s="275"/>
      <c r="AE17" s="275"/>
      <c r="AF17" s="279">
        <f>'Cap Table'!AF17</f>
        <v>1</v>
      </c>
      <c r="AG17" s="275"/>
      <c r="AH17" s="275"/>
      <c r="AI17" s="275"/>
      <c r="AJ17" s="275"/>
      <c r="AK17" s="275"/>
      <c r="AL17" s="275"/>
      <c r="AM17" s="275"/>
      <c r="AN17" s="279">
        <f>'Cap Table'!AN17</f>
        <v>1</v>
      </c>
      <c r="AO17" s="275"/>
      <c r="AP17" s="275"/>
      <c r="AQ17" s="275"/>
      <c r="AR17" s="275"/>
      <c r="AS17" s="275"/>
      <c r="AT17" s="275"/>
      <c r="AU17" s="275"/>
      <c r="AV17" s="279">
        <f>'Cap Table'!AV17</f>
        <v>1</v>
      </c>
      <c r="AW17" s="275"/>
      <c r="AX17" s="275"/>
      <c r="AY17" s="275"/>
      <c r="AZ17" s="275"/>
      <c r="BA17" s="275"/>
      <c r="BB17" s="275"/>
      <c r="BC17" s="275"/>
      <c r="BD17" s="279">
        <f>'Cap Table'!BD17</f>
        <v>1</v>
      </c>
      <c r="BE17" s="275"/>
      <c r="BF17" s="275"/>
      <c r="BG17" s="275"/>
      <c r="BH17" s="275"/>
      <c r="BI17" s="275"/>
      <c r="BJ17" s="275"/>
      <c r="BK17" s="275"/>
      <c r="BL17" s="279">
        <f>'Cap Table'!BL17</f>
        <v>1</v>
      </c>
      <c r="BM17" s="275"/>
      <c r="BN17" s="275"/>
      <c r="BO17" s="275"/>
      <c r="BP17" s="275"/>
      <c r="BQ17" s="275"/>
      <c r="BR17" s="275"/>
      <c r="BS17" s="275"/>
      <c r="BT17" s="279">
        <f>'Cap Table'!BT17</f>
        <v>1</v>
      </c>
      <c r="BU17" s="275"/>
      <c r="BV17" s="275"/>
      <c r="BW17" s="275"/>
      <c r="BX17" s="275"/>
      <c r="BY17" s="275"/>
      <c r="BZ17" s="275"/>
      <c r="CA17" s="280"/>
      <c r="CB17" s="180"/>
      <c r="CC17" s="281"/>
      <c r="CD17" s="180"/>
      <c r="CE17" s="180"/>
    </row>
    <row r="18" spans="1:85" s="226" customFormat="1" ht="15.75" customHeight="1" x14ac:dyDescent="0.35">
      <c r="A18" s="180"/>
      <c r="B18" s="180"/>
      <c r="C18" s="218">
        <v>3</v>
      </c>
      <c r="D18" s="219" t="s">
        <v>45</v>
      </c>
      <c r="E18" s="282"/>
      <c r="F18" s="282"/>
      <c r="G18" s="282"/>
      <c r="H18" s="283">
        <f>'Cap Table'!H18</f>
        <v>3</v>
      </c>
      <c r="I18" s="284"/>
      <c r="J18" s="284"/>
      <c r="K18" s="284"/>
      <c r="L18" s="284"/>
      <c r="M18" s="284"/>
      <c r="N18" s="284"/>
      <c r="O18" s="284"/>
      <c r="P18" s="283">
        <f>'Cap Table'!P18</f>
        <v>3</v>
      </c>
      <c r="Q18" s="284"/>
      <c r="R18" s="284"/>
      <c r="S18" s="284"/>
      <c r="T18" s="284"/>
      <c r="U18" s="284"/>
      <c r="V18" s="284"/>
      <c r="W18" s="284"/>
      <c r="X18" s="283">
        <f>'Cap Table'!X18</f>
        <v>3</v>
      </c>
      <c r="Y18" s="284"/>
      <c r="Z18" s="284"/>
      <c r="AA18" s="284"/>
      <c r="AB18" s="284"/>
      <c r="AC18" s="284"/>
      <c r="AD18" s="284"/>
      <c r="AE18" s="284"/>
      <c r="AF18" s="283">
        <f>'Cap Table'!AF18</f>
        <v>3</v>
      </c>
      <c r="AG18" s="284"/>
      <c r="AH18" s="284"/>
      <c r="AI18" s="284"/>
      <c r="AJ18" s="284"/>
      <c r="AK18" s="284"/>
      <c r="AL18" s="284"/>
      <c r="AM18" s="284"/>
      <c r="AN18" s="283">
        <f>'Cap Table'!AN18</f>
        <v>3</v>
      </c>
      <c r="AO18" s="284"/>
      <c r="AP18" s="284"/>
      <c r="AQ18" s="284"/>
      <c r="AR18" s="284"/>
      <c r="AS18" s="284"/>
      <c r="AT18" s="284"/>
      <c r="AU18" s="284"/>
      <c r="AV18" s="283">
        <f>'Cap Table'!AV18</f>
        <v>3</v>
      </c>
      <c r="AW18" s="284"/>
      <c r="AX18" s="284"/>
      <c r="AY18" s="284"/>
      <c r="AZ18" s="284"/>
      <c r="BA18" s="284"/>
      <c r="BB18" s="284"/>
      <c r="BC18" s="284"/>
      <c r="BD18" s="283">
        <f>'Cap Table'!BD18</f>
        <v>3</v>
      </c>
      <c r="BE18" s="284"/>
      <c r="BF18" s="284"/>
      <c r="BG18" s="284"/>
      <c r="BH18" s="284"/>
      <c r="BI18" s="284"/>
      <c r="BJ18" s="284"/>
      <c r="BK18" s="284"/>
      <c r="BL18" s="283">
        <f>'Cap Table'!BL18</f>
        <v>3</v>
      </c>
      <c r="BM18" s="284"/>
      <c r="BN18" s="284"/>
      <c r="BO18" s="284"/>
      <c r="BP18" s="284"/>
      <c r="BQ18" s="284"/>
      <c r="BR18" s="284"/>
      <c r="BS18" s="284"/>
      <c r="BT18" s="283">
        <f>'Cap Table'!BT18</f>
        <v>3</v>
      </c>
      <c r="BU18" s="284"/>
      <c r="BV18" s="284"/>
      <c r="BW18" s="284"/>
      <c r="BX18" s="284"/>
      <c r="BY18" s="284"/>
      <c r="BZ18" s="284"/>
      <c r="CA18" s="285"/>
      <c r="CB18" s="233"/>
      <c r="CC18" s="286"/>
      <c r="CD18" s="180"/>
      <c r="CE18" s="180"/>
    </row>
    <row r="19" spans="1:85" s="181" customFormat="1" ht="7.5" customHeight="1" x14ac:dyDescent="0.35">
      <c r="A19" s="180"/>
      <c r="B19" s="180"/>
      <c r="C19" s="179"/>
      <c r="D19" s="180"/>
      <c r="E19" s="180"/>
      <c r="F19" s="180"/>
      <c r="G19" s="235"/>
      <c r="H19" s="180"/>
      <c r="I19" s="180"/>
      <c r="K19" s="180"/>
      <c r="L19" s="180"/>
      <c r="N19" s="180"/>
      <c r="O19" s="235"/>
      <c r="P19" s="180"/>
      <c r="Q19" s="180"/>
      <c r="S19" s="180"/>
      <c r="T19" s="180"/>
      <c r="V19" s="180"/>
      <c r="W19" s="235"/>
      <c r="X19" s="180"/>
      <c r="Y19" s="180"/>
      <c r="AA19" s="180"/>
      <c r="AB19" s="180"/>
      <c r="AD19" s="180"/>
      <c r="AE19" s="235"/>
      <c r="AF19" s="180"/>
      <c r="AG19" s="180"/>
      <c r="AI19" s="180"/>
      <c r="AJ19" s="180"/>
      <c r="AL19" s="180"/>
      <c r="AM19" s="235"/>
      <c r="AN19" s="180"/>
      <c r="AO19" s="180"/>
      <c r="AQ19" s="180"/>
      <c r="AR19" s="180"/>
      <c r="AT19" s="180"/>
      <c r="AU19" s="235"/>
      <c r="AV19" s="180"/>
      <c r="AW19" s="180"/>
      <c r="AY19" s="180"/>
      <c r="AZ19" s="180"/>
      <c r="BB19" s="180"/>
      <c r="BC19" s="235"/>
      <c r="BD19" s="180"/>
      <c r="BE19" s="180"/>
      <c r="BG19" s="180"/>
      <c r="BH19" s="180"/>
      <c r="BJ19" s="180"/>
      <c r="BK19" s="235"/>
      <c r="BL19" s="180"/>
      <c r="BM19" s="180"/>
      <c r="BO19" s="180"/>
      <c r="BP19" s="180"/>
      <c r="BR19" s="180"/>
      <c r="BS19" s="235"/>
      <c r="BT19" s="180"/>
      <c r="BU19" s="180"/>
      <c r="BW19" s="180"/>
      <c r="BX19" s="180"/>
      <c r="BZ19" s="180"/>
      <c r="CA19" s="235"/>
      <c r="CB19" s="180"/>
      <c r="CD19" s="180"/>
      <c r="CE19" s="180"/>
    </row>
    <row r="20" spans="1:85" ht="15.75" customHeight="1" x14ac:dyDescent="0.35">
      <c r="A20" s="180"/>
      <c r="B20" s="180"/>
      <c r="D20" s="236" t="s">
        <v>221</v>
      </c>
      <c r="E20" s="272">
        <f>'Cap Table'!E20</f>
        <v>0</v>
      </c>
      <c r="F20" s="272">
        <f>'Cap Table'!F20</f>
        <v>0</v>
      </c>
      <c r="G20" s="272">
        <f>'Cap Table'!G20</f>
        <v>0</v>
      </c>
      <c r="H20" s="287">
        <f>IFERROR(IF(#REF!=#REF!,'Cap Table'!H20,-(#REF!*1000000)/'NoPlay-Cap Table'!H16),0)</f>
        <v>0</v>
      </c>
      <c r="I20" s="287">
        <f>IFERROR(IF(#REF!=#REF!,'Cap Table'!I20,-(#REF!*1000000)/'NoPlay-Cap Table'!I16),0)</f>
        <v>0</v>
      </c>
      <c r="J20" s="272" t="e">
        <f t="shared" ref="J20:J30" si="1">H20*H$16+I20*I$16</f>
        <v>#DIV/0!</v>
      </c>
      <c r="K20" s="288">
        <f t="shared" ref="K20:K34" si="2">IF(H20=0,0,H20/H$40)</f>
        <v>0</v>
      </c>
      <c r="L20" s="272">
        <f>$H20</f>
        <v>0</v>
      </c>
      <c r="M20" s="272">
        <f>SUM($E20:$G20)+$H20+$I20</f>
        <v>0</v>
      </c>
      <c r="N20" s="288" t="e">
        <f t="shared" ref="N20:O34" si="3">L20/L$40</f>
        <v>#DIV/0!</v>
      </c>
      <c r="O20" s="288" t="e">
        <f t="shared" si="3"/>
        <v>#DIV/0!</v>
      </c>
      <c r="P20" s="287">
        <f>IFERROR(IF(#REF!=#REF!,'Cap Table'!P20,-(#REF!*1000000)/'NoPlay-Cap Table'!P16),0)</f>
        <v>0</v>
      </c>
      <c r="Q20" s="287">
        <f>IFERROR(IF(#REF!=#REF!,'Cap Table'!Q20,-(#REF!*1000000)/'NoPlay-Cap Table'!Q16),0)</f>
        <v>0</v>
      </c>
      <c r="R20" s="272">
        <f t="shared" ref="R20:R30" si="4">P20*P$16+Q20*Q$16</f>
        <v>0</v>
      </c>
      <c r="S20" s="288">
        <f t="shared" ref="S20:S34" si="5">IF(P20=0,0,P20/P$40)</f>
        <v>0</v>
      </c>
      <c r="T20" s="272">
        <f>L20+P20</f>
        <v>0</v>
      </c>
      <c r="U20" s="272">
        <f t="shared" ref="U20:U33" si="6">M20+P20+Q20</f>
        <v>0</v>
      </c>
      <c r="V20" s="288" t="e">
        <f t="shared" ref="V20:W34" si="7">T20/T$40</f>
        <v>#DIV/0!</v>
      </c>
      <c r="W20" s="288" t="e">
        <f t="shared" si="7"/>
        <v>#DIV/0!</v>
      </c>
      <c r="X20" s="287">
        <f>IFERROR(IF(#REF!=#REF!,'Cap Table'!X20,-(#REF!*1000000)/'NoPlay-Cap Table'!X16),0)</f>
        <v>0</v>
      </c>
      <c r="Y20" s="287">
        <f>IFERROR(IF(#REF!=#REF!,'Cap Table'!Y20,-(#REF!*1000000)/'NoPlay-Cap Table'!Y16),0)</f>
        <v>0</v>
      </c>
      <c r="Z20" s="272">
        <f t="shared" ref="Z20:Z30" si="8">X20*X$16+Y20*Y$16</f>
        <v>0</v>
      </c>
      <c r="AA20" s="288">
        <f t="shared" ref="AA20:AA34" si="9">IF(X20=0,0,X20/X$40)</f>
        <v>0</v>
      </c>
      <c r="AB20" s="272">
        <f>T20+X20</f>
        <v>0</v>
      </c>
      <c r="AC20" s="272">
        <f>U20+X20+Y20</f>
        <v>0</v>
      </c>
      <c r="AD20" s="288" t="e">
        <f t="shared" ref="AD20:AE34" si="10">AB20/AB$40</f>
        <v>#DIV/0!</v>
      </c>
      <c r="AE20" s="288" t="e">
        <f t="shared" si="10"/>
        <v>#DIV/0!</v>
      </c>
      <c r="AF20" s="287">
        <f>IFERROR(IF(#REF!=#REF!,'Cap Table'!AF20,-(#REF!*1000000)/'NoPlay-Cap Table'!AF16),0)</f>
        <v>0</v>
      </c>
      <c r="AG20" s="287">
        <f>IFERROR(IF(#REF!=#REF!,'Cap Table'!AG20,-(#REF!*1000000)/'NoPlay-Cap Table'!AG16),0)</f>
        <v>0</v>
      </c>
      <c r="AH20" s="272">
        <f t="shared" ref="AH20:AH30" si="11">AF20*AF$16+AG20*AG$16</f>
        <v>0</v>
      </c>
      <c r="AI20" s="288">
        <f t="shared" ref="AI20:AI34" si="12">IF(AF20=0,0,AF20/AF$40)</f>
        <v>0</v>
      </c>
      <c r="AJ20" s="272">
        <f>AB20+AF20</f>
        <v>0</v>
      </c>
      <c r="AK20" s="272">
        <f>AC20+AF20+AG20</f>
        <v>0</v>
      </c>
      <c r="AL20" s="288" t="e">
        <f t="shared" ref="AL20:AM34" si="13">AJ20/AJ$40</f>
        <v>#DIV/0!</v>
      </c>
      <c r="AM20" s="288" t="e">
        <f t="shared" si="13"/>
        <v>#DIV/0!</v>
      </c>
      <c r="AN20" s="287">
        <f>IFERROR(IF(#REF!=#REF!,'Cap Table'!AN20,-(#REF!*1000000)/'NoPlay-Cap Table'!AN16),0)</f>
        <v>0</v>
      </c>
      <c r="AO20" s="287">
        <f>IFERROR(IF(#REF!=#REF!,'Cap Table'!AO20,-(#REF!*1000000)/'NoPlay-Cap Table'!AO16),0)</f>
        <v>0</v>
      </c>
      <c r="AP20" s="272">
        <f t="shared" ref="AP20:AP30" si="14">AN20*AN$16+AO20*AO$16</f>
        <v>0</v>
      </c>
      <c r="AQ20" s="288">
        <f t="shared" ref="AQ20:AQ34" si="15">IF(AN20=0,0,AN20/AN$40)</f>
        <v>0</v>
      </c>
      <c r="AR20" s="272">
        <f>AJ20+AN20</f>
        <v>0</v>
      </c>
      <c r="AS20" s="272">
        <f>AK20+AN20+AO20</f>
        <v>0</v>
      </c>
      <c r="AT20" s="288" t="e">
        <f t="shared" ref="AT20:AU34" si="16">AR20/AR$40</f>
        <v>#DIV/0!</v>
      </c>
      <c r="AU20" s="288" t="e">
        <f t="shared" si="16"/>
        <v>#DIV/0!</v>
      </c>
      <c r="AV20" s="287">
        <f>IFERROR(IF(#REF!=#REF!,'Cap Table'!AV20,-(#REF!*1000000)/'NoPlay-Cap Table'!AV16),0)</f>
        <v>0</v>
      </c>
      <c r="AW20" s="287">
        <f>IFERROR(IF(#REF!=#REF!,'Cap Table'!AW20,-(#REF!*1000000)/'NoPlay-Cap Table'!AW16),0)</f>
        <v>0</v>
      </c>
      <c r="AX20" s="272">
        <f t="shared" ref="AX20:AX30" si="17">AV20*AV$16+AW20*AW$16</f>
        <v>0</v>
      </c>
      <c r="AY20" s="288">
        <f t="shared" ref="AY20:AY34" si="18">IF(AV20=0,0,AV20/AV$40)</f>
        <v>0</v>
      </c>
      <c r="AZ20" s="272">
        <f>AR20+AV20</f>
        <v>0</v>
      </c>
      <c r="BA20" s="272">
        <f>AS20+AV20+AW20</f>
        <v>0</v>
      </c>
      <c r="BB20" s="288" t="e">
        <f t="shared" ref="BB20:BC34" si="19">AZ20/AZ$40</f>
        <v>#DIV/0!</v>
      </c>
      <c r="BC20" s="288" t="e">
        <f t="shared" si="19"/>
        <v>#DIV/0!</v>
      </c>
      <c r="BD20" s="287">
        <f>IFERROR(IF(#REF!=#REF!,'Cap Table'!BD20,-(#REF!*1000000)/'NoPlay-Cap Table'!BD16),0)</f>
        <v>0</v>
      </c>
      <c r="BE20" s="287">
        <f>IFERROR(IF(#REF!=#REF!,'Cap Table'!BE20,-(#REF!*1000000)/'NoPlay-Cap Table'!BE16),0)</f>
        <v>0</v>
      </c>
      <c r="BF20" s="272">
        <f t="shared" ref="BF20:BF30" si="20">BD20*BD$16+BE20*BE$16</f>
        <v>0</v>
      </c>
      <c r="BG20" s="288">
        <f t="shared" ref="BG20:BG34" si="21">IF(BD20=0,0,BD20/BD$40)</f>
        <v>0</v>
      </c>
      <c r="BH20" s="272">
        <f>AZ20+BD20</f>
        <v>0</v>
      </c>
      <c r="BI20" s="272">
        <f>BA20+BD20+BE20</f>
        <v>0</v>
      </c>
      <c r="BJ20" s="288" t="e">
        <f t="shared" ref="BJ20:BK34" si="22">BH20/BH$40</f>
        <v>#DIV/0!</v>
      </c>
      <c r="BK20" s="288" t="e">
        <f t="shared" si="22"/>
        <v>#DIV/0!</v>
      </c>
      <c r="BL20" s="287">
        <f>IFERROR(IF(#REF!=#REF!,'Cap Table'!BL20,-(#REF!*1000000)/'NoPlay-Cap Table'!BL16),0)</f>
        <v>0</v>
      </c>
      <c r="BM20" s="287">
        <f>IFERROR(IF(#REF!=#REF!,'Cap Table'!BM20,-(#REF!*1000000)/'NoPlay-Cap Table'!BM16),0)</f>
        <v>0</v>
      </c>
      <c r="BN20" s="272">
        <f>BL20*BL$16+BM20*BM$16</f>
        <v>0</v>
      </c>
      <c r="BO20" s="288">
        <f t="shared" ref="BO20:BO34" si="23">IF(BL20=0,0,BL20/BL$40)</f>
        <v>0</v>
      </c>
      <c r="BP20" s="272">
        <f>BH20+BL20</f>
        <v>0</v>
      </c>
      <c r="BQ20" s="272">
        <f>BI20+BL20+BM20</f>
        <v>0</v>
      </c>
      <c r="BR20" s="288" t="e">
        <f t="shared" ref="BR20:BS34" si="24">BP20/BP$40</f>
        <v>#DIV/0!</v>
      </c>
      <c r="BS20" s="288" t="e">
        <f t="shared" si="24"/>
        <v>#DIV/0!</v>
      </c>
      <c r="BT20" s="287">
        <f>IFERROR(IF(#REF!=#REF!,'Cap Table'!BT20,-(#REF!*1000000)/'NoPlay-Cap Table'!BT16),0)</f>
        <v>0</v>
      </c>
      <c r="BU20" s="287">
        <f>IFERROR(IF(#REF!=#REF!,'Cap Table'!BU20,-(#REF!*1000000)/'NoPlay-Cap Table'!BU16),0)</f>
        <v>0</v>
      </c>
      <c r="BV20" s="272">
        <f t="shared" ref="BV20:BV30" si="25">BT20*BT$16+BU20*BU$16</f>
        <v>0</v>
      </c>
      <c r="BW20" s="288">
        <f t="shared" ref="BW20:BW34" si="26">IF(BT20=0,0,BT20/BT$40)</f>
        <v>0</v>
      </c>
      <c r="BX20" s="272">
        <f>BP20+BT20</f>
        <v>0</v>
      </c>
      <c r="BY20" s="272">
        <f>BQ20+BT20+BU20</f>
        <v>0</v>
      </c>
      <c r="BZ20" s="288" t="e">
        <f t="shared" ref="BZ20:CA34" si="27">BX20/BX$40</f>
        <v>#DIV/0!</v>
      </c>
      <c r="CA20" s="288" t="e">
        <f t="shared" si="27"/>
        <v>#DIV/0!</v>
      </c>
      <c r="CB20" s="180"/>
      <c r="CC20" s="272" t="e">
        <f>SUM(J20,R20,Z20,AH20,AP20,AX20,BF20,BN20,BV20)</f>
        <v>#DIV/0!</v>
      </c>
      <c r="CD20" s="180"/>
      <c r="CG20" s="764"/>
    </row>
    <row r="21" spans="1:85" ht="15.75" customHeight="1" x14ac:dyDescent="0.35">
      <c r="A21" s="180"/>
      <c r="B21" s="180"/>
      <c r="D21" s="236" t="str">
        <f>'Cap Table'!D21</f>
        <v>Investor 1</v>
      </c>
      <c r="E21" s="272">
        <f>'Cap Table'!E21</f>
        <v>0</v>
      </c>
      <c r="F21" s="272">
        <f>'Cap Table'!F21</f>
        <v>0</v>
      </c>
      <c r="G21" s="272">
        <f>'Cap Table'!G21</f>
        <v>0</v>
      </c>
      <c r="H21" s="287">
        <f>IFERROR(IF(#REF!=#REF!,'Cap Table'!H21,'Cap Table'!H21+(-#REF!*1000000/H16)),0)</f>
        <v>0</v>
      </c>
      <c r="I21" s="287">
        <f>IFERROR(IF(#REF!=#REF!,'Cap Table'!I21,'Cap Table'!I21+(-#REF!*1000000/I16)),0)</f>
        <v>0</v>
      </c>
      <c r="J21" s="272" t="e">
        <f t="shared" si="1"/>
        <v>#DIV/0!</v>
      </c>
      <c r="K21" s="288">
        <f t="shared" si="2"/>
        <v>0</v>
      </c>
      <c r="L21" s="272">
        <f t="shared" ref="L21:L34" si="28">$H21</f>
        <v>0</v>
      </c>
      <c r="M21" s="272">
        <f>IF(SUM($E21:$G21)+$H21+$I21=0,,SUM($E21:$G21)+$H21+$I21)</f>
        <v>0</v>
      </c>
      <c r="N21" s="288" t="e">
        <f t="shared" si="3"/>
        <v>#DIV/0!</v>
      </c>
      <c r="O21" s="288" t="e">
        <f t="shared" si="3"/>
        <v>#DIV/0!</v>
      </c>
      <c r="P21" s="287">
        <f>IFERROR(IF(#REF!=#REF!,'Cap Table'!P21,'Cap Table'!P21+(-#REF!*1000000/P16)),0)</f>
        <v>0</v>
      </c>
      <c r="Q21" s="287">
        <f>IFERROR(IF(#REF!=#REF!,'Cap Table'!Q21,'Cap Table'!Q21+(-#REF!*1000000/Q16)),0)</f>
        <v>0</v>
      </c>
      <c r="R21" s="272">
        <f t="shared" si="4"/>
        <v>0</v>
      </c>
      <c r="S21" s="288">
        <f t="shared" si="5"/>
        <v>0</v>
      </c>
      <c r="T21" s="272">
        <f t="shared" ref="T21:T34" si="29">L21+P21</f>
        <v>0</v>
      </c>
      <c r="U21" s="272">
        <f t="shared" si="6"/>
        <v>0</v>
      </c>
      <c r="V21" s="288" t="e">
        <f t="shared" si="7"/>
        <v>#DIV/0!</v>
      </c>
      <c r="W21" s="288" t="e">
        <f t="shared" si="7"/>
        <v>#DIV/0!</v>
      </c>
      <c r="X21" s="287">
        <f>IFERROR(IF(#REF!=#REF!,'Cap Table'!X21,'Cap Table'!X21+(-#REF!*1000000/X16)),0)</f>
        <v>0</v>
      </c>
      <c r="Y21" s="287">
        <f>IFERROR(IF(#REF!=#REF!,'Cap Table'!Y21,'Cap Table'!Y21+(-#REF!*1000000/Y16)),0)</f>
        <v>0</v>
      </c>
      <c r="Z21" s="272">
        <f t="shared" si="8"/>
        <v>0</v>
      </c>
      <c r="AA21" s="288">
        <f t="shared" si="9"/>
        <v>0</v>
      </c>
      <c r="AB21" s="272">
        <f t="shared" ref="AB21:AB34" si="30">T21+X21</f>
        <v>0</v>
      </c>
      <c r="AC21" s="272">
        <f t="shared" ref="AC21:AC34" si="31">U21+X21+Y21</f>
        <v>0</v>
      </c>
      <c r="AD21" s="288" t="e">
        <f t="shared" si="10"/>
        <v>#DIV/0!</v>
      </c>
      <c r="AE21" s="288" t="e">
        <f t="shared" si="10"/>
        <v>#DIV/0!</v>
      </c>
      <c r="AF21" s="287">
        <f>IFERROR(IF(#REF!=#REF!,'Cap Table'!AF21,'Cap Table'!AF21+(-#REF!*1000000/AF16)),0)</f>
        <v>0</v>
      </c>
      <c r="AG21" s="287">
        <f>IFERROR(IF(#REF!=#REF!,'Cap Table'!AG21,'Cap Table'!AG21+(-#REF!*1000000/AG16)),0)</f>
        <v>0</v>
      </c>
      <c r="AH21" s="272">
        <f t="shared" si="11"/>
        <v>0</v>
      </c>
      <c r="AI21" s="288">
        <f t="shared" si="12"/>
        <v>0</v>
      </c>
      <c r="AJ21" s="272">
        <f t="shared" ref="AJ21:AJ34" si="32">AB21+AF21</f>
        <v>0</v>
      </c>
      <c r="AK21" s="272">
        <f t="shared" ref="AK21:AK34" si="33">AC21+AF21+AG21</f>
        <v>0</v>
      </c>
      <c r="AL21" s="288" t="e">
        <f t="shared" si="13"/>
        <v>#DIV/0!</v>
      </c>
      <c r="AM21" s="288" t="e">
        <f t="shared" si="13"/>
        <v>#DIV/0!</v>
      </c>
      <c r="AN21" s="287">
        <f>IFERROR(IF(#REF!=#REF!,'Cap Table'!AN21,'Cap Table'!AN21+(-#REF!*1000000/AN16)),0)</f>
        <v>0</v>
      </c>
      <c r="AO21" s="287">
        <f>IFERROR(IF(#REF!=#REF!,'Cap Table'!AO21,'Cap Table'!AO21+(-#REF!*1000000/AO16)),0)</f>
        <v>0</v>
      </c>
      <c r="AP21" s="272">
        <f t="shared" si="14"/>
        <v>0</v>
      </c>
      <c r="AQ21" s="288">
        <f t="shared" si="15"/>
        <v>0</v>
      </c>
      <c r="AR21" s="272">
        <f t="shared" ref="AR21:AR34" si="34">AJ21+AN21</f>
        <v>0</v>
      </c>
      <c r="AS21" s="272">
        <f t="shared" ref="AS21:AS34" si="35">AK21+AN21+AO21</f>
        <v>0</v>
      </c>
      <c r="AT21" s="288" t="e">
        <f t="shared" si="16"/>
        <v>#DIV/0!</v>
      </c>
      <c r="AU21" s="288" t="e">
        <f t="shared" si="16"/>
        <v>#DIV/0!</v>
      </c>
      <c r="AV21" s="287">
        <f>IFERROR(IF(#REF!=#REF!,'Cap Table'!AV21,'Cap Table'!AV21+(-#REF!*1000000/AV16)),0)</f>
        <v>0</v>
      </c>
      <c r="AW21" s="287">
        <f>IFERROR(IF(#REF!=#REF!,'Cap Table'!AW21,'Cap Table'!AW21+(-#REF!*1000000/AW16)),0)</f>
        <v>0</v>
      </c>
      <c r="AX21" s="272">
        <f t="shared" si="17"/>
        <v>0</v>
      </c>
      <c r="AY21" s="288">
        <f t="shared" si="18"/>
        <v>0</v>
      </c>
      <c r="AZ21" s="272">
        <f t="shared" ref="AZ21:AZ34" si="36">AR21+AV21</f>
        <v>0</v>
      </c>
      <c r="BA21" s="272">
        <f t="shared" ref="BA21:BA34" si="37">AS21+AV21+AW21</f>
        <v>0</v>
      </c>
      <c r="BB21" s="288" t="e">
        <f t="shared" si="19"/>
        <v>#DIV/0!</v>
      </c>
      <c r="BC21" s="288" t="e">
        <f t="shared" si="19"/>
        <v>#DIV/0!</v>
      </c>
      <c r="BD21" s="287">
        <f>IFERROR(IF(#REF!=#REF!,'Cap Table'!BD21,'Cap Table'!BD21+(-#REF!*1000000/BD16)),0)</f>
        <v>0</v>
      </c>
      <c r="BE21" s="287">
        <f>IFERROR(IF(#REF!=#REF!,'Cap Table'!BE21,'Cap Table'!BE21+(-#REF!*1000000/BE16)),0)</f>
        <v>0</v>
      </c>
      <c r="BF21" s="272">
        <f t="shared" si="20"/>
        <v>0</v>
      </c>
      <c r="BG21" s="288">
        <f t="shared" si="21"/>
        <v>0</v>
      </c>
      <c r="BH21" s="272">
        <f t="shared" ref="BH21:BH34" si="38">AZ21+BD21</f>
        <v>0</v>
      </c>
      <c r="BI21" s="272">
        <f t="shared" ref="BI21:BI34" si="39">BA21+BD21+BE21</f>
        <v>0</v>
      </c>
      <c r="BJ21" s="288" t="e">
        <f t="shared" si="22"/>
        <v>#DIV/0!</v>
      </c>
      <c r="BK21" s="288" t="e">
        <f t="shared" si="22"/>
        <v>#DIV/0!</v>
      </c>
      <c r="BL21" s="287">
        <f>IFERROR(IF(#REF!=#REF!,'Cap Table'!BL21,'Cap Table'!BL21+(-#REF!*1000000/BL16)),0)</f>
        <v>0</v>
      </c>
      <c r="BM21" s="287">
        <f>IFERROR(IF(#REF!=#REF!,'Cap Table'!BM21,'Cap Table'!BM21+(-#REF!*1000000/BM16)),0)</f>
        <v>0</v>
      </c>
      <c r="BN21" s="272">
        <f t="shared" ref="BN21:BN30" si="40">BL21*BL$16+BM21*BM$16</f>
        <v>0</v>
      </c>
      <c r="BO21" s="288">
        <f t="shared" si="23"/>
        <v>0</v>
      </c>
      <c r="BP21" s="272">
        <f t="shared" ref="BP21:BP34" si="41">BH21+BL21</f>
        <v>0</v>
      </c>
      <c r="BQ21" s="272">
        <f t="shared" ref="BQ21:BQ34" si="42">BI21+BL21+BM21</f>
        <v>0</v>
      </c>
      <c r="BR21" s="288" t="e">
        <f t="shared" si="24"/>
        <v>#DIV/0!</v>
      </c>
      <c r="BS21" s="288" t="e">
        <f t="shared" si="24"/>
        <v>#DIV/0!</v>
      </c>
      <c r="BT21" s="287">
        <f>IFERROR(IF(#REF!=#REF!,'Cap Table'!BT21,'Cap Table'!BT21+(-#REF!*1000000/BT16)),0)</f>
        <v>0</v>
      </c>
      <c r="BU21" s="287">
        <f>IFERROR(IF(#REF!=#REF!,'Cap Table'!BU21,'Cap Table'!BU21+(-#REF!*1000000/BU16)),0)</f>
        <v>0</v>
      </c>
      <c r="BV21" s="272">
        <f t="shared" si="25"/>
        <v>0</v>
      </c>
      <c r="BW21" s="288">
        <f t="shared" si="26"/>
        <v>0</v>
      </c>
      <c r="BX21" s="272">
        <f t="shared" ref="BX21:BX34" si="43">BP21+BT21</f>
        <v>0</v>
      </c>
      <c r="BY21" s="272">
        <f t="shared" ref="BY21:BY34" si="44">BQ21+BT21+BU21</f>
        <v>0</v>
      </c>
      <c r="BZ21" s="288" t="e">
        <f t="shared" si="27"/>
        <v>#DIV/0!</v>
      </c>
      <c r="CA21" s="288" t="e">
        <f t="shared" si="27"/>
        <v>#DIV/0!</v>
      </c>
      <c r="CB21" s="180"/>
      <c r="CC21" s="272" t="e">
        <f t="shared" ref="CC21:CC34" si="45">SUM(J21,R21,Z21,AH21,AP21,AX21,BF21,BN21,BV21)</f>
        <v>#DIV/0!</v>
      </c>
      <c r="CD21" s="180"/>
      <c r="CE21" s="180"/>
    </row>
    <row r="22" spans="1:85" ht="15.75" customHeight="1" x14ac:dyDescent="0.35">
      <c r="A22" s="180"/>
      <c r="B22" s="180"/>
      <c r="D22" s="236" t="str">
        <f>'Cap Table'!D22</f>
        <v>Investor 2</v>
      </c>
      <c r="E22" s="272">
        <f>'Cap Table'!E22</f>
        <v>0</v>
      </c>
      <c r="F22" s="272">
        <f>'Cap Table'!F22</f>
        <v>0</v>
      </c>
      <c r="G22" s="272">
        <f>'Cap Table'!G22</f>
        <v>0</v>
      </c>
      <c r="H22" s="272">
        <f>'Cap Table'!H22</f>
        <v>0</v>
      </c>
      <c r="I22" s="272">
        <f>'Cap Table'!I22</f>
        <v>0</v>
      </c>
      <c r="J22" s="272" t="e">
        <f t="shared" si="1"/>
        <v>#DIV/0!</v>
      </c>
      <c r="K22" s="288">
        <f t="shared" si="2"/>
        <v>0</v>
      </c>
      <c r="L22" s="272">
        <f t="shared" si="28"/>
        <v>0</v>
      </c>
      <c r="M22" s="272">
        <f>IF(SUM($E22:$G22)+$H22+$I22=0,,SUM($E22:$G22)+$H22+$I22)</f>
        <v>0</v>
      </c>
      <c r="N22" s="288" t="e">
        <f t="shared" si="3"/>
        <v>#DIV/0!</v>
      </c>
      <c r="O22" s="288" t="e">
        <f t="shared" si="3"/>
        <v>#DIV/0!</v>
      </c>
      <c r="P22" s="272">
        <f>'Cap Table'!P22</f>
        <v>0</v>
      </c>
      <c r="Q22" s="272">
        <f>'Cap Table'!Q22</f>
        <v>0</v>
      </c>
      <c r="R22" s="272">
        <f t="shared" si="4"/>
        <v>0</v>
      </c>
      <c r="S22" s="288">
        <f t="shared" si="5"/>
        <v>0</v>
      </c>
      <c r="T22" s="272">
        <f t="shared" si="29"/>
        <v>0</v>
      </c>
      <c r="U22" s="272">
        <f t="shared" si="6"/>
        <v>0</v>
      </c>
      <c r="V22" s="288" t="e">
        <f t="shared" si="7"/>
        <v>#DIV/0!</v>
      </c>
      <c r="W22" s="288" t="e">
        <f t="shared" si="7"/>
        <v>#DIV/0!</v>
      </c>
      <c r="X22" s="272">
        <f>'Cap Table'!X22</f>
        <v>0</v>
      </c>
      <c r="Y22" s="272">
        <f>'Cap Table'!Y22</f>
        <v>0</v>
      </c>
      <c r="Z22" s="272">
        <f t="shared" si="8"/>
        <v>0</v>
      </c>
      <c r="AA22" s="288">
        <f t="shared" si="9"/>
        <v>0</v>
      </c>
      <c r="AB22" s="272">
        <f t="shared" si="30"/>
        <v>0</v>
      </c>
      <c r="AC22" s="272">
        <f t="shared" si="31"/>
        <v>0</v>
      </c>
      <c r="AD22" s="288" t="e">
        <f t="shared" si="10"/>
        <v>#DIV/0!</v>
      </c>
      <c r="AE22" s="288" t="e">
        <f t="shared" si="10"/>
        <v>#DIV/0!</v>
      </c>
      <c r="AF22" s="272">
        <f>'Cap Table'!AF22</f>
        <v>0</v>
      </c>
      <c r="AG22" s="272">
        <f>'Cap Table'!AG22</f>
        <v>0</v>
      </c>
      <c r="AH22" s="272">
        <f t="shared" si="11"/>
        <v>0</v>
      </c>
      <c r="AI22" s="288">
        <f t="shared" si="12"/>
        <v>0</v>
      </c>
      <c r="AJ22" s="272">
        <f t="shared" si="32"/>
        <v>0</v>
      </c>
      <c r="AK22" s="272">
        <f t="shared" si="33"/>
        <v>0</v>
      </c>
      <c r="AL22" s="288" t="e">
        <f t="shared" si="13"/>
        <v>#DIV/0!</v>
      </c>
      <c r="AM22" s="288" t="e">
        <f t="shared" si="13"/>
        <v>#DIV/0!</v>
      </c>
      <c r="AN22" s="272">
        <f>'Cap Table'!AN22</f>
        <v>0</v>
      </c>
      <c r="AO22" s="272">
        <f>'Cap Table'!AO22</f>
        <v>0</v>
      </c>
      <c r="AP22" s="272">
        <f t="shared" si="14"/>
        <v>0</v>
      </c>
      <c r="AQ22" s="288">
        <f t="shared" si="15"/>
        <v>0</v>
      </c>
      <c r="AR22" s="272">
        <f t="shared" si="34"/>
        <v>0</v>
      </c>
      <c r="AS22" s="272">
        <f t="shared" si="35"/>
        <v>0</v>
      </c>
      <c r="AT22" s="288" t="e">
        <f t="shared" si="16"/>
        <v>#DIV/0!</v>
      </c>
      <c r="AU22" s="288" t="e">
        <f t="shared" si="16"/>
        <v>#DIV/0!</v>
      </c>
      <c r="AV22" s="272">
        <f>'Cap Table'!AV22</f>
        <v>0</v>
      </c>
      <c r="AW22" s="272">
        <f>'Cap Table'!AW22</f>
        <v>0</v>
      </c>
      <c r="AX22" s="272">
        <f t="shared" si="17"/>
        <v>0</v>
      </c>
      <c r="AY22" s="288">
        <f t="shared" si="18"/>
        <v>0</v>
      </c>
      <c r="AZ22" s="272">
        <f t="shared" si="36"/>
        <v>0</v>
      </c>
      <c r="BA22" s="272">
        <f t="shared" si="37"/>
        <v>0</v>
      </c>
      <c r="BB22" s="288" t="e">
        <f t="shared" si="19"/>
        <v>#DIV/0!</v>
      </c>
      <c r="BC22" s="288" t="e">
        <f t="shared" si="19"/>
        <v>#DIV/0!</v>
      </c>
      <c r="BD22" s="272">
        <f>'Cap Table'!BD22</f>
        <v>0</v>
      </c>
      <c r="BE22" s="272">
        <f>'Cap Table'!BE22</f>
        <v>0</v>
      </c>
      <c r="BF22" s="272">
        <f t="shared" si="20"/>
        <v>0</v>
      </c>
      <c r="BG22" s="288">
        <f t="shared" si="21"/>
        <v>0</v>
      </c>
      <c r="BH22" s="272">
        <f t="shared" si="38"/>
        <v>0</v>
      </c>
      <c r="BI22" s="272">
        <f t="shared" si="39"/>
        <v>0</v>
      </c>
      <c r="BJ22" s="288" t="e">
        <f t="shared" si="22"/>
        <v>#DIV/0!</v>
      </c>
      <c r="BK22" s="288" t="e">
        <f t="shared" si="22"/>
        <v>#DIV/0!</v>
      </c>
      <c r="BL22" s="272">
        <f>'Cap Table'!BL22</f>
        <v>0</v>
      </c>
      <c r="BM22" s="272">
        <f>'Cap Table'!BM22</f>
        <v>0</v>
      </c>
      <c r="BN22" s="272">
        <f t="shared" si="40"/>
        <v>0</v>
      </c>
      <c r="BO22" s="288">
        <f t="shared" si="23"/>
        <v>0</v>
      </c>
      <c r="BP22" s="272">
        <f t="shared" si="41"/>
        <v>0</v>
      </c>
      <c r="BQ22" s="272">
        <f t="shared" si="42"/>
        <v>0</v>
      </c>
      <c r="BR22" s="288" t="e">
        <f t="shared" si="24"/>
        <v>#DIV/0!</v>
      </c>
      <c r="BS22" s="288" t="e">
        <f t="shared" si="24"/>
        <v>#DIV/0!</v>
      </c>
      <c r="BT22" s="272">
        <f>'Cap Table'!BT22</f>
        <v>0</v>
      </c>
      <c r="BU22" s="272">
        <f>'Cap Table'!BU22</f>
        <v>0</v>
      </c>
      <c r="BV22" s="272">
        <f t="shared" si="25"/>
        <v>0</v>
      </c>
      <c r="BW22" s="288">
        <f t="shared" si="26"/>
        <v>0</v>
      </c>
      <c r="BX22" s="272">
        <f t="shared" si="43"/>
        <v>0</v>
      </c>
      <c r="BY22" s="272">
        <f t="shared" si="44"/>
        <v>0</v>
      </c>
      <c r="BZ22" s="288" t="e">
        <f t="shared" si="27"/>
        <v>#DIV/0!</v>
      </c>
      <c r="CA22" s="288" t="e">
        <f t="shared" si="27"/>
        <v>#DIV/0!</v>
      </c>
      <c r="CB22" s="242"/>
      <c r="CC22" s="272" t="e">
        <f t="shared" si="45"/>
        <v>#DIV/0!</v>
      </c>
      <c r="CD22" s="242"/>
      <c r="CE22" s="242"/>
    </row>
    <row r="23" spans="1:85" ht="15.75" customHeight="1" x14ac:dyDescent="0.35">
      <c r="A23" s="180"/>
      <c r="B23" s="180"/>
      <c r="D23" s="236" t="str">
        <f>'Cap Table'!D23</f>
        <v>Investor 3</v>
      </c>
      <c r="E23" s="272">
        <f>'Cap Table'!E23</f>
        <v>0</v>
      </c>
      <c r="F23" s="272">
        <f>'Cap Table'!F23</f>
        <v>0</v>
      </c>
      <c r="G23" s="272">
        <f>'Cap Table'!G23</f>
        <v>0</v>
      </c>
      <c r="H23" s="272">
        <f>'Cap Table'!H23</f>
        <v>0</v>
      </c>
      <c r="I23" s="272">
        <f>'Cap Table'!I23</f>
        <v>0</v>
      </c>
      <c r="J23" s="272" t="e">
        <f t="shared" si="1"/>
        <v>#DIV/0!</v>
      </c>
      <c r="K23" s="288">
        <f t="shared" si="2"/>
        <v>0</v>
      </c>
      <c r="L23" s="272">
        <f t="shared" si="28"/>
        <v>0</v>
      </c>
      <c r="M23" s="272">
        <f>IF(SUM($E23:$G23)+$H23+$I23=0,,SUM($E23:$G23)+$H23+$I23)</f>
        <v>0</v>
      </c>
      <c r="N23" s="288" t="e">
        <f t="shared" si="3"/>
        <v>#DIV/0!</v>
      </c>
      <c r="O23" s="288" t="e">
        <f t="shared" si="3"/>
        <v>#DIV/0!</v>
      </c>
      <c r="P23" s="272">
        <f>'Cap Table'!P23</f>
        <v>0</v>
      </c>
      <c r="Q23" s="272">
        <f>'Cap Table'!Q23</f>
        <v>0</v>
      </c>
      <c r="R23" s="272">
        <f t="shared" si="4"/>
        <v>0</v>
      </c>
      <c r="S23" s="288">
        <f t="shared" si="5"/>
        <v>0</v>
      </c>
      <c r="T23" s="272">
        <f t="shared" si="29"/>
        <v>0</v>
      </c>
      <c r="U23" s="272">
        <f t="shared" si="6"/>
        <v>0</v>
      </c>
      <c r="V23" s="288" t="e">
        <f t="shared" si="7"/>
        <v>#DIV/0!</v>
      </c>
      <c r="W23" s="288" t="e">
        <f t="shared" si="7"/>
        <v>#DIV/0!</v>
      </c>
      <c r="X23" s="272">
        <f>'Cap Table'!X23</f>
        <v>0</v>
      </c>
      <c r="Y23" s="272">
        <f>'Cap Table'!Y23</f>
        <v>0</v>
      </c>
      <c r="Z23" s="272">
        <f t="shared" si="8"/>
        <v>0</v>
      </c>
      <c r="AA23" s="288">
        <f t="shared" si="9"/>
        <v>0</v>
      </c>
      <c r="AB23" s="272">
        <f t="shared" si="30"/>
        <v>0</v>
      </c>
      <c r="AC23" s="272">
        <f t="shared" si="31"/>
        <v>0</v>
      </c>
      <c r="AD23" s="288" t="e">
        <f t="shared" si="10"/>
        <v>#DIV/0!</v>
      </c>
      <c r="AE23" s="288" t="e">
        <f t="shared" si="10"/>
        <v>#DIV/0!</v>
      </c>
      <c r="AF23" s="272">
        <f>'Cap Table'!AF23</f>
        <v>0</v>
      </c>
      <c r="AG23" s="272">
        <f>'Cap Table'!AG23</f>
        <v>0</v>
      </c>
      <c r="AH23" s="272">
        <f t="shared" si="11"/>
        <v>0</v>
      </c>
      <c r="AI23" s="288">
        <f t="shared" si="12"/>
        <v>0</v>
      </c>
      <c r="AJ23" s="272">
        <f t="shared" si="32"/>
        <v>0</v>
      </c>
      <c r="AK23" s="272">
        <f t="shared" si="33"/>
        <v>0</v>
      </c>
      <c r="AL23" s="288" t="e">
        <f t="shared" si="13"/>
        <v>#DIV/0!</v>
      </c>
      <c r="AM23" s="288" t="e">
        <f t="shared" si="13"/>
        <v>#DIV/0!</v>
      </c>
      <c r="AN23" s="272">
        <f>'Cap Table'!AN23</f>
        <v>0</v>
      </c>
      <c r="AO23" s="272">
        <f>'Cap Table'!AO23</f>
        <v>0</v>
      </c>
      <c r="AP23" s="272">
        <f t="shared" si="14"/>
        <v>0</v>
      </c>
      <c r="AQ23" s="288">
        <f t="shared" si="15"/>
        <v>0</v>
      </c>
      <c r="AR23" s="272">
        <f t="shared" si="34"/>
        <v>0</v>
      </c>
      <c r="AS23" s="272">
        <f t="shared" si="35"/>
        <v>0</v>
      </c>
      <c r="AT23" s="288" t="e">
        <f t="shared" si="16"/>
        <v>#DIV/0!</v>
      </c>
      <c r="AU23" s="288" t="e">
        <f t="shared" si="16"/>
        <v>#DIV/0!</v>
      </c>
      <c r="AV23" s="272">
        <f>'Cap Table'!AV23</f>
        <v>0</v>
      </c>
      <c r="AW23" s="272">
        <f>'Cap Table'!AW23</f>
        <v>0</v>
      </c>
      <c r="AX23" s="272">
        <f t="shared" si="17"/>
        <v>0</v>
      </c>
      <c r="AY23" s="288">
        <f t="shared" si="18"/>
        <v>0</v>
      </c>
      <c r="AZ23" s="272">
        <f t="shared" si="36"/>
        <v>0</v>
      </c>
      <c r="BA23" s="272">
        <f t="shared" si="37"/>
        <v>0</v>
      </c>
      <c r="BB23" s="288" t="e">
        <f t="shared" si="19"/>
        <v>#DIV/0!</v>
      </c>
      <c r="BC23" s="288" t="e">
        <f t="shared" si="19"/>
        <v>#DIV/0!</v>
      </c>
      <c r="BD23" s="272">
        <f>'Cap Table'!BD23</f>
        <v>0</v>
      </c>
      <c r="BE23" s="272">
        <f>'Cap Table'!BE23</f>
        <v>0</v>
      </c>
      <c r="BF23" s="272">
        <f t="shared" si="20"/>
        <v>0</v>
      </c>
      <c r="BG23" s="288">
        <f t="shared" si="21"/>
        <v>0</v>
      </c>
      <c r="BH23" s="272">
        <f t="shared" si="38"/>
        <v>0</v>
      </c>
      <c r="BI23" s="272">
        <f t="shared" si="39"/>
        <v>0</v>
      </c>
      <c r="BJ23" s="288" t="e">
        <f t="shared" si="22"/>
        <v>#DIV/0!</v>
      </c>
      <c r="BK23" s="288" t="e">
        <f t="shared" si="22"/>
        <v>#DIV/0!</v>
      </c>
      <c r="BL23" s="272">
        <f>'Cap Table'!BL23</f>
        <v>0</v>
      </c>
      <c r="BM23" s="272">
        <f>'Cap Table'!BM23</f>
        <v>0</v>
      </c>
      <c r="BN23" s="272">
        <f t="shared" si="40"/>
        <v>0</v>
      </c>
      <c r="BO23" s="288">
        <f t="shared" si="23"/>
        <v>0</v>
      </c>
      <c r="BP23" s="272">
        <f t="shared" si="41"/>
        <v>0</v>
      </c>
      <c r="BQ23" s="272">
        <f t="shared" si="42"/>
        <v>0</v>
      </c>
      <c r="BR23" s="288" t="e">
        <f t="shared" si="24"/>
        <v>#DIV/0!</v>
      </c>
      <c r="BS23" s="288" t="e">
        <f t="shared" si="24"/>
        <v>#DIV/0!</v>
      </c>
      <c r="BT23" s="272">
        <f>'Cap Table'!BT23</f>
        <v>0</v>
      </c>
      <c r="BU23" s="272">
        <f>'Cap Table'!BU23</f>
        <v>0</v>
      </c>
      <c r="BV23" s="272">
        <f t="shared" si="25"/>
        <v>0</v>
      </c>
      <c r="BW23" s="288">
        <f t="shared" si="26"/>
        <v>0</v>
      </c>
      <c r="BX23" s="272">
        <f t="shared" si="43"/>
        <v>0</v>
      </c>
      <c r="BY23" s="272">
        <f t="shared" si="44"/>
        <v>0</v>
      </c>
      <c r="BZ23" s="288" t="e">
        <f t="shared" si="27"/>
        <v>#DIV/0!</v>
      </c>
      <c r="CA23" s="288" t="e">
        <f t="shared" si="27"/>
        <v>#DIV/0!</v>
      </c>
      <c r="CB23" s="180"/>
      <c r="CC23" s="272" t="e">
        <f t="shared" si="45"/>
        <v>#DIV/0!</v>
      </c>
      <c r="CD23" s="180"/>
      <c r="CE23" s="180"/>
    </row>
    <row r="24" spans="1:85" ht="15.75" customHeight="1" x14ac:dyDescent="0.35">
      <c r="A24" s="180"/>
      <c r="B24" s="180"/>
      <c r="D24" s="236" t="str">
        <f>'Cap Table'!D24</f>
        <v>Investor 4</v>
      </c>
      <c r="E24" s="272">
        <f>'Cap Table'!E24</f>
        <v>0</v>
      </c>
      <c r="F24" s="272">
        <f>'Cap Table'!F24</f>
        <v>0</v>
      </c>
      <c r="G24" s="272">
        <f>'Cap Table'!G24</f>
        <v>0</v>
      </c>
      <c r="H24" s="272">
        <f>'Cap Table'!H24</f>
        <v>0</v>
      </c>
      <c r="I24" s="272">
        <f>'Cap Table'!I24</f>
        <v>0</v>
      </c>
      <c r="J24" s="272" t="e">
        <f t="shared" si="1"/>
        <v>#DIV/0!</v>
      </c>
      <c r="K24" s="288">
        <f t="shared" si="2"/>
        <v>0</v>
      </c>
      <c r="L24" s="272">
        <f t="shared" si="28"/>
        <v>0</v>
      </c>
      <c r="M24" s="272">
        <f>IF(SUM($E24:$G24)+$H24+$I24=0,,SUM($E24:$G24)+$H24+$I24)</f>
        <v>0</v>
      </c>
      <c r="N24" s="288" t="e">
        <f t="shared" si="3"/>
        <v>#DIV/0!</v>
      </c>
      <c r="O24" s="288" t="e">
        <f t="shared" si="3"/>
        <v>#DIV/0!</v>
      </c>
      <c r="P24" s="272">
        <f>'Cap Table'!P24</f>
        <v>0</v>
      </c>
      <c r="Q24" s="272">
        <f>'Cap Table'!Q24</f>
        <v>0</v>
      </c>
      <c r="R24" s="272">
        <f t="shared" si="4"/>
        <v>0</v>
      </c>
      <c r="S24" s="288">
        <f t="shared" si="5"/>
        <v>0</v>
      </c>
      <c r="T24" s="272">
        <f t="shared" si="29"/>
        <v>0</v>
      </c>
      <c r="U24" s="272">
        <f t="shared" si="6"/>
        <v>0</v>
      </c>
      <c r="V24" s="288" t="e">
        <f t="shared" si="7"/>
        <v>#DIV/0!</v>
      </c>
      <c r="W24" s="288" t="e">
        <f t="shared" si="7"/>
        <v>#DIV/0!</v>
      </c>
      <c r="X24" s="272">
        <f>'Cap Table'!X24</f>
        <v>0</v>
      </c>
      <c r="Y24" s="272">
        <f>'Cap Table'!Y24</f>
        <v>0</v>
      </c>
      <c r="Z24" s="272">
        <f t="shared" si="8"/>
        <v>0</v>
      </c>
      <c r="AA24" s="288">
        <f t="shared" si="9"/>
        <v>0</v>
      </c>
      <c r="AB24" s="272">
        <f t="shared" si="30"/>
        <v>0</v>
      </c>
      <c r="AC24" s="272">
        <f t="shared" si="31"/>
        <v>0</v>
      </c>
      <c r="AD24" s="288" t="e">
        <f t="shared" si="10"/>
        <v>#DIV/0!</v>
      </c>
      <c r="AE24" s="288" t="e">
        <f t="shared" si="10"/>
        <v>#DIV/0!</v>
      </c>
      <c r="AF24" s="272">
        <f>'Cap Table'!AF24</f>
        <v>0</v>
      </c>
      <c r="AG24" s="272">
        <f>'Cap Table'!AG24</f>
        <v>0</v>
      </c>
      <c r="AH24" s="272">
        <f t="shared" si="11"/>
        <v>0</v>
      </c>
      <c r="AI24" s="288">
        <f t="shared" si="12"/>
        <v>0</v>
      </c>
      <c r="AJ24" s="272">
        <f t="shared" si="32"/>
        <v>0</v>
      </c>
      <c r="AK24" s="272">
        <f t="shared" si="33"/>
        <v>0</v>
      </c>
      <c r="AL24" s="288" t="e">
        <f t="shared" si="13"/>
        <v>#DIV/0!</v>
      </c>
      <c r="AM24" s="288" t="e">
        <f t="shared" si="13"/>
        <v>#DIV/0!</v>
      </c>
      <c r="AN24" s="272">
        <f>'Cap Table'!AN24</f>
        <v>0</v>
      </c>
      <c r="AO24" s="272">
        <f>'Cap Table'!AO24</f>
        <v>0</v>
      </c>
      <c r="AP24" s="272">
        <f t="shared" si="14"/>
        <v>0</v>
      </c>
      <c r="AQ24" s="288">
        <f t="shared" si="15"/>
        <v>0</v>
      </c>
      <c r="AR24" s="272">
        <f t="shared" si="34"/>
        <v>0</v>
      </c>
      <c r="AS24" s="272">
        <f t="shared" si="35"/>
        <v>0</v>
      </c>
      <c r="AT24" s="288" t="e">
        <f t="shared" si="16"/>
        <v>#DIV/0!</v>
      </c>
      <c r="AU24" s="288" t="e">
        <f t="shared" si="16"/>
        <v>#DIV/0!</v>
      </c>
      <c r="AV24" s="272">
        <f>'Cap Table'!AV24</f>
        <v>0</v>
      </c>
      <c r="AW24" s="272">
        <f>'Cap Table'!AW24</f>
        <v>0</v>
      </c>
      <c r="AX24" s="272">
        <f t="shared" si="17"/>
        <v>0</v>
      </c>
      <c r="AY24" s="288">
        <f t="shared" si="18"/>
        <v>0</v>
      </c>
      <c r="AZ24" s="272">
        <f t="shared" si="36"/>
        <v>0</v>
      </c>
      <c r="BA24" s="272">
        <f t="shared" si="37"/>
        <v>0</v>
      </c>
      <c r="BB24" s="288" t="e">
        <f t="shared" si="19"/>
        <v>#DIV/0!</v>
      </c>
      <c r="BC24" s="288" t="e">
        <f t="shared" si="19"/>
        <v>#DIV/0!</v>
      </c>
      <c r="BD24" s="272">
        <f>'Cap Table'!BD24</f>
        <v>0</v>
      </c>
      <c r="BE24" s="272">
        <f>'Cap Table'!BE24</f>
        <v>0</v>
      </c>
      <c r="BF24" s="272">
        <f t="shared" si="20"/>
        <v>0</v>
      </c>
      <c r="BG24" s="288">
        <f t="shared" si="21"/>
        <v>0</v>
      </c>
      <c r="BH24" s="272">
        <f t="shared" si="38"/>
        <v>0</v>
      </c>
      <c r="BI24" s="272">
        <f t="shared" si="39"/>
        <v>0</v>
      </c>
      <c r="BJ24" s="288" t="e">
        <f t="shared" si="22"/>
        <v>#DIV/0!</v>
      </c>
      <c r="BK24" s="288" t="e">
        <f t="shared" si="22"/>
        <v>#DIV/0!</v>
      </c>
      <c r="BL24" s="272">
        <f>'Cap Table'!BL24</f>
        <v>0</v>
      </c>
      <c r="BM24" s="272">
        <f>'Cap Table'!BM24</f>
        <v>0</v>
      </c>
      <c r="BN24" s="272">
        <f t="shared" si="40"/>
        <v>0</v>
      </c>
      <c r="BO24" s="288">
        <f t="shared" si="23"/>
        <v>0</v>
      </c>
      <c r="BP24" s="272">
        <f t="shared" si="41"/>
        <v>0</v>
      </c>
      <c r="BQ24" s="272">
        <f t="shared" si="42"/>
        <v>0</v>
      </c>
      <c r="BR24" s="288" t="e">
        <f t="shared" si="24"/>
        <v>#DIV/0!</v>
      </c>
      <c r="BS24" s="288" t="e">
        <f t="shared" si="24"/>
        <v>#DIV/0!</v>
      </c>
      <c r="BT24" s="272">
        <f>'Cap Table'!BT24</f>
        <v>0</v>
      </c>
      <c r="BU24" s="272">
        <f>'Cap Table'!BU24</f>
        <v>0</v>
      </c>
      <c r="BV24" s="272">
        <f t="shared" si="25"/>
        <v>0</v>
      </c>
      <c r="BW24" s="288">
        <f t="shared" si="26"/>
        <v>0</v>
      </c>
      <c r="BX24" s="272">
        <f t="shared" si="43"/>
        <v>0</v>
      </c>
      <c r="BY24" s="272">
        <f t="shared" si="44"/>
        <v>0</v>
      </c>
      <c r="BZ24" s="288" t="e">
        <f t="shared" si="27"/>
        <v>#DIV/0!</v>
      </c>
      <c r="CA24" s="288" t="e">
        <f t="shared" si="27"/>
        <v>#DIV/0!</v>
      </c>
      <c r="CB24" s="180"/>
      <c r="CC24" s="272" t="e">
        <f t="shared" si="45"/>
        <v>#DIV/0!</v>
      </c>
      <c r="CD24" s="180"/>
      <c r="CE24" s="180"/>
    </row>
    <row r="25" spans="1:85" ht="15.75" customHeight="1" x14ac:dyDescent="0.35">
      <c r="A25" s="180"/>
      <c r="B25" s="180"/>
      <c r="D25" s="236" t="str">
        <f>'Cap Table'!D25</f>
        <v>Investor 5</v>
      </c>
      <c r="E25" s="272">
        <f>'Cap Table'!E25</f>
        <v>0</v>
      </c>
      <c r="F25" s="272">
        <f>'Cap Table'!F25</f>
        <v>0</v>
      </c>
      <c r="G25" s="272">
        <f>'Cap Table'!G25</f>
        <v>0</v>
      </c>
      <c r="H25" s="272">
        <f>'Cap Table'!H25</f>
        <v>0</v>
      </c>
      <c r="I25" s="272">
        <f>'Cap Table'!I25</f>
        <v>0</v>
      </c>
      <c r="J25" s="272" t="e">
        <f t="shared" si="1"/>
        <v>#DIV/0!</v>
      </c>
      <c r="K25" s="288">
        <f t="shared" si="2"/>
        <v>0</v>
      </c>
      <c r="L25" s="272">
        <f t="shared" si="28"/>
        <v>0</v>
      </c>
      <c r="M25" s="272">
        <f>IF(SUM($E25:$G25)+$H25+$I25=0,,SUM($E25:$G25)+$H25+$I25)</f>
        <v>0</v>
      </c>
      <c r="N25" s="288" t="e">
        <f t="shared" si="3"/>
        <v>#DIV/0!</v>
      </c>
      <c r="O25" s="288" t="e">
        <f t="shared" si="3"/>
        <v>#DIV/0!</v>
      </c>
      <c r="P25" s="272">
        <f>'Cap Table'!P25</f>
        <v>0</v>
      </c>
      <c r="Q25" s="272">
        <f>'Cap Table'!Q25</f>
        <v>0</v>
      </c>
      <c r="R25" s="272">
        <f t="shared" si="4"/>
        <v>0</v>
      </c>
      <c r="S25" s="288">
        <f t="shared" si="5"/>
        <v>0</v>
      </c>
      <c r="T25" s="272">
        <f t="shared" si="29"/>
        <v>0</v>
      </c>
      <c r="U25" s="272">
        <f t="shared" si="6"/>
        <v>0</v>
      </c>
      <c r="V25" s="288" t="e">
        <f t="shared" si="7"/>
        <v>#DIV/0!</v>
      </c>
      <c r="W25" s="288" t="e">
        <f t="shared" si="7"/>
        <v>#DIV/0!</v>
      </c>
      <c r="X25" s="272">
        <f>'Cap Table'!X25</f>
        <v>0</v>
      </c>
      <c r="Y25" s="272">
        <f>'Cap Table'!Y25</f>
        <v>0</v>
      </c>
      <c r="Z25" s="272">
        <f t="shared" si="8"/>
        <v>0</v>
      </c>
      <c r="AA25" s="288">
        <f t="shared" si="9"/>
        <v>0</v>
      </c>
      <c r="AB25" s="272">
        <f t="shared" si="30"/>
        <v>0</v>
      </c>
      <c r="AC25" s="272">
        <f t="shared" si="31"/>
        <v>0</v>
      </c>
      <c r="AD25" s="288" t="e">
        <f t="shared" si="10"/>
        <v>#DIV/0!</v>
      </c>
      <c r="AE25" s="288" t="e">
        <f t="shared" si="10"/>
        <v>#DIV/0!</v>
      </c>
      <c r="AF25" s="272">
        <f>'Cap Table'!AF25</f>
        <v>0</v>
      </c>
      <c r="AG25" s="272">
        <f>'Cap Table'!AG25</f>
        <v>0</v>
      </c>
      <c r="AH25" s="272">
        <f t="shared" si="11"/>
        <v>0</v>
      </c>
      <c r="AI25" s="288">
        <f t="shared" si="12"/>
        <v>0</v>
      </c>
      <c r="AJ25" s="272">
        <f t="shared" si="32"/>
        <v>0</v>
      </c>
      <c r="AK25" s="272">
        <f t="shared" si="33"/>
        <v>0</v>
      </c>
      <c r="AL25" s="288" t="e">
        <f t="shared" si="13"/>
        <v>#DIV/0!</v>
      </c>
      <c r="AM25" s="288" t="e">
        <f t="shared" si="13"/>
        <v>#DIV/0!</v>
      </c>
      <c r="AN25" s="272">
        <f>'Cap Table'!AN25</f>
        <v>0</v>
      </c>
      <c r="AO25" s="272">
        <f>'Cap Table'!AO25</f>
        <v>0</v>
      </c>
      <c r="AP25" s="272">
        <f t="shared" si="14"/>
        <v>0</v>
      </c>
      <c r="AQ25" s="288">
        <f t="shared" si="15"/>
        <v>0</v>
      </c>
      <c r="AR25" s="272">
        <f t="shared" si="34"/>
        <v>0</v>
      </c>
      <c r="AS25" s="272">
        <f t="shared" si="35"/>
        <v>0</v>
      </c>
      <c r="AT25" s="288" t="e">
        <f t="shared" si="16"/>
        <v>#DIV/0!</v>
      </c>
      <c r="AU25" s="288" t="e">
        <f t="shared" si="16"/>
        <v>#DIV/0!</v>
      </c>
      <c r="AV25" s="272">
        <f>'Cap Table'!AV25</f>
        <v>0</v>
      </c>
      <c r="AW25" s="272">
        <f>'Cap Table'!AW25</f>
        <v>0</v>
      </c>
      <c r="AX25" s="272">
        <f t="shared" si="17"/>
        <v>0</v>
      </c>
      <c r="AY25" s="288">
        <f t="shared" si="18"/>
        <v>0</v>
      </c>
      <c r="AZ25" s="272">
        <f t="shared" si="36"/>
        <v>0</v>
      </c>
      <c r="BA25" s="272">
        <f t="shared" si="37"/>
        <v>0</v>
      </c>
      <c r="BB25" s="288" t="e">
        <f t="shared" si="19"/>
        <v>#DIV/0!</v>
      </c>
      <c r="BC25" s="288" t="e">
        <f t="shared" si="19"/>
        <v>#DIV/0!</v>
      </c>
      <c r="BD25" s="272">
        <f>'Cap Table'!BD25</f>
        <v>0</v>
      </c>
      <c r="BE25" s="272">
        <f>'Cap Table'!BE25</f>
        <v>0</v>
      </c>
      <c r="BF25" s="272">
        <f t="shared" si="20"/>
        <v>0</v>
      </c>
      <c r="BG25" s="288">
        <f t="shared" si="21"/>
        <v>0</v>
      </c>
      <c r="BH25" s="272">
        <f t="shared" si="38"/>
        <v>0</v>
      </c>
      <c r="BI25" s="272">
        <f t="shared" si="39"/>
        <v>0</v>
      </c>
      <c r="BJ25" s="288" t="e">
        <f t="shared" si="22"/>
        <v>#DIV/0!</v>
      </c>
      <c r="BK25" s="288" t="e">
        <f t="shared" si="22"/>
        <v>#DIV/0!</v>
      </c>
      <c r="BL25" s="272">
        <f>'Cap Table'!BL25</f>
        <v>0</v>
      </c>
      <c r="BM25" s="272">
        <f>'Cap Table'!BM25</f>
        <v>0</v>
      </c>
      <c r="BN25" s="272">
        <f t="shared" si="40"/>
        <v>0</v>
      </c>
      <c r="BO25" s="288">
        <f t="shared" si="23"/>
        <v>0</v>
      </c>
      <c r="BP25" s="272">
        <f t="shared" si="41"/>
        <v>0</v>
      </c>
      <c r="BQ25" s="272">
        <f t="shared" si="42"/>
        <v>0</v>
      </c>
      <c r="BR25" s="288" t="e">
        <f t="shared" si="24"/>
        <v>#DIV/0!</v>
      </c>
      <c r="BS25" s="288" t="e">
        <f t="shared" si="24"/>
        <v>#DIV/0!</v>
      </c>
      <c r="BT25" s="272">
        <f>'Cap Table'!BT25</f>
        <v>0</v>
      </c>
      <c r="BU25" s="272">
        <f>'Cap Table'!BU25</f>
        <v>0</v>
      </c>
      <c r="BV25" s="272">
        <f t="shared" si="25"/>
        <v>0</v>
      </c>
      <c r="BW25" s="288">
        <f t="shared" si="26"/>
        <v>0</v>
      </c>
      <c r="BX25" s="272">
        <f t="shared" si="43"/>
        <v>0</v>
      </c>
      <c r="BY25" s="272">
        <f t="shared" si="44"/>
        <v>0</v>
      </c>
      <c r="BZ25" s="288" t="e">
        <f t="shared" si="27"/>
        <v>#DIV/0!</v>
      </c>
      <c r="CA25" s="288" t="e">
        <f t="shared" si="27"/>
        <v>#DIV/0!</v>
      </c>
      <c r="CB25" s="180"/>
      <c r="CC25" s="272" t="e">
        <f t="shared" si="45"/>
        <v>#DIV/0!</v>
      </c>
      <c r="CD25" s="180"/>
      <c r="CE25" s="180"/>
    </row>
    <row r="26" spans="1:85" ht="15.75" customHeight="1" x14ac:dyDescent="0.35">
      <c r="A26" s="180"/>
      <c r="B26" s="180"/>
      <c r="D26" s="236" t="str">
        <f>'Cap Table'!D41</f>
        <v>Investor 6</v>
      </c>
      <c r="E26" s="272">
        <f>'Cap Table'!E41</f>
        <v>0</v>
      </c>
      <c r="F26" s="272">
        <f>'Cap Table'!F41</f>
        <v>0</v>
      </c>
      <c r="G26" s="272">
        <f>'Cap Table'!G41</f>
        <v>0</v>
      </c>
      <c r="H26" s="272">
        <f>'Cap Table'!H41</f>
        <v>0</v>
      </c>
      <c r="I26" s="272">
        <f>'Cap Table'!I41</f>
        <v>0</v>
      </c>
      <c r="J26" s="272" t="e">
        <f t="shared" si="1"/>
        <v>#DIV/0!</v>
      </c>
      <c r="K26" s="288">
        <f t="shared" si="2"/>
        <v>0</v>
      </c>
      <c r="L26" s="272">
        <f t="shared" si="28"/>
        <v>0</v>
      </c>
      <c r="M26" s="272">
        <f t="shared" ref="M26:M34" si="46">IF(SUM($E26:$G26)+$H26+$I26=0,,SUM($E26:$G26)+$H26+$I26)</f>
        <v>0</v>
      </c>
      <c r="N26" s="288" t="e">
        <f t="shared" si="3"/>
        <v>#DIV/0!</v>
      </c>
      <c r="O26" s="288" t="e">
        <f t="shared" si="3"/>
        <v>#DIV/0!</v>
      </c>
      <c r="P26" s="272">
        <f>'Cap Table'!P41</f>
        <v>0</v>
      </c>
      <c r="Q26" s="272">
        <f>'Cap Table'!Q41</f>
        <v>0</v>
      </c>
      <c r="R26" s="272">
        <f t="shared" si="4"/>
        <v>0</v>
      </c>
      <c r="S26" s="288">
        <f t="shared" si="5"/>
        <v>0</v>
      </c>
      <c r="T26" s="272">
        <f t="shared" si="29"/>
        <v>0</v>
      </c>
      <c r="U26" s="272">
        <f t="shared" si="6"/>
        <v>0</v>
      </c>
      <c r="V26" s="288" t="e">
        <f t="shared" si="7"/>
        <v>#DIV/0!</v>
      </c>
      <c r="W26" s="288" t="e">
        <f t="shared" si="7"/>
        <v>#DIV/0!</v>
      </c>
      <c r="X26" s="272">
        <f>'Cap Table'!X41</f>
        <v>0</v>
      </c>
      <c r="Y26" s="272">
        <f>'Cap Table'!Y41</f>
        <v>0</v>
      </c>
      <c r="Z26" s="272">
        <f t="shared" si="8"/>
        <v>0</v>
      </c>
      <c r="AA26" s="288">
        <f t="shared" si="9"/>
        <v>0</v>
      </c>
      <c r="AB26" s="272">
        <f t="shared" si="30"/>
        <v>0</v>
      </c>
      <c r="AC26" s="272">
        <f t="shared" si="31"/>
        <v>0</v>
      </c>
      <c r="AD26" s="288" t="e">
        <f t="shared" si="10"/>
        <v>#DIV/0!</v>
      </c>
      <c r="AE26" s="288" t="e">
        <f t="shared" si="10"/>
        <v>#DIV/0!</v>
      </c>
      <c r="AF26" s="272">
        <f>'Cap Table'!AF41</f>
        <v>0</v>
      </c>
      <c r="AG26" s="272">
        <f>'Cap Table'!AG41</f>
        <v>0</v>
      </c>
      <c r="AH26" s="272">
        <f t="shared" si="11"/>
        <v>0</v>
      </c>
      <c r="AI26" s="288">
        <f t="shared" si="12"/>
        <v>0</v>
      </c>
      <c r="AJ26" s="272">
        <f t="shared" si="32"/>
        <v>0</v>
      </c>
      <c r="AK26" s="272">
        <f t="shared" si="33"/>
        <v>0</v>
      </c>
      <c r="AL26" s="288" t="e">
        <f t="shared" si="13"/>
        <v>#DIV/0!</v>
      </c>
      <c r="AM26" s="288" t="e">
        <f t="shared" si="13"/>
        <v>#DIV/0!</v>
      </c>
      <c r="AN26" s="272">
        <f>'Cap Table'!AN41</f>
        <v>0</v>
      </c>
      <c r="AO26" s="272">
        <f>'Cap Table'!AO41</f>
        <v>0</v>
      </c>
      <c r="AP26" s="272">
        <f t="shared" si="14"/>
        <v>0</v>
      </c>
      <c r="AQ26" s="288">
        <f t="shared" si="15"/>
        <v>0</v>
      </c>
      <c r="AR26" s="272">
        <f t="shared" si="34"/>
        <v>0</v>
      </c>
      <c r="AS26" s="272">
        <f t="shared" si="35"/>
        <v>0</v>
      </c>
      <c r="AT26" s="288" t="e">
        <f t="shared" si="16"/>
        <v>#DIV/0!</v>
      </c>
      <c r="AU26" s="288" t="e">
        <f t="shared" si="16"/>
        <v>#DIV/0!</v>
      </c>
      <c r="AV26" s="272">
        <f>'Cap Table'!AV41</f>
        <v>0</v>
      </c>
      <c r="AW26" s="272">
        <f>'Cap Table'!AW41</f>
        <v>0</v>
      </c>
      <c r="AX26" s="272">
        <f t="shared" si="17"/>
        <v>0</v>
      </c>
      <c r="AY26" s="288">
        <f t="shared" si="18"/>
        <v>0</v>
      </c>
      <c r="AZ26" s="272">
        <f t="shared" si="36"/>
        <v>0</v>
      </c>
      <c r="BA26" s="272">
        <f t="shared" si="37"/>
        <v>0</v>
      </c>
      <c r="BB26" s="288" t="e">
        <f t="shared" si="19"/>
        <v>#DIV/0!</v>
      </c>
      <c r="BC26" s="288" t="e">
        <f t="shared" si="19"/>
        <v>#DIV/0!</v>
      </c>
      <c r="BD26" s="272">
        <f>'Cap Table'!BD41</f>
        <v>0</v>
      </c>
      <c r="BE26" s="272">
        <f>'Cap Table'!BE41</f>
        <v>0</v>
      </c>
      <c r="BF26" s="272">
        <f t="shared" si="20"/>
        <v>0</v>
      </c>
      <c r="BG26" s="288">
        <f t="shared" si="21"/>
        <v>0</v>
      </c>
      <c r="BH26" s="272">
        <f t="shared" si="38"/>
        <v>0</v>
      </c>
      <c r="BI26" s="272">
        <f t="shared" si="39"/>
        <v>0</v>
      </c>
      <c r="BJ26" s="288" t="e">
        <f t="shared" si="22"/>
        <v>#DIV/0!</v>
      </c>
      <c r="BK26" s="288" t="e">
        <f t="shared" si="22"/>
        <v>#DIV/0!</v>
      </c>
      <c r="BL26" s="272">
        <f>'Cap Table'!BL41</f>
        <v>0</v>
      </c>
      <c r="BM26" s="272">
        <f>'Cap Table'!BM41</f>
        <v>0</v>
      </c>
      <c r="BN26" s="272">
        <f t="shared" si="40"/>
        <v>0</v>
      </c>
      <c r="BO26" s="288">
        <f t="shared" si="23"/>
        <v>0</v>
      </c>
      <c r="BP26" s="272">
        <f t="shared" si="41"/>
        <v>0</v>
      </c>
      <c r="BQ26" s="272">
        <f t="shared" si="42"/>
        <v>0</v>
      </c>
      <c r="BR26" s="288" t="e">
        <f t="shared" si="24"/>
        <v>#DIV/0!</v>
      </c>
      <c r="BS26" s="288" t="e">
        <f t="shared" si="24"/>
        <v>#DIV/0!</v>
      </c>
      <c r="BT26" s="272">
        <f>'Cap Table'!BT41</f>
        <v>0</v>
      </c>
      <c r="BU26" s="272">
        <f>'Cap Table'!BU41</f>
        <v>0</v>
      </c>
      <c r="BV26" s="272">
        <f t="shared" si="25"/>
        <v>0</v>
      </c>
      <c r="BW26" s="288">
        <f t="shared" si="26"/>
        <v>0</v>
      </c>
      <c r="BX26" s="272">
        <f t="shared" si="43"/>
        <v>0</v>
      </c>
      <c r="BY26" s="272">
        <f t="shared" si="44"/>
        <v>0</v>
      </c>
      <c r="BZ26" s="288" t="e">
        <f t="shared" si="27"/>
        <v>#DIV/0!</v>
      </c>
      <c r="CA26" s="288" t="e">
        <f t="shared" si="27"/>
        <v>#DIV/0!</v>
      </c>
      <c r="CB26" s="180"/>
      <c r="CC26" s="272" t="e">
        <f t="shared" si="45"/>
        <v>#DIV/0!</v>
      </c>
      <c r="CD26" s="180"/>
      <c r="CE26" s="180"/>
    </row>
    <row r="27" spans="1:85" ht="15.75" customHeight="1" x14ac:dyDescent="0.35">
      <c r="A27" s="180"/>
      <c r="B27" s="180"/>
      <c r="D27" s="272">
        <f>'Cap Table'!D42</f>
        <v>0</v>
      </c>
      <c r="E27" s="272">
        <f>'Cap Table'!E42</f>
        <v>0</v>
      </c>
      <c r="F27" s="272">
        <f>'Cap Table'!F42</f>
        <v>0</v>
      </c>
      <c r="G27" s="272">
        <f>'Cap Table'!G42</f>
        <v>0</v>
      </c>
      <c r="H27" s="272">
        <f>'Cap Table'!H42</f>
        <v>0</v>
      </c>
      <c r="I27" s="272">
        <f>'Cap Table'!I42</f>
        <v>0</v>
      </c>
      <c r="J27" s="272" t="e">
        <f t="shared" si="1"/>
        <v>#DIV/0!</v>
      </c>
      <c r="K27" s="288">
        <f t="shared" si="2"/>
        <v>0</v>
      </c>
      <c r="L27" s="272">
        <f t="shared" si="28"/>
        <v>0</v>
      </c>
      <c r="M27" s="272">
        <f t="shared" si="46"/>
        <v>0</v>
      </c>
      <c r="N27" s="288" t="e">
        <f t="shared" si="3"/>
        <v>#DIV/0!</v>
      </c>
      <c r="O27" s="288" t="e">
        <f t="shared" si="3"/>
        <v>#DIV/0!</v>
      </c>
      <c r="P27" s="272">
        <f>'Cap Table'!P42</f>
        <v>0</v>
      </c>
      <c r="Q27" s="272">
        <f>'Cap Table'!Q42</f>
        <v>0</v>
      </c>
      <c r="R27" s="272">
        <f t="shared" si="4"/>
        <v>0</v>
      </c>
      <c r="S27" s="288">
        <f t="shared" si="5"/>
        <v>0</v>
      </c>
      <c r="T27" s="272">
        <f t="shared" si="29"/>
        <v>0</v>
      </c>
      <c r="U27" s="272">
        <f t="shared" si="6"/>
        <v>0</v>
      </c>
      <c r="V27" s="288" t="e">
        <f t="shared" si="7"/>
        <v>#DIV/0!</v>
      </c>
      <c r="W27" s="288" t="e">
        <f t="shared" si="7"/>
        <v>#DIV/0!</v>
      </c>
      <c r="X27" s="272">
        <f>'Cap Table'!X42</f>
        <v>0</v>
      </c>
      <c r="Y27" s="272">
        <f>'Cap Table'!Y42</f>
        <v>0</v>
      </c>
      <c r="Z27" s="272">
        <f t="shared" si="8"/>
        <v>0</v>
      </c>
      <c r="AA27" s="288">
        <f t="shared" si="9"/>
        <v>0</v>
      </c>
      <c r="AB27" s="272">
        <f t="shared" si="30"/>
        <v>0</v>
      </c>
      <c r="AC27" s="272">
        <f t="shared" si="31"/>
        <v>0</v>
      </c>
      <c r="AD27" s="288" t="e">
        <f t="shared" si="10"/>
        <v>#DIV/0!</v>
      </c>
      <c r="AE27" s="288" t="e">
        <f t="shared" si="10"/>
        <v>#DIV/0!</v>
      </c>
      <c r="AF27" s="272">
        <f>'Cap Table'!AF42</f>
        <v>0</v>
      </c>
      <c r="AG27" s="272">
        <f>'Cap Table'!AG42</f>
        <v>0</v>
      </c>
      <c r="AH27" s="272">
        <f t="shared" si="11"/>
        <v>0</v>
      </c>
      <c r="AI27" s="288">
        <f t="shared" si="12"/>
        <v>0</v>
      </c>
      <c r="AJ27" s="272">
        <f t="shared" si="32"/>
        <v>0</v>
      </c>
      <c r="AK27" s="272">
        <f t="shared" si="33"/>
        <v>0</v>
      </c>
      <c r="AL27" s="288" t="e">
        <f t="shared" si="13"/>
        <v>#DIV/0!</v>
      </c>
      <c r="AM27" s="288" t="e">
        <f t="shared" si="13"/>
        <v>#DIV/0!</v>
      </c>
      <c r="AN27" s="272">
        <f>'Cap Table'!AN42</f>
        <v>0</v>
      </c>
      <c r="AO27" s="272">
        <f>'Cap Table'!AO42</f>
        <v>0</v>
      </c>
      <c r="AP27" s="272">
        <f t="shared" si="14"/>
        <v>0</v>
      </c>
      <c r="AQ27" s="288">
        <f t="shared" si="15"/>
        <v>0</v>
      </c>
      <c r="AR27" s="272">
        <f t="shared" si="34"/>
        <v>0</v>
      </c>
      <c r="AS27" s="272">
        <f t="shared" si="35"/>
        <v>0</v>
      </c>
      <c r="AT27" s="288" t="e">
        <f t="shared" si="16"/>
        <v>#DIV/0!</v>
      </c>
      <c r="AU27" s="288" t="e">
        <f t="shared" si="16"/>
        <v>#DIV/0!</v>
      </c>
      <c r="AV27" s="272">
        <f>'Cap Table'!AV42</f>
        <v>0</v>
      </c>
      <c r="AW27" s="272">
        <f>'Cap Table'!AW42</f>
        <v>0</v>
      </c>
      <c r="AX27" s="272">
        <f t="shared" si="17"/>
        <v>0</v>
      </c>
      <c r="AY27" s="288">
        <f t="shared" si="18"/>
        <v>0</v>
      </c>
      <c r="AZ27" s="272">
        <f t="shared" si="36"/>
        <v>0</v>
      </c>
      <c r="BA27" s="272">
        <f t="shared" si="37"/>
        <v>0</v>
      </c>
      <c r="BB27" s="288" t="e">
        <f t="shared" si="19"/>
        <v>#DIV/0!</v>
      </c>
      <c r="BC27" s="288" t="e">
        <f t="shared" si="19"/>
        <v>#DIV/0!</v>
      </c>
      <c r="BD27" s="272">
        <f>'Cap Table'!BD42</f>
        <v>0</v>
      </c>
      <c r="BE27" s="272">
        <f>'Cap Table'!BE42</f>
        <v>0</v>
      </c>
      <c r="BF27" s="272">
        <f t="shared" si="20"/>
        <v>0</v>
      </c>
      <c r="BG27" s="288">
        <f t="shared" si="21"/>
        <v>0</v>
      </c>
      <c r="BH27" s="272">
        <f t="shared" si="38"/>
        <v>0</v>
      </c>
      <c r="BI27" s="272">
        <f t="shared" si="39"/>
        <v>0</v>
      </c>
      <c r="BJ27" s="288" t="e">
        <f t="shared" si="22"/>
        <v>#DIV/0!</v>
      </c>
      <c r="BK27" s="288" t="e">
        <f t="shared" si="22"/>
        <v>#DIV/0!</v>
      </c>
      <c r="BL27" s="272">
        <f>'Cap Table'!BL42</f>
        <v>0</v>
      </c>
      <c r="BM27" s="272">
        <f>'Cap Table'!BM42</f>
        <v>0</v>
      </c>
      <c r="BN27" s="272">
        <f t="shared" si="40"/>
        <v>0</v>
      </c>
      <c r="BO27" s="288">
        <f t="shared" si="23"/>
        <v>0</v>
      </c>
      <c r="BP27" s="272">
        <f t="shared" si="41"/>
        <v>0</v>
      </c>
      <c r="BQ27" s="272">
        <f t="shared" si="42"/>
        <v>0</v>
      </c>
      <c r="BR27" s="288" t="e">
        <f t="shared" si="24"/>
        <v>#DIV/0!</v>
      </c>
      <c r="BS27" s="288" t="e">
        <f t="shared" si="24"/>
        <v>#DIV/0!</v>
      </c>
      <c r="BT27" s="272">
        <f>'Cap Table'!BT42</f>
        <v>0</v>
      </c>
      <c r="BU27" s="272">
        <f>'Cap Table'!BU42</f>
        <v>0</v>
      </c>
      <c r="BV27" s="272">
        <f t="shared" si="25"/>
        <v>0</v>
      </c>
      <c r="BW27" s="288">
        <f t="shared" si="26"/>
        <v>0</v>
      </c>
      <c r="BX27" s="272">
        <f t="shared" si="43"/>
        <v>0</v>
      </c>
      <c r="BY27" s="272">
        <f t="shared" si="44"/>
        <v>0</v>
      </c>
      <c r="BZ27" s="288" t="e">
        <f t="shared" si="27"/>
        <v>#DIV/0!</v>
      </c>
      <c r="CA27" s="288" t="e">
        <f t="shared" si="27"/>
        <v>#DIV/0!</v>
      </c>
      <c r="CB27" s="180"/>
      <c r="CC27" s="272" t="e">
        <f t="shared" si="45"/>
        <v>#DIV/0!</v>
      </c>
      <c r="CD27" s="180"/>
      <c r="CE27" s="180"/>
    </row>
    <row r="28" spans="1:85" ht="15.75" customHeight="1" x14ac:dyDescent="0.35">
      <c r="A28" s="180"/>
      <c r="B28" s="180"/>
      <c r="D28" s="236" t="str">
        <f>'Cap Table'!D43</f>
        <v>Founders/Leadership</v>
      </c>
      <c r="E28" s="272">
        <f>'Cap Table'!E43</f>
        <v>0</v>
      </c>
      <c r="F28" s="272">
        <f>'Cap Table'!F43</f>
        <v>0</v>
      </c>
      <c r="G28" s="272">
        <f>'Cap Table'!G43</f>
        <v>0</v>
      </c>
      <c r="H28" s="272">
        <f>'Cap Table'!H43</f>
        <v>0</v>
      </c>
      <c r="I28" s="272">
        <f>'Cap Table'!I43</f>
        <v>0</v>
      </c>
      <c r="J28" s="272" t="e">
        <f t="shared" si="1"/>
        <v>#DIV/0!</v>
      </c>
      <c r="K28" s="288">
        <f t="shared" si="2"/>
        <v>0</v>
      </c>
      <c r="L28" s="272">
        <f t="shared" si="28"/>
        <v>0</v>
      </c>
      <c r="M28" s="272">
        <f t="shared" si="46"/>
        <v>0</v>
      </c>
      <c r="N28" s="288" t="e">
        <f t="shared" si="3"/>
        <v>#DIV/0!</v>
      </c>
      <c r="O28" s="288" t="e">
        <f t="shared" si="3"/>
        <v>#DIV/0!</v>
      </c>
      <c r="P28" s="272">
        <f>'Cap Table'!P43</f>
        <v>0</v>
      </c>
      <c r="Q28" s="272">
        <f>'Cap Table'!Q43</f>
        <v>0</v>
      </c>
      <c r="R28" s="272">
        <f t="shared" si="4"/>
        <v>0</v>
      </c>
      <c r="S28" s="288">
        <f t="shared" si="5"/>
        <v>0</v>
      </c>
      <c r="T28" s="272">
        <f t="shared" si="29"/>
        <v>0</v>
      </c>
      <c r="U28" s="272">
        <f t="shared" si="6"/>
        <v>0</v>
      </c>
      <c r="V28" s="288" t="e">
        <f t="shared" si="7"/>
        <v>#DIV/0!</v>
      </c>
      <c r="W28" s="288" t="e">
        <f t="shared" si="7"/>
        <v>#DIV/0!</v>
      </c>
      <c r="X28" s="272">
        <f>'Cap Table'!X43</f>
        <v>0</v>
      </c>
      <c r="Y28" s="272">
        <f>'Cap Table'!Y43</f>
        <v>0</v>
      </c>
      <c r="Z28" s="272">
        <f t="shared" si="8"/>
        <v>0</v>
      </c>
      <c r="AA28" s="288">
        <f t="shared" si="9"/>
        <v>0</v>
      </c>
      <c r="AB28" s="272">
        <f t="shared" si="30"/>
        <v>0</v>
      </c>
      <c r="AC28" s="272">
        <f t="shared" si="31"/>
        <v>0</v>
      </c>
      <c r="AD28" s="288" t="e">
        <f t="shared" si="10"/>
        <v>#DIV/0!</v>
      </c>
      <c r="AE28" s="288" t="e">
        <f t="shared" si="10"/>
        <v>#DIV/0!</v>
      </c>
      <c r="AF28" s="272">
        <f>'Cap Table'!AF43</f>
        <v>0</v>
      </c>
      <c r="AG28" s="272">
        <f>'Cap Table'!AG43</f>
        <v>0</v>
      </c>
      <c r="AH28" s="272">
        <f t="shared" si="11"/>
        <v>0</v>
      </c>
      <c r="AI28" s="288">
        <f t="shared" si="12"/>
        <v>0</v>
      </c>
      <c r="AJ28" s="272">
        <f t="shared" si="32"/>
        <v>0</v>
      </c>
      <c r="AK28" s="272">
        <f t="shared" si="33"/>
        <v>0</v>
      </c>
      <c r="AL28" s="288" t="e">
        <f t="shared" si="13"/>
        <v>#DIV/0!</v>
      </c>
      <c r="AM28" s="288" t="e">
        <f t="shared" si="13"/>
        <v>#DIV/0!</v>
      </c>
      <c r="AN28" s="272">
        <f>'Cap Table'!AN43</f>
        <v>0</v>
      </c>
      <c r="AO28" s="272">
        <f>'Cap Table'!AO43</f>
        <v>0</v>
      </c>
      <c r="AP28" s="272">
        <f t="shared" si="14"/>
        <v>0</v>
      </c>
      <c r="AQ28" s="288">
        <f t="shared" si="15"/>
        <v>0</v>
      </c>
      <c r="AR28" s="272">
        <f t="shared" si="34"/>
        <v>0</v>
      </c>
      <c r="AS28" s="272">
        <f t="shared" si="35"/>
        <v>0</v>
      </c>
      <c r="AT28" s="288" t="e">
        <f t="shared" si="16"/>
        <v>#DIV/0!</v>
      </c>
      <c r="AU28" s="288" t="e">
        <f t="shared" si="16"/>
        <v>#DIV/0!</v>
      </c>
      <c r="AV28" s="272">
        <f>'Cap Table'!AV43</f>
        <v>0</v>
      </c>
      <c r="AW28" s="272">
        <f>'Cap Table'!AW43</f>
        <v>0</v>
      </c>
      <c r="AX28" s="272">
        <f t="shared" si="17"/>
        <v>0</v>
      </c>
      <c r="AY28" s="288">
        <f t="shared" si="18"/>
        <v>0</v>
      </c>
      <c r="AZ28" s="272">
        <f t="shared" si="36"/>
        <v>0</v>
      </c>
      <c r="BA28" s="272">
        <f t="shared" si="37"/>
        <v>0</v>
      </c>
      <c r="BB28" s="288" t="e">
        <f t="shared" si="19"/>
        <v>#DIV/0!</v>
      </c>
      <c r="BC28" s="288" t="e">
        <f t="shared" si="19"/>
        <v>#DIV/0!</v>
      </c>
      <c r="BD28" s="272">
        <f>'Cap Table'!BD43</f>
        <v>0</v>
      </c>
      <c r="BE28" s="272">
        <f>'Cap Table'!BE43</f>
        <v>0</v>
      </c>
      <c r="BF28" s="272">
        <f t="shared" si="20"/>
        <v>0</v>
      </c>
      <c r="BG28" s="288">
        <f t="shared" si="21"/>
        <v>0</v>
      </c>
      <c r="BH28" s="272">
        <f t="shared" si="38"/>
        <v>0</v>
      </c>
      <c r="BI28" s="272">
        <f t="shared" si="39"/>
        <v>0</v>
      </c>
      <c r="BJ28" s="288" t="e">
        <f t="shared" si="22"/>
        <v>#DIV/0!</v>
      </c>
      <c r="BK28" s="288" t="e">
        <f t="shared" si="22"/>
        <v>#DIV/0!</v>
      </c>
      <c r="BL28" s="272">
        <f>'Cap Table'!BL43</f>
        <v>0</v>
      </c>
      <c r="BM28" s="272">
        <f>'Cap Table'!BM43</f>
        <v>0</v>
      </c>
      <c r="BN28" s="272">
        <f t="shared" si="40"/>
        <v>0</v>
      </c>
      <c r="BO28" s="288">
        <f t="shared" si="23"/>
        <v>0</v>
      </c>
      <c r="BP28" s="272">
        <f t="shared" si="41"/>
        <v>0</v>
      </c>
      <c r="BQ28" s="272">
        <f t="shared" si="42"/>
        <v>0</v>
      </c>
      <c r="BR28" s="288" t="e">
        <f t="shared" si="24"/>
        <v>#DIV/0!</v>
      </c>
      <c r="BS28" s="288" t="e">
        <f t="shared" si="24"/>
        <v>#DIV/0!</v>
      </c>
      <c r="BT28" s="272">
        <f>'Cap Table'!BT43</f>
        <v>0</v>
      </c>
      <c r="BU28" s="272">
        <f>'Cap Table'!BU43</f>
        <v>0</v>
      </c>
      <c r="BV28" s="272">
        <f t="shared" si="25"/>
        <v>0</v>
      </c>
      <c r="BW28" s="288">
        <f t="shared" si="26"/>
        <v>0</v>
      </c>
      <c r="BX28" s="272">
        <f t="shared" si="43"/>
        <v>0</v>
      </c>
      <c r="BY28" s="272">
        <f t="shared" si="44"/>
        <v>0</v>
      </c>
      <c r="BZ28" s="288" t="e">
        <f t="shared" si="27"/>
        <v>#DIV/0!</v>
      </c>
      <c r="CA28" s="288" t="e">
        <f t="shared" si="27"/>
        <v>#DIV/0!</v>
      </c>
      <c r="CB28" s="180"/>
      <c r="CC28" s="272" t="e">
        <f t="shared" si="45"/>
        <v>#DIV/0!</v>
      </c>
      <c r="CD28" s="180"/>
      <c r="CE28" s="180"/>
    </row>
    <row r="29" spans="1:85" ht="15.75" customHeight="1" x14ac:dyDescent="0.35">
      <c r="A29" s="180"/>
      <c r="B29" s="180"/>
      <c r="D29" s="236" t="str">
        <f>'Cap Table'!D44</f>
        <v>Others 1</v>
      </c>
      <c r="E29" s="272">
        <f>'Cap Table'!E44</f>
        <v>0</v>
      </c>
      <c r="F29" s="272">
        <f>'Cap Table'!F44</f>
        <v>0</v>
      </c>
      <c r="G29" s="272">
        <f>'Cap Table'!G44</f>
        <v>0</v>
      </c>
      <c r="H29" s="272">
        <f>'Cap Table'!H44</f>
        <v>0</v>
      </c>
      <c r="I29" s="272">
        <f>'Cap Table'!I44</f>
        <v>0</v>
      </c>
      <c r="J29" s="272" t="e">
        <f t="shared" si="1"/>
        <v>#DIV/0!</v>
      </c>
      <c r="K29" s="288">
        <f t="shared" si="2"/>
        <v>0</v>
      </c>
      <c r="L29" s="272">
        <f t="shared" si="28"/>
        <v>0</v>
      </c>
      <c r="M29" s="272">
        <f t="shared" si="46"/>
        <v>0</v>
      </c>
      <c r="N29" s="288" t="e">
        <f t="shared" si="3"/>
        <v>#DIV/0!</v>
      </c>
      <c r="O29" s="288" t="e">
        <f t="shared" si="3"/>
        <v>#DIV/0!</v>
      </c>
      <c r="P29" s="272">
        <f>'Cap Table'!P44</f>
        <v>0</v>
      </c>
      <c r="Q29" s="272">
        <f>'Cap Table'!Q44</f>
        <v>0</v>
      </c>
      <c r="R29" s="272">
        <f t="shared" si="4"/>
        <v>0</v>
      </c>
      <c r="S29" s="288">
        <f t="shared" si="5"/>
        <v>0</v>
      </c>
      <c r="T29" s="272">
        <f t="shared" si="29"/>
        <v>0</v>
      </c>
      <c r="U29" s="272">
        <f t="shared" si="6"/>
        <v>0</v>
      </c>
      <c r="V29" s="288" t="e">
        <f t="shared" si="7"/>
        <v>#DIV/0!</v>
      </c>
      <c r="W29" s="288" t="e">
        <f t="shared" si="7"/>
        <v>#DIV/0!</v>
      </c>
      <c r="X29" s="272">
        <f>'Cap Table'!X44</f>
        <v>0</v>
      </c>
      <c r="Y29" s="272">
        <f>'Cap Table'!Y44</f>
        <v>0</v>
      </c>
      <c r="Z29" s="272">
        <f t="shared" si="8"/>
        <v>0</v>
      </c>
      <c r="AA29" s="288">
        <f t="shared" si="9"/>
        <v>0</v>
      </c>
      <c r="AB29" s="272">
        <f t="shared" si="30"/>
        <v>0</v>
      </c>
      <c r="AC29" s="272">
        <f t="shared" si="31"/>
        <v>0</v>
      </c>
      <c r="AD29" s="288" t="e">
        <f t="shared" si="10"/>
        <v>#DIV/0!</v>
      </c>
      <c r="AE29" s="288" t="e">
        <f t="shared" si="10"/>
        <v>#DIV/0!</v>
      </c>
      <c r="AF29" s="272">
        <f>'Cap Table'!AF44</f>
        <v>0</v>
      </c>
      <c r="AG29" s="272">
        <f>'Cap Table'!AG44</f>
        <v>0</v>
      </c>
      <c r="AH29" s="272">
        <f t="shared" si="11"/>
        <v>0</v>
      </c>
      <c r="AI29" s="288">
        <f t="shared" si="12"/>
        <v>0</v>
      </c>
      <c r="AJ29" s="272">
        <f t="shared" si="32"/>
        <v>0</v>
      </c>
      <c r="AK29" s="272">
        <f t="shared" si="33"/>
        <v>0</v>
      </c>
      <c r="AL29" s="288" t="e">
        <f t="shared" si="13"/>
        <v>#DIV/0!</v>
      </c>
      <c r="AM29" s="288" t="e">
        <f t="shared" si="13"/>
        <v>#DIV/0!</v>
      </c>
      <c r="AN29" s="272">
        <f>'Cap Table'!AN44</f>
        <v>0</v>
      </c>
      <c r="AO29" s="272">
        <f>'Cap Table'!AO44</f>
        <v>0</v>
      </c>
      <c r="AP29" s="272">
        <f t="shared" si="14"/>
        <v>0</v>
      </c>
      <c r="AQ29" s="288">
        <f t="shared" si="15"/>
        <v>0</v>
      </c>
      <c r="AR29" s="272">
        <f t="shared" si="34"/>
        <v>0</v>
      </c>
      <c r="AS29" s="272">
        <f t="shared" si="35"/>
        <v>0</v>
      </c>
      <c r="AT29" s="288" t="e">
        <f t="shared" si="16"/>
        <v>#DIV/0!</v>
      </c>
      <c r="AU29" s="288" t="e">
        <f t="shared" si="16"/>
        <v>#DIV/0!</v>
      </c>
      <c r="AV29" s="272">
        <f>'Cap Table'!AV44</f>
        <v>0</v>
      </c>
      <c r="AW29" s="272">
        <f>'Cap Table'!AW44</f>
        <v>0</v>
      </c>
      <c r="AX29" s="272">
        <f t="shared" si="17"/>
        <v>0</v>
      </c>
      <c r="AY29" s="288">
        <f t="shared" si="18"/>
        <v>0</v>
      </c>
      <c r="AZ29" s="272">
        <f t="shared" si="36"/>
        <v>0</v>
      </c>
      <c r="BA29" s="272">
        <f t="shared" si="37"/>
        <v>0</v>
      </c>
      <c r="BB29" s="288" t="e">
        <f t="shared" si="19"/>
        <v>#DIV/0!</v>
      </c>
      <c r="BC29" s="288" t="e">
        <f t="shared" si="19"/>
        <v>#DIV/0!</v>
      </c>
      <c r="BD29" s="272">
        <f>'Cap Table'!BD44</f>
        <v>0</v>
      </c>
      <c r="BE29" s="272">
        <f>'Cap Table'!BE44</f>
        <v>0</v>
      </c>
      <c r="BF29" s="272">
        <f t="shared" si="20"/>
        <v>0</v>
      </c>
      <c r="BG29" s="288">
        <f t="shared" si="21"/>
        <v>0</v>
      </c>
      <c r="BH29" s="272">
        <f t="shared" si="38"/>
        <v>0</v>
      </c>
      <c r="BI29" s="272">
        <f t="shared" si="39"/>
        <v>0</v>
      </c>
      <c r="BJ29" s="288" t="e">
        <f t="shared" si="22"/>
        <v>#DIV/0!</v>
      </c>
      <c r="BK29" s="288" t="e">
        <f t="shared" si="22"/>
        <v>#DIV/0!</v>
      </c>
      <c r="BL29" s="272">
        <f>'Cap Table'!BL44</f>
        <v>0</v>
      </c>
      <c r="BM29" s="272">
        <f>'Cap Table'!BM44</f>
        <v>0</v>
      </c>
      <c r="BN29" s="272">
        <f t="shared" si="40"/>
        <v>0</v>
      </c>
      <c r="BO29" s="288">
        <f t="shared" si="23"/>
        <v>0</v>
      </c>
      <c r="BP29" s="272">
        <f t="shared" si="41"/>
        <v>0</v>
      </c>
      <c r="BQ29" s="272">
        <f t="shared" si="42"/>
        <v>0</v>
      </c>
      <c r="BR29" s="288" t="e">
        <f t="shared" si="24"/>
        <v>#DIV/0!</v>
      </c>
      <c r="BS29" s="288" t="e">
        <f t="shared" si="24"/>
        <v>#DIV/0!</v>
      </c>
      <c r="BT29" s="272">
        <f>'Cap Table'!BT44</f>
        <v>0</v>
      </c>
      <c r="BU29" s="272">
        <f>'Cap Table'!BU44</f>
        <v>0</v>
      </c>
      <c r="BV29" s="272">
        <f t="shared" si="25"/>
        <v>0</v>
      </c>
      <c r="BW29" s="288">
        <f t="shared" si="26"/>
        <v>0</v>
      </c>
      <c r="BX29" s="272">
        <f t="shared" si="43"/>
        <v>0</v>
      </c>
      <c r="BY29" s="272">
        <f t="shared" si="44"/>
        <v>0</v>
      </c>
      <c r="BZ29" s="288" t="e">
        <f t="shared" si="27"/>
        <v>#DIV/0!</v>
      </c>
      <c r="CA29" s="288" t="e">
        <f t="shared" si="27"/>
        <v>#DIV/0!</v>
      </c>
      <c r="CB29" s="180"/>
      <c r="CC29" s="272" t="e">
        <f t="shared" si="45"/>
        <v>#DIV/0!</v>
      </c>
      <c r="CD29" s="180"/>
      <c r="CE29" s="180"/>
    </row>
    <row r="30" spans="1:85" ht="15.75" customHeight="1" x14ac:dyDescent="0.35">
      <c r="A30" s="180"/>
      <c r="B30" s="180"/>
      <c r="D30" s="236" t="str">
        <f>'Cap Table'!D45</f>
        <v>Others 2</v>
      </c>
      <c r="E30" s="272">
        <f>'Cap Table'!E45</f>
        <v>0</v>
      </c>
      <c r="F30" s="272">
        <f>'Cap Table'!F45</f>
        <v>0</v>
      </c>
      <c r="G30" s="272">
        <f>'Cap Table'!G45</f>
        <v>0</v>
      </c>
      <c r="H30" s="272">
        <f>'Cap Table'!H45</f>
        <v>0</v>
      </c>
      <c r="I30" s="272">
        <f>'Cap Table'!I45</f>
        <v>0</v>
      </c>
      <c r="J30" s="272" t="e">
        <f t="shared" si="1"/>
        <v>#DIV/0!</v>
      </c>
      <c r="K30" s="288">
        <f t="shared" si="2"/>
        <v>0</v>
      </c>
      <c r="L30" s="272">
        <f t="shared" si="28"/>
        <v>0</v>
      </c>
      <c r="M30" s="272">
        <f t="shared" si="46"/>
        <v>0</v>
      </c>
      <c r="N30" s="288" t="e">
        <f t="shared" si="3"/>
        <v>#DIV/0!</v>
      </c>
      <c r="O30" s="288" t="e">
        <f t="shared" si="3"/>
        <v>#DIV/0!</v>
      </c>
      <c r="P30" s="272">
        <f>'Cap Table'!P45</f>
        <v>0</v>
      </c>
      <c r="Q30" s="272">
        <f>'Cap Table'!Q45</f>
        <v>0</v>
      </c>
      <c r="R30" s="272">
        <f t="shared" si="4"/>
        <v>0</v>
      </c>
      <c r="S30" s="288">
        <f t="shared" si="5"/>
        <v>0</v>
      </c>
      <c r="T30" s="272">
        <f t="shared" si="29"/>
        <v>0</v>
      </c>
      <c r="U30" s="272">
        <f t="shared" si="6"/>
        <v>0</v>
      </c>
      <c r="V30" s="288" t="e">
        <f t="shared" si="7"/>
        <v>#DIV/0!</v>
      </c>
      <c r="W30" s="288" t="e">
        <f t="shared" si="7"/>
        <v>#DIV/0!</v>
      </c>
      <c r="X30" s="272">
        <f>'Cap Table'!X45</f>
        <v>0</v>
      </c>
      <c r="Y30" s="272">
        <f>'Cap Table'!Y45</f>
        <v>0</v>
      </c>
      <c r="Z30" s="272">
        <f t="shared" si="8"/>
        <v>0</v>
      </c>
      <c r="AA30" s="288">
        <f t="shared" si="9"/>
        <v>0</v>
      </c>
      <c r="AB30" s="272">
        <f t="shared" si="30"/>
        <v>0</v>
      </c>
      <c r="AC30" s="272">
        <f t="shared" si="31"/>
        <v>0</v>
      </c>
      <c r="AD30" s="288" t="e">
        <f t="shared" si="10"/>
        <v>#DIV/0!</v>
      </c>
      <c r="AE30" s="288" t="e">
        <f t="shared" si="10"/>
        <v>#DIV/0!</v>
      </c>
      <c r="AF30" s="272">
        <f>'Cap Table'!AF45</f>
        <v>0</v>
      </c>
      <c r="AG30" s="272">
        <f>'Cap Table'!AG45</f>
        <v>0</v>
      </c>
      <c r="AH30" s="272">
        <f t="shared" si="11"/>
        <v>0</v>
      </c>
      <c r="AI30" s="288">
        <f t="shared" si="12"/>
        <v>0</v>
      </c>
      <c r="AJ30" s="272">
        <f t="shared" si="32"/>
        <v>0</v>
      </c>
      <c r="AK30" s="272">
        <f t="shared" si="33"/>
        <v>0</v>
      </c>
      <c r="AL30" s="288" t="e">
        <f t="shared" si="13"/>
        <v>#DIV/0!</v>
      </c>
      <c r="AM30" s="288" t="e">
        <f t="shared" si="13"/>
        <v>#DIV/0!</v>
      </c>
      <c r="AN30" s="272">
        <f>'Cap Table'!AN45</f>
        <v>0</v>
      </c>
      <c r="AO30" s="272">
        <f>'Cap Table'!AO45</f>
        <v>0</v>
      </c>
      <c r="AP30" s="272">
        <f t="shared" si="14"/>
        <v>0</v>
      </c>
      <c r="AQ30" s="288">
        <f t="shared" si="15"/>
        <v>0</v>
      </c>
      <c r="AR30" s="272">
        <f t="shared" si="34"/>
        <v>0</v>
      </c>
      <c r="AS30" s="272">
        <f t="shared" si="35"/>
        <v>0</v>
      </c>
      <c r="AT30" s="288" t="e">
        <f t="shared" si="16"/>
        <v>#DIV/0!</v>
      </c>
      <c r="AU30" s="288" t="e">
        <f t="shared" si="16"/>
        <v>#DIV/0!</v>
      </c>
      <c r="AV30" s="272">
        <f>'Cap Table'!AV45</f>
        <v>0</v>
      </c>
      <c r="AW30" s="272">
        <f>'Cap Table'!AW45</f>
        <v>0</v>
      </c>
      <c r="AX30" s="272">
        <f t="shared" si="17"/>
        <v>0</v>
      </c>
      <c r="AY30" s="288">
        <f t="shared" si="18"/>
        <v>0</v>
      </c>
      <c r="AZ30" s="272">
        <f t="shared" si="36"/>
        <v>0</v>
      </c>
      <c r="BA30" s="272">
        <f t="shared" si="37"/>
        <v>0</v>
      </c>
      <c r="BB30" s="288" t="e">
        <f t="shared" si="19"/>
        <v>#DIV/0!</v>
      </c>
      <c r="BC30" s="288" t="e">
        <f t="shared" si="19"/>
        <v>#DIV/0!</v>
      </c>
      <c r="BD30" s="272">
        <f>'Cap Table'!BD45</f>
        <v>0</v>
      </c>
      <c r="BE30" s="272">
        <f>'Cap Table'!BE45</f>
        <v>0</v>
      </c>
      <c r="BF30" s="272">
        <f t="shared" si="20"/>
        <v>0</v>
      </c>
      <c r="BG30" s="288">
        <f t="shared" si="21"/>
        <v>0</v>
      </c>
      <c r="BH30" s="272">
        <f t="shared" si="38"/>
        <v>0</v>
      </c>
      <c r="BI30" s="272">
        <f t="shared" si="39"/>
        <v>0</v>
      </c>
      <c r="BJ30" s="288" t="e">
        <f t="shared" si="22"/>
        <v>#DIV/0!</v>
      </c>
      <c r="BK30" s="288" t="e">
        <f t="shared" si="22"/>
        <v>#DIV/0!</v>
      </c>
      <c r="BL30" s="272">
        <f>'Cap Table'!BL45</f>
        <v>0</v>
      </c>
      <c r="BM30" s="272">
        <f>'Cap Table'!BM45</f>
        <v>0</v>
      </c>
      <c r="BN30" s="272">
        <f t="shared" si="40"/>
        <v>0</v>
      </c>
      <c r="BO30" s="288">
        <f t="shared" si="23"/>
        <v>0</v>
      </c>
      <c r="BP30" s="272">
        <f t="shared" si="41"/>
        <v>0</v>
      </c>
      <c r="BQ30" s="272">
        <f t="shared" si="42"/>
        <v>0</v>
      </c>
      <c r="BR30" s="288" t="e">
        <f t="shared" si="24"/>
        <v>#DIV/0!</v>
      </c>
      <c r="BS30" s="288" t="e">
        <f t="shared" si="24"/>
        <v>#DIV/0!</v>
      </c>
      <c r="BT30" s="272">
        <f>'Cap Table'!BT45</f>
        <v>0</v>
      </c>
      <c r="BU30" s="272">
        <f>'Cap Table'!BU45</f>
        <v>0</v>
      </c>
      <c r="BV30" s="272">
        <f t="shared" si="25"/>
        <v>0</v>
      </c>
      <c r="BW30" s="288">
        <f t="shared" si="26"/>
        <v>0</v>
      </c>
      <c r="BX30" s="272">
        <f t="shared" si="43"/>
        <v>0</v>
      </c>
      <c r="BY30" s="272">
        <f t="shared" si="44"/>
        <v>0</v>
      </c>
      <c r="BZ30" s="288" t="e">
        <f t="shared" si="27"/>
        <v>#DIV/0!</v>
      </c>
      <c r="CA30" s="288" t="e">
        <f t="shared" si="27"/>
        <v>#DIV/0!</v>
      </c>
      <c r="CB30" s="180"/>
      <c r="CC30" s="272" t="e">
        <f t="shared" si="45"/>
        <v>#DIV/0!</v>
      </c>
      <c r="CD30" s="180"/>
      <c r="CE30" s="180"/>
    </row>
    <row r="31" spans="1:85" ht="15.75" customHeight="1" x14ac:dyDescent="0.35">
      <c r="A31" s="180"/>
      <c r="B31" s="180"/>
      <c r="D31" s="236" t="str">
        <f>'Cap Table'!D46</f>
        <v>Others 3</v>
      </c>
      <c r="E31" s="272">
        <f>'Cap Table'!E46</f>
        <v>0</v>
      </c>
      <c r="F31" s="272">
        <f>'Cap Table'!F46</f>
        <v>0</v>
      </c>
      <c r="G31" s="272">
        <f>'Cap Table'!G46</f>
        <v>0</v>
      </c>
      <c r="H31" s="272">
        <f>'Cap Table'!H46</f>
        <v>0</v>
      </c>
      <c r="I31" s="272">
        <f>'Cap Table'!I46</f>
        <v>0</v>
      </c>
      <c r="J31" s="272" t="e">
        <f>H31*H$16+I31*I$16</f>
        <v>#DIV/0!</v>
      </c>
      <c r="K31" s="288">
        <f t="shared" si="2"/>
        <v>0</v>
      </c>
      <c r="L31" s="272">
        <f t="shared" si="28"/>
        <v>0</v>
      </c>
      <c r="M31" s="272">
        <f t="shared" si="46"/>
        <v>0</v>
      </c>
      <c r="N31" s="288" t="e">
        <f t="shared" si="3"/>
        <v>#DIV/0!</v>
      </c>
      <c r="O31" s="288" t="e">
        <f t="shared" si="3"/>
        <v>#DIV/0!</v>
      </c>
      <c r="P31" s="272">
        <f>'Cap Table'!P46</f>
        <v>0</v>
      </c>
      <c r="Q31" s="272">
        <f>'Cap Table'!Q46</f>
        <v>0</v>
      </c>
      <c r="R31" s="272">
        <f>P31*P$16+Q31*Q$16</f>
        <v>0</v>
      </c>
      <c r="S31" s="288">
        <f t="shared" si="5"/>
        <v>0</v>
      </c>
      <c r="T31" s="272">
        <f t="shared" si="29"/>
        <v>0</v>
      </c>
      <c r="U31" s="272">
        <f t="shared" si="6"/>
        <v>0</v>
      </c>
      <c r="V31" s="288" t="e">
        <f t="shared" si="7"/>
        <v>#DIV/0!</v>
      </c>
      <c r="W31" s="288" t="e">
        <f t="shared" si="7"/>
        <v>#DIV/0!</v>
      </c>
      <c r="X31" s="272">
        <f>'Cap Table'!X46</f>
        <v>0</v>
      </c>
      <c r="Y31" s="272">
        <f>'Cap Table'!Y46</f>
        <v>0</v>
      </c>
      <c r="Z31" s="272">
        <f>X31*X$16+Y31*Y$16</f>
        <v>0</v>
      </c>
      <c r="AA31" s="288">
        <f t="shared" si="9"/>
        <v>0</v>
      </c>
      <c r="AB31" s="272">
        <f t="shared" si="30"/>
        <v>0</v>
      </c>
      <c r="AC31" s="272">
        <f t="shared" si="31"/>
        <v>0</v>
      </c>
      <c r="AD31" s="288" t="e">
        <f t="shared" si="10"/>
        <v>#DIV/0!</v>
      </c>
      <c r="AE31" s="288" t="e">
        <f t="shared" si="10"/>
        <v>#DIV/0!</v>
      </c>
      <c r="AF31" s="272">
        <f>'Cap Table'!AF46</f>
        <v>0</v>
      </c>
      <c r="AG31" s="272">
        <f>'Cap Table'!AG46</f>
        <v>0</v>
      </c>
      <c r="AH31" s="272">
        <f>AF31*AF$16+AG31*AG$16</f>
        <v>0</v>
      </c>
      <c r="AI31" s="288">
        <f t="shared" si="12"/>
        <v>0</v>
      </c>
      <c r="AJ31" s="272">
        <f t="shared" si="32"/>
        <v>0</v>
      </c>
      <c r="AK31" s="272">
        <f t="shared" si="33"/>
        <v>0</v>
      </c>
      <c r="AL31" s="288" t="e">
        <f t="shared" si="13"/>
        <v>#DIV/0!</v>
      </c>
      <c r="AM31" s="288" t="e">
        <f t="shared" si="13"/>
        <v>#DIV/0!</v>
      </c>
      <c r="AN31" s="272">
        <f>'Cap Table'!AN46</f>
        <v>0</v>
      </c>
      <c r="AO31" s="272">
        <f>'Cap Table'!AO46</f>
        <v>0</v>
      </c>
      <c r="AP31" s="272">
        <f>AN31*AN$16+AO31*AO$16</f>
        <v>0</v>
      </c>
      <c r="AQ31" s="288">
        <f t="shared" si="15"/>
        <v>0</v>
      </c>
      <c r="AR31" s="272">
        <f t="shared" si="34"/>
        <v>0</v>
      </c>
      <c r="AS31" s="272">
        <f t="shared" si="35"/>
        <v>0</v>
      </c>
      <c r="AT31" s="288" t="e">
        <f t="shared" si="16"/>
        <v>#DIV/0!</v>
      </c>
      <c r="AU31" s="288" t="e">
        <f t="shared" si="16"/>
        <v>#DIV/0!</v>
      </c>
      <c r="AV31" s="272">
        <f>'Cap Table'!AV46</f>
        <v>0</v>
      </c>
      <c r="AW31" s="272">
        <f>'Cap Table'!AW46</f>
        <v>0</v>
      </c>
      <c r="AX31" s="272">
        <f>AV31*AV$16+AW31*AW$16</f>
        <v>0</v>
      </c>
      <c r="AY31" s="288">
        <f t="shared" si="18"/>
        <v>0</v>
      </c>
      <c r="AZ31" s="272">
        <f t="shared" si="36"/>
        <v>0</v>
      </c>
      <c r="BA31" s="272">
        <f t="shared" si="37"/>
        <v>0</v>
      </c>
      <c r="BB31" s="288" t="e">
        <f t="shared" si="19"/>
        <v>#DIV/0!</v>
      </c>
      <c r="BC31" s="288" t="e">
        <f t="shared" si="19"/>
        <v>#DIV/0!</v>
      </c>
      <c r="BD31" s="272">
        <f>'Cap Table'!BD46</f>
        <v>0</v>
      </c>
      <c r="BE31" s="272">
        <f>'Cap Table'!BE46</f>
        <v>0</v>
      </c>
      <c r="BF31" s="272">
        <f>BD31*BD$16+BE31*BE$16</f>
        <v>0</v>
      </c>
      <c r="BG31" s="288">
        <f t="shared" si="21"/>
        <v>0</v>
      </c>
      <c r="BH31" s="272">
        <f t="shared" si="38"/>
        <v>0</v>
      </c>
      <c r="BI31" s="272">
        <f t="shared" si="39"/>
        <v>0</v>
      </c>
      <c r="BJ31" s="288" t="e">
        <f t="shared" si="22"/>
        <v>#DIV/0!</v>
      </c>
      <c r="BK31" s="288" t="e">
        <f t="shared" si="22"/>
        <v>#DIV/0!</v>
      </c>
      <c r="BL31" s="272">
        <f>'Cap Table'!BL46</f>
        <v>0</v>
      </c>
      <c r="BM31" s="272">
        <f>'Cap Table'!BM46</f>
        <v>0</v>
      </c>
      <c r="BN31" s="272">
        <f>BL31*BL$16+BM31*BM$16</f>
        <v>0</v>
      </c>
      <c r="BO31" s="288">
        <f t="shared" si="23"/>
        <v>0</v>
      </c>
      <c r="BP31" s="272">
        <f t="shared" si="41"/>
        <v>0</v>
      </c>
      <c r="BQ31" s="272">
        <f t="shared" si="42"/>
        <v>0</v>
      </c>
      <c r="BR31" s="288" t="e">
        <f t="shared" si="24"/>
        <v>#DIV/0!</v>
      </c>
      <c r="BS31" s="288" t="e">
        <f t="shared" si="24"/>
        <v>#DIV/0!</v>
      </c>
      <c r="BT31" s="272">
        <f>'Cap Table'!BT46</f>
        <v>0</v>
      </c>
      <c r="BU31" s="272">
        <f>'Cap Table'!BU46</f>
        <v>0</v>
      </c>
      <c r="BV31" s="272">
        <f>BT31*BT$16+BU31*BU$16</f>
        <v>0</v>
      </c>
      <c r="BW31" s="288">
        <f t="shared" si="26"/>
        <v>0</v>
      </c>
      <c r="BX31" s="272">
        <f t="shared" si="43"/>
        <v>0</v>
      </c>
      <c r="BY31" s="272">
        <f t="shared" si="44"/>
        <v>0</v>
      </c>
      <c r="BZ31" s="288" t="e">
        <f t="shared" si="27"/>
        <v>#DIV/0!</v>
      </c>
      <c r="CA31" s="288" t="e">
        <f t="shared" si="27"/>
        <v>#DIV/0!</v>
      </c>
      <c r="CB31" s="180"/>
      <c r="CC31" s="272" t="e">
        <f t="shared" si="45"/>
        <v>#DIV/0!</v>
      </c>
      <c r="CD31" s="180"/>
      <c r="CE31" s="180"/>
    </row>
    <row r="32" spans="1:85" ht="15.75" customHeight="1" x14ac:dyDescent="0.35">
      <c r="A32" s="180"/>
      <c r="B32" s="180"/>
      <c r="D32" s="236" t="str">
        <f>'Cap Table'!D47</f>
        <v>Others 4</v>
      </c>
      <c r="E32" s="272">
        <f>'Cap Table'!E47</f>
        <v>0</v>
      </c>
      <c r="F32" s="272">
        <f>'Cap Table'!F47</f>
        <v>0</v>
      </c>
      <c r="G32" s="272">
        <f>'Cap Table'!G47</f>
        <v>0</v>
      </c>
      <c r="H32" s="272">
        <f>'Cap Table'!H47</f>
        <v>0</v>
      </c>
      <c r="I32" s="272">
        <f>'Cap Table'!I47</f>
        <v>0</v>
      </c>
      <c r="J32" s="272" t="e">
        <f>H32*H$16+I32*I$16</f>
        <v>#DIV/0!</v>
      </c>
      <c r="K32" s="288">
        <f t="shared" si="2"/>
        <v>0</v>
      </c>
      <c r="L32" s="272">
        <f t="shared" si="28"/>
        <v>0</v>
      </c>
      <c r="M32" s="272">
        <f t="shared" si="46"/>
        <v>0</v>
      </c>
      <c r="N32" s="288" t="e">
        <f t="shared" si="3"/>
        <v>#DIV/0!</v>
      </c>
      <c r="O32" s="288" t="e">
        <f t="shared" si="3"/>
        <v>#DIV/0!</v>
      </c>
      <c r="P32" s="272">
        <f>'Cap Table'!P47</f>
        <v>0</v>
      </c>
      <c r="Q32" s="272">
        <f>'Cap Table'!Q47</f>
        <v>0</v>
      </c>
      <c r="R32" s="272">
        <f>P32*P$16+Q32*Q$16</f>
        <v>0</v>
      </c>
      <c r="S32" s="288">
        <f t="shared" si="5"/>
        <v>0</v>
      </c>
      <c r="T32" s="272">
        <f t="shared" si="29"/>
        <v>0</v>
      </c>
      <c r="U32" s="272">
        <f t="shared" si="6"/>
        <v>0</v>
      </c>
      <c r="V32" s="288" t="e">
        <f t="shared" si="7"/>
        <v>#DIV/0!</v>
      </c>
      <c r="W32" s="288" t="e">
        <f t="shared" si="7"/>
        <v>#DIV/0!</v>
      </c>
      <c r="X32" s="272">
        <f>'Cap Table'!X47</f>
        <v>0</v>
      </c>
      <c r="Y32" s="272">
        <f>'Cap Table'!Y47</f>
        <v>0</v>
      </c>
      <c r="Z32" s="272">
        <f>X32*X$16+Y32*Y$16</f>
        <v>0</v>
      </c>
      <c r="AA32" s="288">
        <f t="shared" si="9"/>
        <v>0</v>
      </c>
      <c r="AB32" s="272">
        <f t="shared" si="30"/>
        <v>0</v>
      </c>
      <c r="AC32" s="272">
        <f t="shared" si="31"/>
        <v>0</v>
      </c>
      <c r="AD32" s="288" t="e">
        <f t="shared" si="10"/>
        <v>#DIV/0!</v>
      </c>
      <c r="AE32" s="288" t="e">
        <f t="shared" si="10"/>
        <v>#DIV/0!</v>
      </c>
      <c r="AF32" s="272">
        <f>'Cap Table'!AF47</f>
        <v>0</v>
      </c>
      <c r="AG32" s="272">
        <f>'Cap Table'!AG47</f>
        <v>0</v>
      </c>
      <c r="AH32" s="272">
        <f>AF32*AF$16+AG32*AG$16</f>
        <v>0</v>
      </c>
      <c r="AI32" s="288">
        <f t="shared" si="12"/>
        <v>0</v>
      </c>
      <c r="AJ32" s="272">
        <f t="shared" si="32"/>
        <v>0</v>
      </c>
      <c r="AK32" s="272">
        <f t="shared" si="33"/>
        <v>0</v>
      </c>
      <c r="AL32" s="288" t="e">
        <f t="shared" si="13"/>
        <v>#DIV/0!</v>
      </c>
      <c r="AM32" s="288" t="e">
        <f t="shared" si="13"/>
        <v>#DIV/0!</v>
      </c>
      <c r="AN32" s="272">
        <f>'Cap Table'!AN47</f>
        <v>0</v>
      </c>
      <c r="AO32" s="272">
        <f>'Cap Table'!AO47</f>
        <v>0</v>
      </c>
      <c r="AP32" s="272">
        <f>AN32*AN$16+AO32*AO$16</f>
        <v>0</v>
      </c>
      <c r="AQ32" s="288">
        <f t="shared" si="15"/>
        <v>0</v>
      </c>
      <c r="AR32" s="272">
        <f t="shared" si="34"/>
        <v>0</v>
      </c>
      <c r="AS32" s="272">
        <f t="shared" si="35"/>
        <v>0</v>
      </c>
      <c r="AT32" s="288" t="e">
        <f t="shared" si="16"/>
        <v>#DIV/0!</v>
      </c>
      <c r="AU32" s="288" t="e">
        <f t="shared" si="16"/>
        <v>#DIV/0!</v>
      </c>
      <c r="AV32" s="272">
        <f>'Cap Table'!AV47</f>
        <v>0</v>
      </c>
      <c r="AW32" s="272">
        <f>'Cap Table'!AW47</f>
        <v>0</v>
      </c>
      <c r="AX32" s="272">
        <f>AV32*AV$16+AW32*AW$16</f>
        <v>0</v>
      </c>
      <c r="AY32" s="288">
        <f t="shared" si="18"/>
        <v>0</v>
      </c>
      <c r="AZ32" s="272">
        <f t="shared" si="36"/>
        <v>0</v>
      </c>
      <c r="BA32" s="272">
        <f t="shared" si="37"/>
        <v>0</v>
      </c>
      <c r="BB32" s="288" t="e">
        <f t="shared" si="19"/>
        <v>#DIV/0!</v>
      </c>
      <c r="BC32" s="288" t="e">
        <f t="shared" si="19"/>
        <v>#DIV/0!</v>
      </c>
      <c r="BD32" s="272">
        <f>'Cap Table'!BD47</f>
        <v>0</v>
      </c>
      <c r="BE32" s="272">
        <f>'Cap Table'!BE47</f>
        <v>0</v>
      </c>
      <c r="BF32" s="272">
        <f>BD32*BD$16+BE32*BE$16</f>
        <v>0</v>
      </c>
      <c r="BG32" s="288">
        <f t="shared" si="21"/>
        <v>0</v>
      </c>
      <c r="BH32" s="272">
        <f t="shared" si="38"/>
        <v>0</v>
      </c>
      <c r="BI32" s="272">
        <f t="shared" si="39"/>
        <v>0</v>
      </c>
      <c r="BJ32" s="288" t="e">
        <f t="shared" si="22"/>
        <v>#DIV/0!</v>
      </c>
      <c r="BK32" s="288" t="e">
        <f t="shared" si="22"/>
        <v>#DIV/0!</v>
      </c>
      <c r="BL32" s="272">
        <f>'Cap Table'!BL47</f>
        <v>0</v>
      </c>
      <c r="BM32" s="272">
        <f>'Cap Table'!BM47</f>
        <v>0</v>
      </c>
      <c r="BN32" s="272">
        <f>BL32*BL$16+BM32*BM$16</f>
        <v>0</v>
      </c>
      <c r="BO32" s="288">
        <f t="shared" si="23"/>
        <v>0</v>
      </c>
      <c r="BP32" s="272">
        <f t="shared" si="41"/>
        <v>0</v>
      </c>
      <c r="BQ32" s="272">
        <f t="shared" si="42"/>
        <v>0</v>
      </c>
      <c r="BR32" s="288" t="e">
        <f t="shared" si="24"/>
        <v>#DIV/0!</v>
      </c>
      <c r="BS32" s="288" t="e">
        <f t="shared" si="24"/>
        <v>#DIV/0!</v>
      </c>
      <c r="BT32" s="272">
        <f>'Cap Table'!BT47</f>
        <v>0</v>
      </c>
      <c r="BU32" s="272">
        <f>'Cap Table'!BU47</f>
        <v>0</v>
      </c>
      <c r="BV32" s="272">
        <f>BT32*BT$16+BU32*BU$16</f>
        <v>0</v>
      </c>
      <c r="BW32" s="288">
        <f t="shared" si="26"/>
        <v>0</v>
      </c>
      <c r="BX32" s="272">
        <f t="shared" si="43"/>
        <v>0</v>
      </c>
      <c r="BY32" s="272">
        <f t="shared" si="44"/>
        <v>0</v>
      </c>
      <c r="BZ32" s="288" t="e">
        <f t="shared" si="27"/>
        <v>#DIV/0!</v>
      </c>
      <c r="CA32" s="288" t="e">
        <f t="shared" si="27"/>
        <v>#DIV/0!</v>
      </c>
      <c r="CB32" s="180"/>
      <c r="CC32" s="272" t="e">
        <f t="shared" si="45"/>
        <v>#DIV/0!</v>
      </c>
      <c r="CD32" s="180"/>
      <c r="CE32" s="180"/>
    </row>
    <row r="33" spans="1:83" ht="15.75" customHeight="1" x14ac:dyDescent="0.35">
      <c r="A33" s="180"/>
      <c r="B33" s="180"/>
      <c r="D33" s="236" t="str">
        <f>'Cap Table'!D48</f>
        <v>Others 1</v>
      </c>
      <c r="E33" s="272">
        <f>'Cap Table'!E48</f>
        <v>0</v>
      </c>
      <c r="F33" s="272">
        <f>'Cap Table'!F48</f>
        <v>0</v>
      </c>
      <c r="G33" s="272">
        <f>'Cap Table'!G48</f>
        <v>0</v>
      </c>
      <c r="H33" s="272">
        <f>'Cap Table'!H48</f>
        <v>0</v>
      </c>
      <c r="I33" s="272">
        <f>'Cap Table'!I48</f>
        <v>0</v>
      </c>
      <c r="J33" s="272" t="e">
        <f>H33*H$16+I33*I$16</f>
        <v>#DIV/0!</v>
      </c>
      <c r="K33" s="288">
        <f t="shared" si="2"/>
        <v>0</v>
      </c>
      <c r="L33" s="272">
        <f t="shared" si="28"/>
        <v>0</v>
      </c>
      <c r="M33" s="272">
        <f t="shared" si="46"/>
        <v>0</v>
      </c>
      <c r="N33" s="288" t="e">
        <f t="shared" si="3"/>
        <v>#DIV/0!</v>
      </c>
      <c r="O33" s="288" t="e">
        <f t="shared" si="3"/>
        <v>#DIV/0!</v>
      </c>
      <c r="P33" s="272">
        <f>'Cap Table'!P48</f>
        <v>0</v>
      </c>
      <c r="Q33" s="272">
        <f>'Cap Table'!Q48</f>
        <v>0</v>
      </c>
      <c r="R33" s="272">
        <f>P33*P$16+Q33*Q$16</f>
        <v>0</v>
      </c>
      <c r="S33" s="288">
        <f t="shared" si="5"/>
        <v>0</v>
      </c>
      <c r="T33" s="272">
        <f t="shared" si="29"/>
        <v>0</v>
      </c>
      <c r="U33" s="272">
        <f t="shared" si="6"/>
        <v>0</v>
      </c>
      <c r="V33" s="288" t="e">
        <f t="shared" si="7"/>
        <v>#DIV/0!</v>
      </c>
      <c r="W33" s="288" t="e">
        <f t="shared" si="7"/>
        <v>#DIV/0!</v>
      </c>
      <c r="X33" s="272">
        <f>'Cap Table'!X48</f>
        <v>0</v>
      </c>
      <c r="Y33" s="272">
        <f>'Cap Table'!Y48</f>
        <v>0</v>
      </c>
      <c r="Z33" s="272">
        <f>X33*X$16+Y33*Y$16</f>
        <v>0</v>
      </c>
      <c r="AA33" s="288">
        <f t="shared" si="9"/>
        <v>0</v>
      </c>
      <c r="AB33" s="272">
        <f t="shared" si="30"/>
        <v>0</v>
      </c>
      <c r="AC33" s="272">
        <f t="shared" si="31"/>
        <v>0</v>
      </c>
      <c r="AD33" s="288" t="e">
        <f t="shared" si="10"/>
        <v>#DIV/0!</v>
      </c>
      <c r="AE33" s="288" t="e">
        <f t="shared" si="10"/>
        <v>#DIV/0!</v>
      </c>
      <c r="AF33" s="272">
        <f>'Cap Table'!AF48</f>
        <v>0</v>
      </c>
      <c r="AG33" s="272">
        <f>'Cap Table'!AG48</f>
        <v>0</v>
      </c>
      <c r="AH33" s="272">
        <f>AF33*AF$16+AG33*AG$16</f>
        <v>0</v>
      </c>
      <c r="AI33" s="288">
        <f t="shared" si="12"/>
        <v>0</v>
      </c>
      <c r="AJ33" s="272">
        <f t="shared" si="32"/>
        <v>0</v>
      </c>
      <c r="AK33" s="272">
        <f t="shared" si="33"/>
        <v>0</v>
      </c>
      <c r="AL33" s="288" t="e">
        <f t="shared" si="13"/>
        <v>#DIV/0!</v>
      </c>
      <c r="AM33" s="288" t="e">
        <f t="shared" si="13"/>
        <v>#DIV/0!</v>
      </c>
      <c r="AN33" s="272">
        <f>'Cap Table'!AN48</f>
        <v>0</v>
      </c>
      <c r="AO33" s="272">
        <f>'Cap Table'!AO48</f>
        <v>0</v>
      </c>
      <c r="AP33" s="272">
        <f>AN33*AN$16+AO33*AO$16</f>
        <v>0</v>
      </c>
      <c r="AQ33" s="288">
        <f t="shared" si="15"/>
        <v>0</v>
      </c>
      <c r="AR33" s="272">
        <f t="shared" si="34"/>
        <v>0</v>
      </c>
      <c r="AS33" s="272">
        <f t="shared" si="35"/>
        <v>0</v>
      </c>
      <c r="AT33" s="288" t="e">
        <f t="shared" si="16"/>
        <v>#DIV/0!</v>
      </c>
      <c r="AU33" s="288" t="e">
        <f t="shared" si="16"/>
        <v>#DIV/0!</v>
      </c>
      <c r="AV33" s="272">
        <f>'Cap Table'!AV48</f>
        <v>0</v>
      </c>
      <c r="AW33" s="272">
        <f>'Cap Table'!AW48</f>
        <v>0</v>
      </c>
      <c r="AX33" s="272">
        <f>AV33*AV$16+AW33*AW$16</f>
        <v>0</v>
      </c>
      <c r="AY33" s="288">
        <f t="shared" si="18"/>
        <v>0</v>
      </c>
      <c r="AZ33" s="272">
        <f t="shared" si="36"/>
        <v>0</v>
      </c>
      <c r="BA33" s="272">
        <f t="shared" si="37"/>
        <v>0</v>
      </c>
      <c r="BB33" s="288" t="e">
        <f t="shared" si="19"/>
        <v>#DIV/0!</v>
      </c>
      <c r="BC33" s="288" t="e">
        <f t="shared" si="19"/>
        <v>#DIV/0!</v>
      </c>
      <c r="BD33" s="272">
        <f>'Cap Table'!BD48</f>
        <v>0</v>
      </c>
      <c r="BE33" s="272">
        <f>'Cap Table'!BE48</f>
        <v>0</v>
      </c>
      <c r="BF33" s="272">
        <f>BD33*BD$16+BE33*BE$16</f>
        <v>0</v>
      </c>
      <c r="BG33" s="288">
        <f t="shared" si="21"/>
        <v>0</v>
      </c>
      <c r="BH33" s="272">
        <f t="shared" si="38"/>
        <v>0</v>
      </c>
      <c r="BI33" s="272">
        <f t="shared" si="39"/>
        <v>0</v>
      </c>
      <c r="BJ33" s="288" t="e">
        <f t="shared" si="22"/>
        <v>#DIV/0!</v>
      </c>
      <c r="BK33" s="288" t="e">
        <f t="shared" si="22"/>
        <v>#DIV/0!</v>
      </c>
      <c r="BL33" s="272">
        <f>'Cap Table'!BL48</f>
        <v>0</v>
      </c>
      <c r="BM33" s="272">
        <f>'Cap Table'!BM48</f>
        <v>0</v>
      </c>
      <c r="BN33" s="272">
        <f>BL33*BL$16+BM33*BM$16</f>
        <v>0</v>
      </c>
      <c r="BO33" s="288">
        <f t="shared" si="23"/>
        <v>0</v>
      </c>
      <c r="BP33" s="272">
        <f t="shared" si="41"/>
        <v>0</v>
      </c>
      <c r="BQ33" s="272">
        <f t="shared" si="42"/>
        <v>0</v>
      </c>
      <c r="BR33" s="288" t="e">
        <f t="shared" si="24"/>
        <v>#DIV/0!</v>
      </c>
      <c r="BS33" s="288" t="e">
        <f t="shared" si="24"/>
        <v>#DIV/0!</v>
      </c>
      <c r="BT33" s="272">
        <f>'Cap Table'!BT48</f>
        <v>0</v>
      </c>
      <c r="BU33" s="272">
        <f>'Cap Table'!BU48</f>
        <v>0</v>
      </c>
      <c r="BV33" s="272">
        <f>BT33*BT$16+BU33*BU$16</f>
        <v>0</v>
      </c>
      <c r="BW33" s="288">
        <f t="shared" si="26"/>
        <v>0</v>
      </c>
      <c r="BX33" s="272">
        <f t="shared" si="43"/>
        <v>0</v>
      </c>
      <c r="BY33" s="272">
        <f t="shared" si="44"/>
        <v>0</v>
      </c>
      <c r="BZ33" s="288" t="e">
        <f t="shared" si="27"/>
        <v>#DIV/0!</v>
      </c>
      <c r="CA33" s="288" t="e">
        <f t="shared" si="27"/>
        <v>#DIV/0!</v>
      </c>
      <c r="CB33" s="180"/>
      <c r="CC33" s="272" t="e">
        <f t="shared" si="45"/>
        <v>#DIV/0!</v>
      </c>
      <c r="CD33" s="180"/>
      <c r="CE33" s="180"/>
    </row>
    <row r="34" spans="1:83" ht="15.75" customHeight="1" x14ac:dyDescent="0.35">
      <c r="A34" s="180"/>
      <c r="B34" s="180"/>
      <c r="D34" s="272">
        <f>'Cap Table'!D49</f>
        <v>0</v>
      </c>
      <c r="E34" s="272">
        <f>'Cap Table'!E49</f>
        <v>0</v>
      </c>
      <c r="F34" s="272">
        <f>'Cap Table'!F49</f>
        <v>0</v>
      </c>
      <c r="G34" s="272">
        <f>'Cap Table'!G49</f>
        <v>0</v>
      </c>
      <c r="H34" s="272">
        <f>'Cap Table'!H49</f>
        <v>0</v>
      </c>
      <c r="I34" s="272">
        <f>'Cap Table'!I49</f>
        <v>0</v>
      </c>
      <c r="J34" s="272" t="e">
        <f>H34*H$16+I34*I$16</f>
        <v>#DIV/0!</v>
      </c>
      <c r="K34" s="288">
        <f t="shared" si="2"/>
        <v>0</v>
      </c>
      <c r="L34" s="272">
        <f t="shared" si="28"/>
        <v>0</v>
      </c>
      <c r="M34" s="272">
        <f t="shared" si="46"/>
        <v>0</v>
      </c>
      <c r="N34" s="288" t="e">
        <f t="shared" si="3"/>
        <v>#DIV/0!</v>
      </c>
      <c r="O34" s="288" t="e">
        <f t="shared" si="3"/>
        <v>#DIV/0!</v>
      </c>
      <c r="P34" s="272">
        <f>'Cap Table'!P49</f>
        <v>0</v>
      </c>
      <c r="Q34" s="272">
        <f>'Cap Table'!Q49</f>
        <v>0</v>
      </c>
      <c r="R34" s="272">
        <f>P34*P$16+Q34*Q$16</f>
        <v>0</v>
      </c>
      <c r="S34" s="288">
        <f t="shared" si="5"/>
        <v>0</v>
      </c>
      <c r="T34" s="272">
        <f t="shared" si="29"/>
        <v>0</v>
      </c>
      <c r="U34" s="272"/>
      <c r="V34" s="288" t="e">
        <f t="shared" si="7"/>
        <v>#DIV/0!</v>
      </c>
      <c r="W34" s="288" t="e">
        <f t="shared" si="7"/>
        <v>#DIV/0!</v>
      </c>
      <c r="X34" s="272">
        <f>'Cap Table'!X49</f>
        <v>0</v>
      </c>
      <c r="Y34" s="272">
        <f>'Cap Table'!Y49</f>
        <v>0</v>
      </c>
      <c r="Z34" s="272">
        <f>X34*X$16+Y34*Y$16</f>
        <v>0</v>
      </c>
      <c r="AA34" s="288">
        <f t="shared" si="9"/>
        <v>0</v>
      </c>
      <c r="AB34" s="272">
        <f t="shared" si="30"/>
        <v>0</v>
      </c>
      <c r="AC34" s="272">
        <f t="shared" si="31"/>
        <v>0</v>
      </c>
      <c r="AD34" s="288" t="e">
        <f t="shared" si="10"/>
        <v>#DIV/0!</v>
      </c>
      <c r="AE34" s="288" t="e">
        <f t="shared" si="10"/>
        <v>#DIV/0!</v>
      </c>
      <c r="AF34" s="272">
        <f>'Cap Table'!AF49</f>
        <v>0</v>
      </c>
      <c r="AG34" s="272">
        <f>'Cap Table'!AG49</f>
        <v>0</v>
      </c>
      <c r="AH34" s="272">
        <f>AF34*AF$16+AG34*AG$16</f>
        <v>0</v>
      </c>
      <c r="AI34" s="288">
        <f t="shared" si="12"/>
        <v>0</v>
      </c>
      <c r="AJ34" s="272">
        <f t="shared" si="32"/>
        <v>0</v>
      </c>
      <c r="AK34" s="272">
        <f t="shared" si="33"/>
        <v>0</v>
      </c>
      <c r="AL34" s="288" t="e">
        <f t="shared" si="13"/>
        <v>#DIV/0!</v>
      </c>
      <c r="AM34" s="288" t="e">
        <f t="shared" si="13"/>
        <v>#DIV/0!</v>
      </c>
      <c r="AN34" s="272">
        <f>'Cap Table'!AN49</f>
        <v>0</v>
      </c>
      <c r="AO34" s="272">
        <f>'Cap Table'!AO49</f>
        <v>0</v>
      </c>
      <c r="AP34" s="272">
        <f>AN34*AN$16+AO34*AO$16</f>
        <v>0</v>
      </c>
      <c r="AQ34" s="288">
        <f t="shared" si="15"/>
        <v>0</v>
      </c>
      <c r="AR34" s="272">
        <f t="shared" si="34"/>
        <v>0</v>
      </c>
      <c r="AS34" s="272">
        <f t="shared" si="35"/>
        <v>0</v>
      </c>
      <c r="AT34" s="288" t="e">
        <f t="shared" si="16"/>
        <v>#DIV/0!</v>
      </c>
      <c r="AU34" s="288" t="e">
        <f t="shared" si="16"/>
        <v>#DIV/0!</v>
      </c>
      <c r="AV34" s="272">
        <f>'Cap Table'!AV49</f>
        <v>0</v>
      </c>
      <c r="AW34" s="272">
        <f>'Cap Table'!AW49</f>
        <v>0</v>
      </c>
      <c r="AX34" s="272">
        <f>AV34*AV$16+AW34*AW$16</f>
        <v>0</v>
      </c>
      <c r="AY34" s="288">
        <f t="shared" si="18"/>
        <v>0</v>
      </c>
      <c r="AZ34" s="272">
        <f t="shared" si="36"/>
        <v>0</v>
      </c>
      <c r="BA34" s="272">
        <f t="shared" si="37"/>
        <v>0</v>
      </c>
      <c r="BB34" s="288" t="e">
        <f t="shared" si="19"/>
        <v>#DIV/0!</v>
      </c>
      <c r="BC34" s="288" t="e">
        <f t="shared" si="19"/>
        <v>#DIV/0!</v>
      </c>
      <c r="BD34" s="272">
        <f>'Cap Table'!BD49</f>
        <v>0</v>
      </c>
      <c r="BE34" s="272">
        <f>'Cap Table'!BE49</f>
        <v>0</v>
      </c>
      <c r="BF34" s="272">
        <f>BD34*BD$16+BE34*BE$16</f>
        <v>0</v>
      </c>
      <c r="BG34" s="288">
        <f t="shared" si="21"/>
        <v>0</v>
      </c>
      <c r="BH34" s="272">
        <f t="shared" si="38"/>
        <v>0</v>
      </c>
      <c r="BI34" s="272">
        <f t="shared" si="39"/>
        <v>0</v>
      </c>
      <c r="BJ34" s="288" t="e">
        <f t="shared" si="22"/>
        <v>#DIV/0!</v>
      </c>
      <c r="BK34" s="288" t="e">
        <f t="shared" si="22"/>
        <v>#DIV/0!</v>
      </c>
      <c r="BL34" s="272">
        <f>'Cap Table'!BL49</f>
        <v>0</v>
      </c>
      <c r="BM34" s="272">
        <f>'Cap Table'!BM49</f>
        <v>0</v>
      </c>
      <c r="BN34" s="272">
        <f>BL34*BL$16+BM34*BM$16</f>
        <v>0</v>
      </c>
      <c r="BO34" s="288">
        <f t="shared" si="23"/>
        <v>0</v>
      </c>
      <c r="BP34" s="272">
        <f t="shared" si="41"/>
        <v>0</v>
      </c>
      <c r="BQ34" s="272">
        <f t="shared" si="42"/>
        <v>0</v>
      </c>
      <c r="BR34" s="288" t="e">
        <f t="shared" si="24"/>
        <v>#DIV/0!</v>
      </c>
      <c r="BS34" s="288" t="e">
        <f t="shared" si="24"/>
        <v>#DIV/0!</v>
      </c>
      <c r="BT34" s="272">
        <f>'Cap Table'!BT49</f>
        <v>0</v>
      </c>
      <c r="BU34" s="272">
        <f>'Cap Table'!BU49</f>
        <v>0</v>
      </c>
      <c r="BV34" s="272">
        <f>BT34*BT$16+BU34*BU$16</f>
        <v>0</v>
      </c>
      <c r="BW34" s="288">
        <f t="shared" si="26"/>
        <v>0</v>
      </c>
      <c r="BX34" s="272">
        <f t="shared" si="43"/>
        <v>0</v>
      </c>
      <c r="BY34" s="272">
        <f t="shared" si="44"/>
        <v>0</v>
      </c>
      <c r="BZ34" s="288" t="e">
        <f t="shared" si="27"/>
        <v>#DIV/0!</v>
      </c>
      <c r="CA34" s="288" t="e">
        <f t="shared" si="27"/>
        <v>#DIV/0!</v>
      </c>
      <c r="CB34" s="180"/>
      <c r="CC34" s="272" t="e">
        <f t="shared" si="45"/>
        <v>#DIV/0!</v>
      </c>
      <c r="CD34" s="180"/>
      <c r="CE34" s="180"/>
    </row>
    <row r="35" spans="1:83" s="181" customFormat="1" ht="7.5" customHeight="1" x14ac:dyDescent="0.35">
      <c r="A35" s="180"/>
      <c r="B35" s="180"/>
      <c r="C35" s="179"/>
      <c r="D35" s="180"/>
      <c r="E35" s="180"/>
      <c r="F35" s="180"/>
      <c r="G35" s="235"/>
      <c r="H35" s="180"/>
      <c r="I35" s="180"/>
      <c r="K35" s="180"/>
      <c r="L35" s="180"/>
      <c r="N35" s="180"/>
      <c r="O35" s="235"/>
      <c r="P35" s="180"/>
      <c r="Q35" s="180"/>
      <c r="S35" s="180"/>
      <c r="T35" s="180"/>
      <c r="V35" s="180"/>
      <c r="W35" s="235"/>
      <c r="X35" s="180"/>
      <c r="Y35" s="180"/>
      <c r="AA35" s="180"/>
      <c r="AB35" s="180"/>
      <c r="AD35" s="180"/>
      <c r="AE35" s="235"/>
      <c r="AF35" s="180"/>
      <c r="AG35" s="180"/>
      <c r="AI35" s="180"/>
      <c r="AJ35" s="180"/>
      <c r="AL35" s="180"/>
      <c r="AM35" s="235"/>
      <c r="AN35" s="180"/>
      <c r="AO35" s="180"/>
      <c r="AQ35" s="180"/>
      <c r="AR35" s="180"/>
      <c r="AT35" s="180"/>
      <c r="AU35" s="235"/>
      <c r="AV35" s="180"/>
      <c r="AW35" s="180"/>
      <c r="AY35" s="180"/>
      <c r="AZ35" s="180"/>
      <c r="BB35" s="180"/>
      <c r="BC35" s="235"/>
      <c r="BD35" s="180"/>
      <c r="BE35" s="180"/>
      <c r="BG35" s="180"/>
      <c r="BH35" s="180"/>
      <c r="BJ35" s="180"/>
      <c r="BK35" s="235"/>
      <c r="BL35" s="180"/>
      <c r="BM35" s="180"/>
      <c r="BO35" s="180"/>
      <c r="BP35" s="180"/>
      <c r="BR35" s="180"/>
      <c r="BS35" s="235"/>
      <c r="BT35" s="180"/>
      <c r="BU35" s="180"/>
      <c r="BW35" s="180"/>
      <c r="BX35" s="180"/>
      <c r="BZ35" s="180"/>
      <c r="CA35" s="235"/>
      <c r="CB35" s="180"/>
      <c r="CD35" s="180"/>
      <c r="CE35" s="180"/>
    </row>
    <row r="36" spans="1:83" ht="15.75" customHeight="1" x14ac:dyDescent="0.35">
      <c r="A36" s="180"/>
      <c r="B36" s="180"/>
      <c r="D36" s="236" t="s">
        <v>72</v>
      </c>
      <c r="E36" s="289"/>
      <c r="F36" s="290"/>
      <c r="G36" s="272">
        <f>'Cap Table'!G51</f>
        <v>0</v>
      </c>
      <c r="H36" s="289"/>
      <c r="I36" s="291"/>
      <c r="J36" s="292"/>
      <c r="K36" s="292"/>
      <c r="L36" s="277"/>
      <c r="M36" s="293">
        <f>IF(SUM($E36:$G36)=0,,SUM($E36:$G36))</f>
        <v>0</v>
      </c>
      <c r="N36" s="294"/>
      <c r="O36" s="295" t="e">
        <f>M36/M$40</f>
        <v>#DIV/0!</v>
      </c>
      <c r="P36" s="289"/>
      <c r="Q36" s="291"/>
      <c r="R36" s="292"/>
      <c r="S36" s="292"/>
      <c r="T36" s="277"/>
      <c r="U36" s="293">
        <f>IF(M36=0,,M36)</f>
        <v>0</v>
      </c>
      <c r="V36" s="294"/>
      <c r="W36" s="295" t="e">
        <f>U36/U$40</f>
        <v>#DIV/0!</v>
      </c>
      <c r="X36" s="289"/>
      <c r="Y36" s="291"/>
      <c r="Z36" s="292"/>
      <c r="AA36" s="292"/>
      <c r="AB36" s="277"/>
      <c r="AC36" s="293">
        <f>IF(U36=0,,U36)</f>
        <v>0</v>
      </c>
      <c r="AD36" s="294"/>
      <c r="AE36" s="295" t="e">
        <f>AC36/AC$40</f>
        <v>#DIV/0!</v>
      </c>
      <c r="AF36" s="289"/>
      <c r="AG36" s="291"/>
      <c r="AH36" s="292"/>
      <c r="AI36" s="292"/>
      <c r="AJ36" s="277"/>
      <c r="AK36" s="293">
        <f>IF(AC36=0,,AC36)</f>
        <v>0</v>
      </c>
      <c r="AL36" s="294"/>
      <c r="AM36" s="295" t="e">
        <f>AK36/AK$40</f>
        <v>#DIV/0!</v>
      </c>
      <c r="AN36" s="289"/>
      <c r="AO36" s="291"/>
      <c r="AP36" s="292"/>
      <c r="AQ36" s="292"/>
      <c r="AR36" s="277"/>
      <c r="AS36" s="293">
        <f>IF(AK36=0,,AK36)</f>
        <v>0</v>
      </c>
      <c r="AT36" s="294"/>
      <c r="AU36" s="295" t="e">
        <f>AS36/AS$40</f>
        <v>#DIV/0!</v>
      </c>
      <c r="AV36" s="289"/>
      <c r="AW36" s="291"/>
      <c r="AX36" s="292"/>
      <c r="AY36" s="292"/>
      <c r="AZ36" s="277"/>
      <c r="BA36" s="293">
        <f>IF(AS36=0,,AS36)</f>
        <v>0</v>
      </c>
      <c r="BB36" s="294"/>
      <c r="BC36" s="295" t="e">
        <f>BA36/BA$40</f>
        <v>#DIV/0!</v>
      </c>
      <c r="BD36" s="289"/>
      <c r="BE36" s="291"/>
      <c r="BF36" s="292"/>
      <c r="BG36" s="292"/>
      <c r="BH36" s="277"/>
      <c r="BI36" s="293">
        <f>IF(BA36=0,,BA36)</f>
        <v>0</v>
      </c>
      <c r="BJ36" s="294"/>
      <c r="BK36" s="295" t="e">
        <f>BI36/BI$40</f>
        <v>#DIV/0!</v>
      </c>
      <c r="BL36" s="289"/>
      <c r="BM36" s="291"/>
      <c r="BN36" s="292"/>
      <c r="BO36" s="292"/>
      <c r="BP36" s="277"/>
      <c r="BQ36" s="293">
        <f>IF(BI36=0,,BI36)</f>
        <v>0</v>
      </c>
      <c r="BR36" s="294"/>
      <c r="BS36" s="295" t="e">
        <f>BQ36/BQ$40</f>
        <v>#DIV/0!</v>
      </c>
      <c r="BT36" s="289"/>
      <c r="BU36" s="291"/>
      <c r="BV36" s="292"/>
      <c r="BW36" s="292"/>
      <c r="BX36" s="277"/>
      <c r="BY36" s="293">
        <f>IF(BQ36=0,,BQ36)</f>
        <v>0</v>
      </c>
      <c r="BZ36" s="294"/>
      <c r="CA36" s="295" t="e">
        <f>BY36/BY$40</f>
        <v>#DIV/0!</v>
      </c>
      <c r="CB36" s="180"/>
      <c r="CC36" s="294"/>
      <c r="CD36" s="180"/>
      <c r="CE36" s="180"/>
    </row>
    <row r="37" spans="1:83" ht="15.75" customHeight="1" x14ac:dyDescent="0.35">
      <c r="A37" s="180"/>
      <c r="B37" s="180"/>
      <c r="C37" s="247" t="s">
        <v>74</v>
      </c>
      <c r="D37" s="236" t="s">
        <v>75</v>
      </c>
      <c r="E37" s="296"/>
      <c r="F37" s="297"/>
      <c r="G37" s="272">
        <f>'Cap Table'!G52</f>
        <v>0</v>
      </c>
      <c r="H37" s="296"/>
      <c r="I37" s="298"/>
      <c r="J37" s="275"/>
      <c r="K37" s="275"/>
      <c r="L37" s="280"/>
      <c r="M37" s="293">
        <f>IF(SUM($E37:$G37)=0,,SUM($E37:$G37))</f>
        <v>0</v>
      </c>
      <c r="N37" s="299"/>
      <c r="O37" s="295" t="e">
        <f>M37/M$40</f>
        <v>#DIV/0!</v>
      </c>
      <c r="P37" s="296"/>
      <c r="Q37" s="298"/>
      <c r="R37" s="275"/>
      <c r="S37" s="275"/>
      <c r="T37" s="280"/>
      <c r="U37" s="293">
        <f>IF((M37+M38)=0,,(M37+M38))</f>
        <v>0</v>
      </c>
      <c r="V37" s="299"/>
      <c r="W37" s="295" t="e">
        <f>U37/U$40</f>
        <v>#DIV/0!</v>
      </c>
      <c r="X37" s="296"/>
      <c r="Y37" s="298"/>
      <c r="Z37" s="275"/>
      <c r="AA37" s="275"/>
      <c r="AB37" s="280"/>
      <c r="AC37" s="293">
        <f>IF((U37+U38)=0,,(U37+U38))</f>
        <v>0</v>
      </c>
      <c r="AD37" s="299"/>
      <c r="AE37" s="295" t="e">
        <f>AC37/AC$40</f>
        <v>#DIV/0!</v>
      </c>
      <c r="AF37" s="296"/>
      <c r="AG37" s="298"/>
      <c r="AH37" s="275"/>
      <c r="AI37" s="275"/>
      <c r="AJ37" s="280"/>
      <c r="AK37" s="293">
        <f>IF((AC37+AC38)=0,,(AC37+AC38))</f>
        <v>0</v>
      </c>
      <c r="AL37" s="299"/>
      <c r="AM37" s="295" t="e">
        <f>AK37/AK$40</f>
        <v>#DIV/0!</v>
      </c>
      <c r="AN37" s="296"/>
      <c r="AO37" s="298"/>
      <c r="AP37" s="275"/>
      <c r="AQ37" s="275"/>
      <c r="AR37" s="280"/>
      <c r="AS37" s="293">
        <f>IF((AK37+AK38)=0,,(AK37+AK38))</f>
        <v>0</v>
      </c>
      <c r="AT37" s="299"/>
      <c r="AU37" s="295" t="e">
        <f>AS37/AS$40</f>
        <v>#DIV/0!</v>
      </c>
      <c r="AV37" s="296"/>
      <c r="AW37" s="298"/>
      <c r="AX37" s="275"/>
      <c r="AY37" s="275"/>
      <c r="AZ37" s="280"/>
      <c r="BA37" s="293">
        <f>IF((AS37+AS38)=0,,(AS37+AS38))</f>
        <v>0</v>
      </c>
      <c r="BB37" s="299"/>
      <c r="BC37" s="295" t="e">
        <f>BA37/BA$40</f>
        <v>#DIV/0!</v>
      </c>
      <c r="BD37" s="296"/>
      <c r="BE37" s="298"/>
      <c r="BF37" s="275"/>
      <c r="BG37" s="275"/>
      <c r="BH37" s="280"/>
      <c r="BI37" s="293">
        <f>IF((BA37+BA38)=0,,(BA37+BA38))</f>
        <v>0</v>
      </c>
      <c r="BJ37" s="299"/>
      <c r="BK37" s="295" t="e">
        <f>BI37/BI$40</f>
        <v>#DIV/0!</v>
      </c>
      <c r="BL37" s="296"/>
      <c r="BM37" s="298"/>
      <c r="BN37" s="275"/>
      <c r="BO37" s="275"/>
      <c r="BP37" s="280"/>
      <c r="BQ37" s="293">
        <f>IF((BI37+BI38)=0,,(BI37+BI38))</f>
        <v>0</v>
      </c>
      <c r="BR37" s="299"/>
      <c r="BS37" s="295" t="e">
        <f>BQ37/BQ$40</f>
        <v>#DIV/0!</v>
      </c>
      <c r="BT37" s="296"/>
      <c r="BU37" s="298"/>
      <c r="BV37" s="275"/>
      <c r="BW37" s="275"/>
      <c r="BX37" s="280"/>
      <c r="BY37" s="293">
        <f>IF((BQ37+BQ38)=0,,(BQ37+BQ38))</f>
        <v>0</v>
      </c>
      <c r="BZ37" s="299"/>
      <c r="CA37" s="295" t="e">
        <f>BY37/BY$40</f>
        <v>#DIV/0!</v>
      </c>
      <c r="CB37" s="180"/>
      <c r="CC37" s="299"/>
      <c r="CD37" s="180"/>
      <c r="CE37" s="180"/>
    </row>
    <row r="38" spans="1:83" ht="15.75" customHeight="1" x14ac:dyDescent="0.35">
      <c r="A38" s="180"/>
      <c r="B38" s="180"/>
      <c r="C38" s="247" t="s">
        <v>76</v>
      </c>
      <c r="D38" s="236" t="s">
        <v>77</v>
      </c>
      <c r="E38" s="272" t="str">
        <f>'Cap Table'!E53</f>
        <v>Pre-Money</v>
      </c>
      <c r="F38" s="300"/>
      <c r="G38" s="272">
        <f>'Cap Table'!G53</f>
        <v>0</v>
      </c>
      <c r="H38" s="300"/>
      <c r="I38" s="301"/>
      <c r="J38" s="284"/>
      <c r="K38" s="284"/>
      <c r="L38" s="285"/>
      <c r="M38" s="293">
        <f>IF(AND($E$6=H13,$E$38=$C$37),$G$38,IF(AND($E$6=P13:P13,$E$38=$C$38),$G$38,0))</f>
        <v>0</v>
      </c>
      <c r="N38" s="302"/>
      <c r="O38" s="295" t="e">
        <f>M38/M$40</f>
        <v>#DIV/0!</v>
      </c>
      <c r="P38" s="300"/>
      <c r="Q38" s="301"/>
      <c r="R38" s="284"/>
      <c r="S38" s="284"/>
      <c r="T38" s="285"/>
      <c r="U38" s="293">
        <f>IF(AND($E$6=P13,$E$38=$C$37),$G$38,IF(AND($E$6=X13:X13,$E$38=$C$38),$G$38,0))</f>
        <v>0</v>
      </c>
      <c r="V38" s="302"/>
      <c r="W38" s="295" t="e">
        <f>U38/U$40</f>
        <v>#DIV/0!</v>
      </c>
      <c r="X38" s="300"/>
      <c r="Y38" s="301"/>
      <c r="Z38" s="284"/>
      <c r="AA38" s="284"/>
      <c r="AB38" s="285"/>
      <c r="AC38" s="293">
        <f>IF(AND($E$6=X13,$E$38=$C$37),$G$38,IF(AND($E$6=AF13:AF13,$E$38=$C$38),$G$38,0))</f>
        <v>0</v>
      </c>
      <c r="AD38" s="302"/>
      <c r="AE38" s="295" t="e">
        <f>AC38/AC$40</f>
        <v>#DIV/0!</v>
      </c>
      <c r="AF38" s="300"/>
      <c r="AG38" s="301"/>
      <c r="AH38" s="284"/>
      <c r="AI38" s="284"/>
      <c r="AJ38" s="285"/>
      <c r="AK38" s="293">
        <f>IF(AND($E$6=AF13,$E$38=$C$37),$G$38,IF(AND($E$6=AN13:AN13,$E$38=$C$38),$G$38,0))</f>
        <v>0</v>
      </c>
      <c r="AL38" s="302"/>
      <c r="AM38" s="295" t="e">
        <f>AK38/AK$40</f>
        <v>#DIV/0!</v>
      </c>
      <c r="AN38" s="300"/>
      <c r="AO38" s="301"/>
      <c r="AP38" s="284"/>
      <c r="AQ38" s="284"/>
      <c r="AR38" s="285"/>
      <c r="AS38" s="293">
        <f>IF(AND($E$6=AN13,$E$38=$C$37),$G$38,IF(AND($E$6=AV13:AV13,$E$38=$C$38),$G$38,0))</f>
        <v>0</v>
      </c>
      <c r="AT38" s="302"/>
      <c r="AU38" s="295" t="e">
        <f>AS38/AS$40</f>
        <v>#DIV/0!</v>
      </c>
      <c r="AV38" s="300"/>
      <c r="AW38" s="301"/>
      <c r="AX38" s="284"/>
      <c r="AY38" s="284"/>
      <c r="AZ38" s="285"/>
      <c r="BA38" s="293">
        <f>IF(AND($E$6=AV13,$E$38=$C$37),$G$38,IF(AND($E$6=BD13:BD13,$E$38=$C$38),$G$38,0))</f>
        <v>0</v>
      </c>
      <c r="BB38" s="302"/>
      <c r="BC38" s="295" t="e">
        <f>BA38/BA$40</f>
        <v>#DIV/0!</v>
      </c>
      <c r="BD38" s="300"/>
      <c r="BE38" s="301"/>
      <c r="BF38" s="284"/>
      <c r="BG38" s="284"/>
      <c r="BH38" s="285"/>
      <c r="BI38" s="293">
        <f>IF(AND($E$6=BD13,$E$38=$C$37),$G$38,IF(AND($E$6=BL13:BL13,$E$38=$C$38),$G$38,0))</f>
        <v>0</v>
      </c>
      <c r="BJ38" s="302"/>
      <c r="BK38" s="295" t="e">
        <f>BI38/BI$40</f>
        <v>#DIV/0!</v>
      </c>
      <c r="BL38" s="300"/>
      <c r="BM38" s="301"/>
      <c r="BN38" s="284"/>
      <c r="BO38" s="284"/>
      <c r="BP38" s="285"/>
      <c r="BQ38" s="293">
        <f>IF(AND($E$6=BL13,$E$38=$C$37),$G$38,IF(AND($E$6=BT13:BT13,$E$38=$C$38),$G$38,0))</f>
        <v>0</v>
      </c>
      <c r="BR38" s="302"/>
      <c r="BS38" s="295" t="e">
        <f>BQ38/BQ$40</f>
        <v>#DIV/0!</v>
      </c>
      <c r="BT38" s="300"/>
      <c r="BU38" s="301"/>
      <c r="BV38" s="284"/>
      <c r="BW38" s="284"/>
      <c r="BX38" s="285"/>
      <c r="BY38" s="293">
        <f>IF(AND($E$6=BT13,$E$38=$C$37),$G$38,IF(AND($E$6=CB13:CB13,$E$38=$C$38),$G$38,0))</f>
        <v>0</v>
      </c>
      <c r="BZ38" s="302"/>
      <c r="CA38" s="295" t="e">
        <f>BY38/BY$40</f>
        <v>#DIV/0!</v>
      </c>
      <c r="CB38" s="180"/>
      <c r="CC38" s="302"/>
      <c r="CD38" s="180"/>
      <c r="CE38" s="180"/>
    </row>
    <row r="39" spans="1:83" s="181" customFormat="1" ht="7.5" customHeight="1" x14ac:dyDescent="0.35">
      <c r="A39" s="180"/>
      <c r="B39" s="180"/>
      <c r="C39" s="179"/>
      <c r="D39" s="180"/>
      <c r="E39" s="180"/>
      <c r="F39" s="180"/>
      <c r="G39" s="235"/>
      <c r="N39" s="180"/>
      <c r="V39" s="180"/>
      <c r="AD39" s="180"/>
      <c r="AL39" s="180"/>
      <c r="AT39" s="180"/>
      <c r="BB39" s="180"/>
      <c r="BJ39" s="180"/>
      <c r="BR39" s="180"/>
      <c r="BZ39" s="180"/>
    </row>
    <row r="40" spans="1:83" s="190" customFormat="1" ht="15.75" customHeight="1" x14ac:dyDescent="0.35">
      <c r="A40" s="180"/>
      <c r="B40" s="180"/>
      <c r="D40" s="303" t="s">
        <v>78</v>
      </c>
      <c r="E40" s="304">
        <f>SUM(E20:E37)</f>
        <v>0</v>
      </c>
      <c r="F40" s="304">
        <f>SUM(F20:F37)</f>
        <v>0</v>
      </c>
      <c r="G40" s="304">
        <f>SUM(G20:G38)</f>
        <v>0</v>
      </c>
      <c r="H40" s="304">
        <f>SUM(H20:H34)</f>
        <v>0</v>
      </c>
      <c r="I40" s="304">
        <f>SUM(I20:I34)</f>
        <v>0</v>
      </c>
      <c r="J40" s="304" t="e">
        <f>SUM(J20:J34)</f>
        <v>#DIV/0!</v>
      </c>
      <c r="K40" s="305">
        <f>SUM(K20:K34)</f>
        <v>0</v>
      </c>
      <c r="L40" s="304">
        <f>SUM(L20:L34)</f>
        <v>0</v>
      </c>
      <c r="M40" s="304">
        <f>SUM(M20:M38)</f>
        <v>0</v>
      </c>
      <c r="N40" s="305" t="e">
        <f>SUM(N20:N34)</f>
        <v>#DIV/0!</v>
      </c>
      <c r="O40" s="305" t="e">
        <f>SUM(O20:O38)</f>
        <v>#DIV/0!</v>
      </c>
      <c r="P40" s="304">
        <f>SUM(P20:P34)</f>
        <v>0</v>
      </c>
      <c r="Q40" s="304">
        <f>SUM(Q20:Q34)</f>
        <v>0</v>
      </c>
      <c r="R40" s="304">
        <f>SUM(R20:R34)</f>
        <v>0</v>
      </c>
      <c r="S40" s="305">
        <f>SUM(S20:S34)</f>
        <v>0</v>
      </c>
      <c r="T40" s="304">
        <f>SUM(T20:T34)</f>
        <v>0</v>
      </c>
      <c r="U40" s="304">
        <f>SUM(U20:U38)</f>
        <v>0</v>
      </c>
      <c r="V40" s="305" t="e">
        <f>SUM(V20:V34)</f>
        <v>#DIV/0!</v>
      </c>
      <c r="W40" s="305" t="e">
        <f>SUM(W20:W38)</f>
        <v>#DIV/0!</v>
      </c>
      <c r="X40" s="304">
        <f>SUM(X20:X34)</f>
        <v>0</v>
      </c>
      <c r="Y40" s="304">
        <f>SUM(Y20:Y34)</f>
        <v>0</v>
      </c>
      <c r="Z40" s="304">
        <f>SUM(Z20:Z34)</f>
        <v>0</v>
      </c>
      <c r="AA40" s="305">
        <f>SUM(AA20:AA34)</f>
        <v>0</v>
      </c>
      <c r="AB40" s="304">
        <f>SUM(AB20:AB34)</f>
        <v>0</v>
      </c>
      <c r="AC40" s="304">
        <f>SUM(AC20:AC38)</f>
        <v>0</v>
      </c>
      <c r="AD40" s="305" t="e">
        <f>SUM(AD20:AD34)</f>
        <v>#DIV/0!</v>
      </c>
      <c r="AE40" s="305" t="e">
        <f>SUM(AE20:AE38)</f>
        <v>#DIV/0!</v>
      </c>
      <c r="AF40" s="304">
        <f>SUM(AF20:AF34)</f>
        <v>0</v>
      </c>
      <c r="AG40" s="304">
        <f>SUM(AG20:AG34)</f>
        <v>0</v>
      </c>
      <c r="AH40" s="304">
        <f>SUM(AH20:AH34)</f>
        <v>0</v>
      </c>
      <c r="AI40" s="305">
        <f>SUM(AI20:AI34)</f>
        <v>0</v>
      </c>
      <c r="AJ40" s="304">
        <f>SUM(AJ20:AJ34)</f>
        <v>0</v>
      </c>
      <c r="AK40" s="304">
        <f>SUM(AK20:AK38)</f>
        <v>0</v>
      </c>
      <c r="AL40" s="305" t="e">
        <f>SUM(AL20:AL34)</f>
        <v>#DIV/0!</v>
      </c>
      <c r="AM40" s="305" t="e">
        <f>SUM(AM20:AM38)</f>
        <v>#DIV/0!</v>
      </c>
      <c r="AN40" s="304">
        <f>SUM(AN20:AN34)</f>
        <v>0</v>
      </c>
      <c r="AO40" s="304">
        <f>SUM(AO20:AO34)</f>
        <v>0</v>
      </c>
      <c r="AP40" s="304">
        <f>SUM(AP20:AP34)</f>
        <v>0</v>
      </c>
      <c r="AQ40" s="305">
        <f>SUM(AQ20:AQ34)</f>
        <v>0</v>
      </c>
      <c r="AR40" s="304">
        <f>SUM(AR20:AR34)</f>
        <v>0</v>
      </c>
      <c r="AS40" s="304">
        <f>SUM(AS20:AS38)</f>
        <v>0</v>
      </c>
      <c r="AT40" s="305" t="e">
        <f>SUM(AT20:AT34)</f>
        <v>#DIV/0!</v>
      </c>
      <c r="AU40" s="305" t="e">
        <f>SUM(AU20:AU38)</f>
        <v>#DIV/0!</v>
      </c>
      <c r="AV40" s="304">
        <f>SUM(AV20:AV34)</f>
        <v>0</v>
      </c>
      <c r="AW40" s="304">
        <f>SUM(AW20:AW34)</f>
        <v>0</v>
      </c>
      <c r="AX40" s="304">
        <f>SUM(AX20:AX34)</f>
        <v>0</v>
      </c>
      <c r="AY40" s="305">
        <f>SUM(AY20:AY34)</f>
        <v>0</v>
      </c>
      <c r="AZ40" s="304">
        <f>SUM(AZ20:AZ34)</f>
        <v>0</v>
      </c>
      <c r="BA40" s="304">
        <f>SUM(BA20:BA38)</f>
        <v>0</v>
      </c>
      <c r="BB40" s="305" t="e">
        <f>SUM(BB20:BB34)</f>
        <v>#DIV/0!</v>
      </c>
      <c r="BC40" s="305" t="e">
        <f>SUM(BC20:BC38)</f>
        <v>#DIV/0!</v>
      </c>
      <c r="BD40" s="304">
        <f>SUM(BD20:BD34)</f>
        <v>0</v>
      </c>
      <c r="BE40" s="304">
        <f>SUM(BE20:BE34)</f>
        <v>0</v>
      </c>
      <c r="BF40" s="304">
        <f>SUM(BF20:BF34)</f>
        <v>0</v>
      </c>
      <c r="BG40" s="305">
        <f>SUM(BG20:BG34)</f>
        <v>0</v>
      </c>
      <c r="BH40" s="304">
        <f>SUM(BH20:BH34)</f>
        <v>0</v>
      </c>
      <c r="BI40" s="304">
        <f>SUM(BI20:BI38)</f>
        <v>0</v>
      </c>
      <c r="BJ40" s="305" t="e">
        <f>SUM(BJ20:BJ34)</f>
        <v>#DIV/0!</v>
      </c>
      <c r="BK40" s="305" t="e">
        <f>SUM(BK20:BK38)</f>
        <v>#DIV/0!</v>
      </c>
      <c r="BL40" s="304">
        <f>SUM(BL20:BL34)</f>
        <v>0</v>
      </c>
      <c r="BM40" s="304">
        <f>SUM(BM20:BM34)</f>
        <v>0</v>
      </c>
      <c r="BN40" s="304">
        <f>SUM(BN20:BN34)</f>
        <v>0</v>
      </c>
      <c r="BO40" s="305">
        <f>SUM(BO20:BO34)</f>
        <v>0</v>
      </c>
      <c r="BP40" s="304">
        <f>SUM(BP20:BP34)</f>
        <v>0</v>
      </c>
      <c r="BQ40" s="304">
        <f>SUM(BQ20:BQ38)</f>
        <v>0</v>
      </c>
      <c r="BR40" s="305" t="e">
        <f>SUM(BR20:BR34)</f>
        <v>#DIV/0!</v>
      </c>
      <c r="BS40" s="305" t="e">
        <f>SUM(BS20:BS38)</f>
        <v>#DIV/0!</v>
      </c>
      <c r="BT40" s="304">
        <f>SUM(BT20:BT34)</f>
        <v>0</v>
      </c>
      <c r="BU40" s="304">
        <f>SUM(BU20:BU34)</f>
        <v>0</v>
      </c>
      <c r="BV40" s="304">
        <f>SUM(BV20:BV34)</f>
        <v>0</v>
      </c>
      <c r="BW40" s="305">
        <f>SUM(BW20:BW34)</f>
        <v>0</v>
      </c>
      <c r="BX40" s="304">
        <f>SUM(BX20:BX34)</f>
        <v>0</v>
      </c>
      <c r="BY40" s="304">
        <f>SUM(BY20:BY38)</f>
        <v>0</v>
      </c>
      <c r="BZ40" s="305" t="e">
        <f>SUM(BZ20:BZ34)</f>
        <v>#DIV/0!</v>
      </c>
      <c r="CA40" s="305" t="e">
        <f>SUM(CA20:CA38)</f>
        <v>#DIV/0!</v>
      </c>
      <c r="CB40" s="180"/>
      <c r="CC40" s="304" t="e">
        <f t="shared" ref="CC40" si="47">SUM(J40,R40,Z40,AH40,AP40,AX40,BF40,BN40,BV40)</f>
        <v>#DIV/0!</v>
      </c>
      <c r="CD40" s="180"/>
      <c r="CE40" s="180"/>
    </row>
    <row r="41" spans="1:83" s="255" customFormat="1" ht="15.75" customHeight="1" x14ac:dyDescent="0.35">
      <c r="A41" s="254"/>
      <c r="B41" s="254"/>
      <c r="D41" s="306" t="s">
        <v>79</v>
      </c>
      <c r="E41" s="307"/>
      <c r="F41" s="307"/>
      <c r="G41" s="307"/>
      <c r="H41" s="306" t="str">
        <f>IF(H13=$E$6,IF(ROUND(J20,-3)&lt;&gt;ROUND($E$7,-3),"CHECK DTCV Shares!","DTCV OK"),"DTCV OK")&amp;IF(H13=$E$6,IF(ROUND(J40,-3)&lt;&gt;ROUND($E$9,-3),"; CHECK Investor Shares!","; Investors OK"),"; Investors OK")</f>
        <v>DTCV OK; Investors OK</v>
      </c>
      <c r="I41" s="307"/>
      <c r="J41" s="307"/>
      <c r="K41" s="307"/>
      <c r="L41" s="307"/>
      <c r="M41" s="308"/>
      <c r="N41" s="308"/>
      <c r="O41" s="309"/>
      <c r="P41" s="306" t="str">
        <f>IF(P13=$E$6,IF(ROUND(R20,-3)&lt;&gt;ROUND($E$7,-3),"CHECK DTCV Shares!","DTCV OK"),"DTCV OK")&amp;IF(P13=$E$6,IF(ROUND(R40,-3)&lt;&gt;ROUND($E$9,-3),"; CHECK Investor Shares!","; Investors OK"),"; Investors OK")</f>
        <v>DTCV OK; Investors OK</v>
      </c>
      <c r="Q41" s="307"/>
      <c r="R41" s="307"/>
      <c r="S41" s="307"/>
      <c r="T41" s="307"/>
      <c r="U41" s="308"/>
      <c r="V41" s="308"/>
      <c r="W41" s="309"/>
      <c r="X41" s="306" t="str">
        <f>IF(X13=$E$6,IF(ROUND(Z20,-3)&lt;&gt;ROUND($E$7,-3),"CHECK DTCV Shares!","DTCV OK"),"DTCV OK")&amp;IF(X13=$E$6,IF(ROUND(Z40,-3)&lt;&gt;ROUND($E$9,-3),"; CHECK Investor Shares!","; Investors OK"),"; Investors OK")</f>
        <v>DTCV OK; Investors OK</v>
      </c>
      <c r="Y41" s="307"/>
      <c r="Z41" s="307"/>
      <c r="AA41" s="307"/>
      <c r="AB41" s="307"/>
      <c r="AC41" s="308"/>
      <c r="AD41" s="308"/>
      <c r="AE41" s="309"/>
      <c r="AF41" s="306" t="str">
        <f>IF(AF13=$E$6,IF(ROUND(AH20,-3)&lt;&gt;ROUND($E$7,-3),"CHECK DTCV Shares!","DTCV OK"),"DTCV OK")&amp;IF(AF13=$E$6,IF(ROUND(AH40,-3)&lt;&gt;ROUND($E$9,-3),"; CHECK Investor Shares!","; Investors OK"),"; Investors OK")</f>
        <v>DTCV OK; Investors OK</v>
      </c>
      <c r="AG41" s="307"/>
      <c r="AH41" s="307"/>
      <c r="AI41" s="307"/>
      <c r="AJ41" s="307"/>
      <c r="AK41" s="308"/>
      <c r="AL41" s="308"/>
      <c r="AM41" s="309"/>
      <c r="AN41" s="306" t="str">
        <f>IF(AN13=$E$6,IF(ROUND(AP20,-3)&lt;&gt;ROUND($E$7,-3),"CHECK DTCV Shares!","DTCV OK"),"DTCV OK")&amp;IF(AN13=$E$6,IF(ROUND(AP40,-3)&lt;&gt;ROUND($E$9,-3),"; CHECK Investor Shares!","; Investors OK"),"; Investors OK")</f>
        <v>DTCV OK; Investors OK</v>
      </c>
      <c r="AO41" s="307"/>
      <c r="AP41" s="307"/>
      <c r="AQ41" s="307"/>
      <c r="AR41" s="307"/>
      <c r="AS41" s="308"/>
      <c r="AT41" s="308"/>
      <c r="AU41" s="309"/>
      <c r="AV41" s="306" t="str">
        <f>IF(AV13=$E$6,IF(ROUND(AX20,-3)&lt;&gt;ROUND($E$7,-3),"CHECK DTCV Shares!","DTCV OK"),"DTCV OK")&amp;IF(AV13=$E$6,IF(ROUND(AX40,-3)&lt;&gt;ROUND($E$9,-3),"; CHECK Investor Shares!","; Investors OK"),"; Investors OK")</f>
        <v>DTCV OK; Investors OK</v>
      </c>
      <c r="AW41" s="307"/>
      <c r="AX41" s="307"/>
      <c r="AY41" s="307"/>
      <c r="AZ41" s="307"/>
      <c r="BA41" s="308"/>
      <c r="BB41" s="308"/>
      <c r="BC41" s="309"/>
      <c r="BD41" s="306" t="str">
        <f>IF(BD13=$E$6,IF(ROUND(BF20,-3)&lt;&gt;ROUND($E$7,-3),"CHECK DTCV Shares!","DTCV OK"),"DTCV OK")&amp;IF(BD13=$E$6,IF(ROUND(BF40,-3)&lt;&gt;ROUND($E$9,-3),"; CHECK Investor Shares!","; Investors OK"),"; Investors OK")</f>
        <v>DTCV OK; Investors OK</v>
      </c>
      <c r="BE41" s="307"/>
      <c r="BF41" s="307"/>
      <c r="BG41" s="307"/>
      <c r="BH41" s="307"/>
      <c r="BI41" s="308"/>
      <c r="BJ41" s="308"/>
      <c r="BK41" s="309"/>
      <c r="BL41" s="306" t="str">
        <f>IF(BL13=$E$6,IF(ROUND(BN20,-3)&lt;&gt;ROUND($E$7,-3),"CHECK DTCV Shares!","DTCV OK"),"DTCV OK")&amp;IF(BL13=$E$6,IF(ROUND(BN40,-3)&lt;&gt;ROUND($E$9,-3),"; CHECK Investor Shares!","; Investors OK"),"; Investors OK")</f>
        <v>DTCV OK; Investors OK</v>
      </c>
      <c r="BM41" s="307"/>
      <c r="BN41" s="307"/>
      <c r="BO41" s="307"/>
      <c r="BP41" s="307"/>
      <c r="BQ41" s="308"/>
      <c r="BR41" s="308"/>
      <c r="BS41" s="309"/>
      <c r="BT41" s="306" t="str">
        <f>IF(BT13=$E$6,IF(ROUND(BV20,-3)&lt;&gt;ROUND($E$7,-3),"CHECK DTCV Shares!","DTCV OK"),"DTCV OK")&amp;IF(BT13=$E$6,IF(ROUND(BV40,-3)&lt;&gt;ROUND($E$9,-3),"; CHECK Investor Shares!","; Investors OK"),"; Investors OK")</f>
        <v>DTCV OK; Investors OK</v>
      </c>
      <c r="BU41" s="307"/>
      <c r="BV41" s="307"/>
      <c r="BW41" s="307"/>
      <c r="BX41" s="307"/>
      <c r="BY41" s="308"/>
      <c r="BZ41" s="308"/>
      <c r="CA41" s="309"/>
      <c r="CB41" s="180"/>
      <c r="CC41" s="188"/>
      <c r="CD41" s="180"/>
      <c r="CE41" s="180"/>
    </row>
    <row r="42" spans="1:83" s="255" customFormat="1" ht="15.75" customHeight="1" x14ac:dyDescent="0.35">
      <c r="A42" s="254"/>
      <c r="B42" s="254"/>
      <c r="H42" s="260"/>
      <c r="I42" s="260"/>
      <c r="J42" s="260"/>
      <c r="M42" s="261"/>
      <c r="N42" s="261"/>
      <c r="O42" s="188"/>
      <c r="P42" s="260"/>
      <c r="Q42" s="260"/>
      <c r="R42" s="260"/>
      <c r="U42" s="261"/>
      <c r="V42" s="261"/>
      <c r="W42" s="188"/>
      <c r="X42" s="260"/>
      <c r="Y42" s="260"/>
      <c r="Z42" s="260"/>
      <c r="AC42" s="261"/>
      <c r="AD42" s="261"/>
      <c r="AE42" s="188"/>
      <c r="AF42" s="260"/>
      <c r="AG42" s="260"/>
      <c r="AH42" s="260"/>
      <c r="AK42" s="261"/>
      <c r="AL42" s="261"/>
      <c r="AM42" s="188"/>
      <c r="AN42" s="260"/>
      <c r="AO42" s="260"/>
      <c r="AP42" s="260"/>
      <c r="AS42" s="261"/>
      <c r="AT42" s="261"/>
      <c r="AU42" s="188"/>
      <c r="AV42" s="260"/>
      <c r="AW42" s="260"/>
      <c r="AX42" s="260"/>
      <c r="BA42" s="261"/>
      <c r="BB42" s="261"/>
      <c r="BC42" s="188"/>
      <c r="BD42" s="260"/>
      <c r="BE42" s="260"/>
      <c r="BF42" s="260"/>
      <c r="BI42" s="261"/>
      <c r="BJ42" s="261"/>
      <c r="BK42" s="188"/>
      <c r="BL42" s="260"/>
      <c r="BM42" s="260"/>
      <c r="BN42" s="260"/>
      <c r="BQ42" s="261"/>
      <c r="BR42" s="261"/>
      <c r="BS42" s="188"/>
      <c r="BT42" s="260"/>
      <c r="BU42" s="260"/>
      <c r="BV42" s="260"/>
      <c r="BY42" s="261"/>
      <c r="BZ42" s="261"/>
      <c r="CA42" s="188"/>
      <c r="CB42" s="180"/>
      <c r="CC42" s="188"/>
      <c r="CD42" s="180"/>
      <c r="CE42" s="180"/>
    </row>
    <row r="43" spans="1:83" s="310" customFormat="1" ht="15.75" customHeight="1" x14ac:dyDescent="0.35">
      <c r="A43" s="254"/>
      <c r="B43" s="254"/>
      <c r="H43" s="311" t="str">
        <f>H13&amp;" Round"</f>
        <v>Seed Round</v>
      </c>
      <c r="I43" s="312"/>
      <c r="J43" s="312"/>
      <c r="L43" s="313" t="s">
        <v>222</v>
      </c>
      <c r="M43" s="314"/>
      <c r="N43" s="315"/>
      <c r="O43" s="316"/>
      <c r="P43" s="317" t="str">
        <f>P13&amp;" Round"</f>
        <v>Series A Round</v>
      </c>
      <c r="Q43" s="312"/>
      <c r="R43" s="312"/>
      <c r="T43" s="313" t="s">
        <v>222</v>
      </c>
      <c r="U43" s="314"/>
      <c r="V43" s="318"/>
      <c r="W43" s="316"/>
      <c r="X43" s="317" t="str">
        <f>X13&amp;" Round"</f>
        <v>Series B Round</v>
      </c>
      <c r="Y43" s="312"/>
      <c r="Z43" s="312"/>
      <c r="AB43" s="313" t="s">
        <v>222</v>
      </c>
      <c r="AC43" s="314"/>
      <c r="AD43" s="318"/>
      <c r="AE43" s="316"/>
      <c r="AF43" s="317" t="str">
        <f>AF13&amp;" Round"</f>
        <v>Series C Round</v>
      </c>
      <c r="AJ43" s="313" t="s">
        <v>222</v>
      </c>
      <c r="AK43" s="314"/>
      <c r="AL43" s="318"/>
      <c r="AM43" s="316"/>
      <c r="AN43" s="317" t="str">
        <f>AN13&amp;" Round"</f>
        <v>Series D Round</v>
      </c>
      <c r="AR43" s="313" t="s">
        <v>222</v>
      </c>
      <c r="AS43" s="314"/>
      <c r="AT43" s="318"/>
      <c r="AU43" s="316"/>
      <c r="AV43" s="317" t="str">
        <f>AV13&amp;" Round"</f>
        <v>Series E Round</v>
      </c>
      <c r="AZ43" s="313" t="s">
        <v>222</v>
      </c>
      <c r="BA43" s="314"/>
      <c r="BB43" s="318"/>
      <c r="BC43" s="316"/>
      <c r="BD43" s="317" t="str">
        <f>BD13&amp;" Round"</f>
        <v>Series E-1 Round</v>
      </c>
      <c r="BH43" s="313" t="s">
        <v>222</v>
      </c>
      <c r="BI43" s="314"/>
      <c r="BJ43" s="318"/>
      <c r="BK43" s="316"/>
      <c r="BL43" s="317" t="str">
        <f>BL13&amp;" Round"</f>
        <v>Series F Round</v>
      </c>
      <c r="BP43" s="313" t="s">
        <v>222</v>
      </c>
      <c r="BQ43" s="314"/>
      <c r="BR43" s="318"/>
      <c r="BS43" s="316"/>
      <c r="BT43" s="317" t="str">
        <f>BT13&amp;" Round"</f>
        <v>Series G Round</v>
      </c>
      <c r="BX43" s="313" t="s">
        <v>222</v>
      </c>
      <c r="BY43" s="314"/>
      <c r="BZ43" s="318"/>
      <c r="CA43" s="316"/>
      <c r="CB43" s="180"/>
      <c r="CC43" s="316"/>
      <c r="CD43" s="180"/>
      <c r="CE43" s="180"/>
    </row>
    <row r="44" spans="1:83" ht="15.75" customHeight="1" x14ac:dyDescent="0.35">
      <c r="F44" s="1335" t="s">
        <v>22</v>
      </c>
      <c r="G44" s="1335"/>
      <c r="H44" s="319" t="e">
        <f>H16*SUM(E40:G40)</f>
        <v>#DIV/0!</v>
      </c>
      <c r="I44" s="192"/>
      <c r="J44" s="192"/>
      <c r="K44" s="192"/>
      <c r="L44" s="236" t="s">
        <v>81</v>
      </c>
      <c r="M44" s="270" t="e">
        <f>SUM(O36:O37)</f>
        <v>#DIV/0!</v>
      </c>
      <c r="N44" s="320"/>
      <c r="O44" s="192"/>
      <c r="P44" s="319">
        <f>P16*M40</f>
        <v>0</v>
      </c>
      <c r="T44" s="236" t="s">
        <v>81</v>
      </c>
      <c r="U44" s="270" t="e">
        <f>SUM(W36:W37)</f>
        <v>#DIV/0!</v>
      </c>
      <c r="X44" s="319">
        <f>X16*U40</f>
        <v>0</v>
      </c>
      <c r="AB44" s="236" t="s">
        <v>81</v>
      </c>
      <c r="AC44" s="270" t="e">
        <f>SUM(AE36:AE37)</f>
        <v>#DIV/0!</v>
      </c>
      <c r="AF44" s="319">
        <f>AF16*AC40</f>
        <v>0</v>
      </c>
      <c r="AJ44" s="236" t="s">
        <v>81</v>
      </c>
      <c r="AK44" s="270" t="e">
        <f>SUM(AM36:AM37)</f>
        <v>#DIV/0!</v>
      </c>
      <c r="AN44" s="319">
        <f>AN16*AK40</f>
        <v>0</v>
      </c>
      <c r="AR44" s="236" t="s">
        <v>81</v>
      </c>
      <c r="AS44" s="270" t="e">
        <f>SUM(AU36:AU37)</f>
        <v>#DIV/0!</v>
      </c>
      <c r="AV44" s="319">
        <f>AV16*AS40</f>
        <v>0</v>
      </c>
      <c r="AZ44" s="236" t="s">
        <v>81</v>
      </c>
      <c r="BA44" s="270" t="e">
        <f>SUM(BC36:BC37)</f>
        <v>#DIV/0!</v>
      </c>
      <c r="BD44" s="319">
        <f>BD16*BA40</f>
        <v>0</v>
      </c>
      <c r="BH44" s="236" t="s">
        <v>81</v>
      </c>
      <c r="BI44" s="270" t="e">
        <f>SUM(BK36:BK37)</f>
        <v>#DIV/0!</v>
      </c>
      <c r="BL44" s="319">
        <f>BL16*BI40</f>
        <v>0</v>
      </c>
      <c r="BP44" s="236" t="s">
        <v>81</v>
      </c>
      <c r="BQ44" s="270" t="e">
        <f>SUM(BS36:BS37)</f>
        <v>#DIV/0!</v>
      </c>
      <c r="BT44" s="319">
        <f>BT16*BQ40</f>
        <v>0</v>
      </c>
      <c r="BX44" s="236" t="s">
        <v>81</v>
      </c>
      <c r="BY44" s="270" t="e">
        <f>SUM(CA36:CA37)</f>
        <v>#DIV/0!</v>
      </c>
    </row>
    <row r="45" spans="1:83" ht="15.75" customHeight="1" x14ac:dyDescent="0.35">
      <c r="F45" s="1335" t="s">
        <v>80</v>
      </c>
      <c r="G45" s="1335"/>
      <c r="H45" s="319" t="e">
        <f>J40</f>
        <v>#DIV/0!</v>
      </c>
      <c r="I45" s="192"/>
      <c r="J45" s="192"/>
      <c r="K45" s="192"/>
      <c r="L45" s="236" t="s">
        <v>82</v>
      </c>
      <c r="M45" s="272">
        <f>'Cap Table'!M60</f>
        <v>0</v>
      </c>
      <c r="N45" s="321"/>
      <c r="O45" s="192"/>
      <c r="P45" s="319">
        <f>R40</f>
        <v>0</v>
      </c>
      <c r="T45" s="236" t="s">
        <v>82</v>
      </c>
      <c r="U45" s="272">
        <f>'Cap Table'!U60</f>
        <v>0</v>
      </c>
      <c r="X45" s="319">
        <f>Z40</f>
        <v>0</v>
      </c>
      <c r="AB45" s="236" t="s">
        <v>82</v>
      </c>
      <c r="AC45" s="272">
        <f>'Cap Table'!AC60</f>
        <v>0</v>
      </c>
      <c r="AF45" s="319">
        <f>AH40</f>
        <v>0</v>
      </c>
      <c r="AJ45" s="236" t="s">
        <v>82</v>
      </c>
      <c r="AK45" s="272">
        <f>'Cap Table'!AK60</f>
        <v>0</v>
      </c>
      <c r="AN45" s="319">
        <f>AP40</f>
        <v>0</v>
      </c>
      <c r="AR45" s="236" t="s">
        <v>82</v>
      </c>
      <c r="AS45" s="272">
        <f>'Cap Table'!AS60</f>
        <v>0</v>
      </c>
      <c r="AV45" s="319">
        <f>AX40</f>
        <v>0</v>
      </c>
      <c r="AZ45" s="236" t="s">
        <v>82</v>
      </c>
      <c r="BA45" s="272">
        <f>'Cap Table'!BA60</f>
        <v>0</v>
      </c>
      <c r="BD45" s="319">
        <f>BF40</f>
        <v>0</v>
      </c>
      <c r="BH45" s="236" t="s">
        <v>82</v>
      </c>
      <c r="BI45" s="272">
        <f>'Cap Table'!BI60</f>
        <v>0</v>
      </c>
      <c r="BL45" s="319">
        <f>BN40</f>
        <v>0</v>
      </c>
      <c r="BP45" s="236" t="s">
        <v>82</v>
      </c>
      <c r="BQ45" s="272">
        <f>'Cap Table'!BQ60</f>
        <v>0</v>
      </c>
      <c r="BT45" s="319">
        <f>BV40</f>
        <v>0</v>
      </c>
      <c r="BX45" s="236" t="s">
        <v>82</v>
      </c>
      <c r="BY45" s="272">
        <f>'Cap Table'!BY60</f>
        <v>0</v>
      </c>
    </row>
    <row r="46" spans="1:83" ht="15.75" customHeight="1" x14ac:dyDescent="0.35">
      <c r="F46" s="1335" t="s">
        <v>25</v>
      </c>
      <c r="G46" s="1335"/>
      <c r="H46" s="319" t="e">
        <f>SUM(H44:H45)</f>
        <v>#DIV/0!</v>
      </c>
      <c r="I46" s="192"/>
      <c r="J46" s="192"/>
      <c r="K46" s="192"/>
      <c r="L46" s="236" t="s">
        <v>83</v>
      </c>
      <c r="M46" s="272">
        <f>IF(M45=0,,((M40*M45)-SUM(M36:M37))/(1-M45))</f>
        <v>0</v>
      </c>
      <c r="N46" s="268"/>
      <c r="O46" s="192"/>
      <c r="P46" s="319">
        <f>SUM(P44:P45)</f>
        <v>0</v>
      </c>
      <c r="T46" s="236" t="s">
        <v>83</v>
      </c>
      <c r="U46" s="272">
        <f>IF(U45=0,,((U40*U45)-SUM(U36:U37))/(1-U45))</f>
        <v>0</v>
      </c>
      <c r="X46" s="319">
        <f>SUM(X44:X45)</f>
        <v>0</v>
      </c>
      <c r="AB46" s="236" t="s">
        <v>83</v>
      </c>
      <c r="AC46" s="272">
        <f>IF(AC45=0,,((AC40*AC45)-SUM(AC36:AC37))/(1-AC45))</f>
        <v>0</v>
      </c>
      <c r="AF46" s="319">
        <f>SUM(AF44:AF45)</f>
        <v>0</v>
      </c>
      <c r="AJ46" s="236" t="s">
        <v>83</v>
      </c>
      <c r="AK46" s="272">
        <f>IF(AK45=0,,((AK40*AK45)-SUM(AK36:AK37))/(1-AK45))</f>
        <v>0</v>
      </c>
      <c r="AN46" s="319">
        <f>SUM(AN44:AN45)</f>
        <v>0</v>
      </c>
      <c r="AR46" s="236" t="s">
        <v>83</v>
      </c>
      <c r="AS46" s="272">
        <f>IF(AS45=0,,((AS40*AS45)-SUM(AS36:AS37))/(1-AS45))</f>
        <v>0</v>
      </c>
      <c r="AV46" s="319">
        <f>SUM(AV44:AV45)</f>
        <v>0</v>
      </c>
      <c r="AZ46" s="236" t="s">
        <v>83</v>
      </c>
      <c r="BA46" s="272">
        <f>IF(BA45=0,,((BA40*BA45)-SUM(BA36:BA37))/(1-BA45))</f>
        <v>0</v>
      </c>
      <c r="BD46" s="319">
        <f>SUM(BD44:BD45)</f>
        <v>0</v>
      </c>
      <c r="BH46" s="236" t="s">
        <v>83</v>
      </c>
      <c r="BI46" s="272">
        <f>IF(BI45=0,,((BI40*BI45)-SUM(BI36:BI37))/(1-BI45))</f>
        <v>0</v>
      </c>
      <c r="BL46" s="319">
        <f>SUM(BL44:BL45)</f>
        <v>0</v>
      </c>
      <c r="BP46" s="236" t="s">
        <v>83</v>
      </c>
      <c r="BQ46" s="272">
        <f>IF(BQ45=0,,((BQ40*BQ45)-SUM(BQ36:BQ37))/(1-BQ45))</f>
        <v>0</v>
      </c>
      <c r="BT46" s="319">
        <f>SUM(BT44:BT45)</f>
        <v>0</v>
      </c>
      <c r="BX46" s="236" t="s">
        <v>83</v>
      </c>
      <c r="BY46" s="272">
        <f>IF(BY45=0,,((BY40*BY45)-SUM(BY36:BY37))/(1-BY45))</f>
        <v>0</v>
      </c>
    </row>
    <row r="47" spans="1:83" s="207" customFormat="1" ht="12" customHeight="1" x14ac:dyDescent="0.35">
      <c r="D47" s="191"/>
      <c r="F47" s="1332" t="s">
        <v>27</v>
      </c>
      <c r="G47" s="1332"/>
      <c r="H47" s="322" t="e">
        <f>IF(SUM(H44:H45)&lt;&gt;M40*H16,"Double Check",)</f>
        <v>#DIV/0!</v>
      </c>
      <c r="P47" s="322">
        <f>IF(SUM(P44:P45)&lt;&gt;U40*P16,"Double Check",)</f>
        <v>0</v>
      </c>
      <c r="X47" s="322">
        <f>IF(SUM(X44:X45)&lt;&gt;AC40*X16,"Double Check",)</f>
        <v>0</v>
      </c>
      <c r="AF47" s="322">
        <f>IF(SUM(AF44:AF45)&lt;&gt;AK40*AF16,"Double Check",)</f>
        <v>0</v>
      </c>
      <c r="AN47" s="322">
        <f>IF(SUM(AN44:AN45)&lt;&gt;AS40*AN16,"Double Check",)</f>
        <v>0</v>
      </c>
      <c r="AV47" s="322">
        <f>IF(SUM(AV44:AV45)&lt;&gt;BA40*AV16,"Double Check",)</f>
        <v>0</v>
      </c>
      <c r="BD47" s="322">
        <f>IF(SUM(BD44:BD45)&lt;&gt;BI40*BD16,"Double Check",)</f>
        <v>0</v>
      </c>
      <c r="BL47" s="322">
        <f>IF(SUM(BL44:BL45)&lt;&gt;BQ40*BL16,"Double Check",)</f>
        <v>0</v>
      </c>
      <c r="BT47" s="322">
        <f>IF(SUM(BT44:BT45)&lt;&gt;BY40*BT16,"Double Check",)</f>
        <v>0</v>
      </c>
    </row>
    <row r="48" spans="1:83" ht="15.75" customHeight="1" x14ac:dyDescent="0.35">
      <c r="P48" s="210"/>
      <c r="X48" s="210"/>
    </row>
    <row r="55" spans="4:4" ht="15.75" customHeight="1" x14ac:dyDescent="0.35">
      <c r="D55" s="273"/>
    </row>
    <row r="56" spans="4:4" ht="15.75" customHeight="1" x14ac:dyDescent="0.35">
      <c r="D56" s="273"/>
    </row>
    <row r="57" spans="4:4" ht="15.75" customHeight="1" x14ac:dyDescent="0.35">
      <c r="D57" s="273"/>
    </row>
    <row r="58" spans="4:4" ht="15.75" customHeight="1" x14ac:dyDescent="0.35">
      <c r="D58" s="273"/>
    </row>
    <row r="59" spans="4:4" ht="15.75" customHeight="1" x14ac:dyDescent="0.35">
      <c r="D59" s="273"/>
    </row>
    <row r="60" spans="4:4" ht="15.75" customHeight="1" x14ac:dyDescent="0.35">
      <c r="D60" s="273"/>
    </row>
    <row r="61" spans="4:4" ht="15.75" customHeight="1" x14ac:dyDescent="0.35">
      <c r="D61" s="273"/>
    </row>
  </sheetData>
  <mergeCells count="29">
    <mergeCell ref="E10:F10"/>
    <mergeCell ref="K5:N5"/>
    <mergeCell ref="E6:F6"/>
    <mergeCell ref="E7:F7"/>
    <mergeCell ref="E8:F8"/>
    <mergeCell ref="E9:F9"/>
    <mergeCell ref="E11:F11"/>
    <mergeCell ref="H13:O13"/>
    <mergeCell ref="P13:W13"/>
    <mergeCell ref="X13:AE13"/>
    <mergeCell ref="AF13:AM13"/>
    <mergeCell ref="AV13:BC13"/>
    <mergeCell ref="BD13:BK13"/>
    <mergeCell ref="BL13:BS13"/>
    <mergeCell ref="BT13:CA13"/>
    <mergeCell ref="H14:O14"/>
    <mergeCell ref="P14:W14"/>
    <mergeCell ref="X14:AE14"/>
    <mergeCell ref="AF14:AM14"/>
    <mergeCell ref="AN14:AU14"/>
    <mergeCell ref="AV14:BC14"/>
    <mergeCell ref="AN13:AU13"/>
    <mergeCell ref="F47:G47"/>
    <mergeCell ref="BD14:BK14"/>
    <mergeCell ref="BL14:BS14"/>
    <mergeCell ref="BT14:CA14"/>
    <mergeCell ref="F44:G44"/>
    <mergeCell ref="F45:G45"/>
    <mergeCell ref="F46:G46"/>
  </mergeCells>
  <conditionalFormatting sqref="A47:F47">
    <cfRule type="containsText" dxfId="118" priority="1" operator="containsText" text="double check">
      <formula>NOT(ISERROR(SEARCH("double check",A47)))</formula>
    </cfRule>
  </conditionalFormatting>
  <conditionalFormatting sqref="D11:G11">
    <cfRule type="containsText" dxfId="117" priority="2" operator="containsText" text="review">
      <formula>NOT(ISERROR(SEARCH("review",D11)))</formula>
    </cfRule>
  </conditionalFormatting>
  <conditionalFormatting sqref="H41:H43">
    <cfRule type="containsText" dxfId="116" priority="47" operator="containsText" text="Check">
      <formula>NOT(ISERROR(SEARCH("Check",H41)))</formula>
    </cfRule>
  </conditionalFormatting>
  <conditionalFormatting sqref="H47:AF47">
    <cfRule type="containsText" dxfId="115" priority="8" operator="containsText" text="double check">
      <formula>NOT(ISERROR(SEARCH("double check",H47)))</formula>
    </cfRule>
  </conditionalFormatting>
  <conditionalFormatting sqref="P41:P43">
    <cfRule type="containsText" dxfId="114" priority="42" operator="containsText" text="Check">
      <formula>NOT(ISERROR(SEARCH("Check",P41)))</formula>
    </cfRule>
  </conditionalFormatting>
  <conditionalFormatting sqref="X41:X43">
    <cfRule type="containsText" dxfId="113" priority="37" operator="containsText" text="Check">
      <formula>NOT(ISERROR(SEARCH("Check",X41)))</formula>
    </cfRule>
  </conditionalFormatting>
  <conditionalFormatting sqref="AF41:AF43">
    <cfRule type="containsText" dxfId="112" priority="36" operator="containsText" text="Check">
      <formula>NOT(ISERROR(SEARCH("Check",AF41)))</formula>
    </cfRule>
  </conditionalFormatting>
  <conditionalFormatting sqref="AG47:AH47">
    <cfRule type="containsText" dxfId="111" priority="38" operator="containsText" text="review">
      <formula>NOT(ISERROR(SEARCH("review",AG47)))</formula>
    </cfRule>
  </conditionalFormatting>
  <conditionalFormatting sqref="AI47:AN47">
    <cfRule type="containsText" dxfId="110" priority="7" operator="containsText" text="double check">
      <formula>NOT(ISERROR(SEARCH("double check",AI47)))</formula>
    </cfRule>
  </conditionalFormatting>
  <conditionalFormatting sqref="AN41:AN43">
    <cfRule type="containsText" dxfId="109" priority="31" operator="containsText" text="Check">
      <formula>NOT(ISERROR(SEARCH("Check",AN41)))</formula>
    </cfRule>
  </conditionalFormatting>
  <conditionalFormatting sqref="AO47:AU47">
    <cfRule type="containsText" dxfId="108" priority="32" operator="containsText" text="review">
      <formula>NOT(ISERROR(SEARCH("review",AO47)))</formula>
    </cfRule>
  </conditionalFormatting>
  <conditionalFormatting sqref="AV41:AV43">
    <cfRule type="containsText" dxfId="107" priority="26" operator="containsText" text="Check">
      <formula>NOT(ISERROR(SEARCH("Check",AV41)))</formula>
    </cfRule>
  </conditionalFormatting>
  <conditionalFormatting sqref="AV47">
    <cfRule type="containsText" dxfId="106" priority="6" operator="containsText" text="double check">
      <formula>NOT(ISERROR(SEARCH("double check",AV47)))</formula>
    </cfRule>
  </conditionalFormatting>
  <conditionalFormatting sqref="AW47:BC47">
    <cfRule type="containsText" dxfId="105" priority="27" operator="containsText" text="review">
      <formula>NOT(ISERROR(SEARCH("review",AW47)))</formula>
    </cfRule>
  </conditionalFormatting>
  <conditionalFormatting sqref="BD41:BD43">
    <cfRule type="containsText" dxfId="104" priority="21" operator="containsText" text="Check">
      <formula>NOT(ISERROR(SEARCH("Check",BD41)))</formula>
    </cfRule>
  </conditionalFormatting>
  <conditionalFormatting sqref="BD47">
    <cfRule type="containsText" dxfId="103" priority="5" operator="containsText" text="double check">
      <formula>NOT(ISERROR(SEARCH("double check",BD47)))</formula>
    </cfRule>
  </conditionalFormatting>
  <conditionalFormatting sqref="BE47:BK47">
    <cfRule type="containsText" dxfId="102" priority="22" operator="containsText" text="review">
      <formula>NOT(ISERROR(SEARCH("review",BE47)))</formula>
    </cfRule>
  </conditionalFormatting>
  <conditionalFormatting sqref="BL41:BL43">
    <cfRule type="containsText" dxfId="101" priority="16" operator="containsText" text="Check">
      <formula>NOT(ISERROR(SEARCH("Check",BL41)))</formula>
    </cfRule>
  </conditionalFormatting>
  <conditionalFormatting sqref="BL47">
    <cfRule type="containsText" dxfId="100" priority="4" operator="containsText" text="double check">
      <formula>NOT(ISERROR(SEARCH("double check",BL47)))</formula>
    </cfRule>
  </conditionalFormatting>
  <conditionalFormatting sqref="BM47:BS47">
    <cfRule type="containsText" dxfId="99" priority="17" operator="containsText" text="review">
      <formula>NOT(ISERROR(SEARCH("review",BM47)))</formula>
    </cfRule>
  </conditionalFormatting>
  <conditionalFormatting sqref="BT41:BT43">
    <cfRule type="containsText" dxfId="98" priority="11" operator="containsText" text="Check">
      <formula>NOT(ISERROR(SEARCH("Check",BT41)))</formula>
    </cfRule>
  </conditionalFormatting>
  <conditionalFormatting sqref="BT47">
    <cfRule type="containsText" dxfId="97" priority="3" operator="containsText" text="double check">
      <formula>NOT(ISERROR(SEARCH("double check",BT47)))</formula>
    </cfRule>
  </conditionalFormatting>
  <conditionalFormatting sqref="BU47:CA47">
    <cfRule type="containsText" dxfId="96" priority="12" operator="containsText" text="review">
      <formula>NOT(ISERROR(SEARCH("review",BU47)))</formula>
    </cfRule>
  </conditionalFormatting>
  <conditionalFormatting sqref="CB47:XFD47">
    <cfRule type="containsText" dxfId="95" priority="39" operator="containsText" text="double check">
      <formula>NOT(ISERROR(SEARCH("double check",CB47)))</formula>
    </cfRule>
  </conditionalFormatting>
  <dataValidations count="1">
    <dataValidation type="list" allowBlank="1" showInputMessage="1" showErrorMessage="1" sqref="E6:F9" xr:uid="{42A89E72-828A-45C9-B9C3-8BD8D2575FCC}">
      <formula1>$Q$3:$Q$11</formula1>
    </dataValidation>
  </dataValidation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C7CD-2D7F-451F-8C77-CF9758B4CAB9}">
  <dimension ref="A1:U102"/>
  <sheetViews>
    <sheetView showGridLines="0" zoomScale="85" zoomScaleNormal="85" workbookViewId="0">
      <selection activeCell="F11" sqref="F11"/>
    </sheetView>
  </sheetViews>
  <sheetFormatPr defaultColWidth="9.1796875" defaultRowHeight="15.5" x14ac:dyDescent="0.35"/>
  <cols>
    <col min="1" max="2" width="0.81640625" style="181" customWidth="1"/>
    <col min="3" max="3" width="48" style="354" bestFit="1" customWidth="1"/>
    <col min="4" max="4" width="14" style="385" bestFit="1" customWidth="1"/>
    <col min="5" max="5" width="2.81640625" style="386" bestFit="1" customWidth="1"/>
    <col min="6" max="6" width="20.7265625" style="385" bestFit="1" customWidth="1"/>
    <col min="7" max="7" width="45.453125" style="354" customWidth="1"/>
    <col min="8" max="8" width="50.54296875" style="354" customWidth="1"/>
    <col min="9" max="10" width="1.7265625" style="354" customWidth="1"/>
    <col min="11" max="16384" width="9.1796875" style="354"/>
  </cols>
  <sheetData>
    <row r="1" spans="1:21" s="181" customFormat="1" ht="7.5" customHeight="1" x14ac:dyDescent="0.35">
      <c r="A1" s="21" t="s">
        <v>1</v>
      </c>
      <c r="B1" s="180"/>
      <c r="C1" s="180"/>
      <c r="D1" s="180"/>
      <c r="E1" s="351"/>
      <c r="F1" s="180"/>
      <c r="G1" s="180"/>
      <c r="H1" s="180"/>
      <c r="I1" s="180"/>
      <c r="J1" s="180"/>
      <c r="K1" s="180"/>
      <c r="M1" s="180"/>
      <c r="N1" s="180"/>
      <c r="P1" s="180"/>
      <c r="Q1" s="180"/>
      <c r="R1" s="180"/>
      <c r="S1" s="180"/>
      <c r="U1" s="180"/>
    </row>
    <row r="2" spans="1:21" ht="19.5" customHeight="1" thickBot="1" x14ac:dyDescent="0.55000000000000004">
      <c r="A2" s="180"/>
      <c r="B2" s="180"/>
      <c r="C2" s="183" t="s">
        <v>223</v>
      </c>
      <c r="D2" s="352"/>
      <c r="E2" s="353"/>
      <c r="F2" s="352"/>
      <c r="G2" s="352"/>
      <c r="H2" s="352"/>
    </row>
    <row r="3" spans="1:21" s="189" customFormat="1" ht="13" x14ac:dyDescent="0.3">
      <c r="C3" s="355" t="s">
        <v>18</v>
      </c>
      <c r="E3" s="356"/>
    </row>
    <row r="4" spans="1:21" ht="8.15" customHeight="1" x14ac:dyDescent="0.35">
      <c r="A4" s="180"/>
      <c r="B4" s="180"/>
      <c r="D4" s="354"/>
      <c r="E4" s="357"/>
      <c r="F4" s="354"/>
    </row>
    <row r="5" spans="1:21" s="358" customFormat="1" x14ac:dyDescent="0.35">
      <c r="A5" s="180"/>
      <c r="B5" s="180"/>
      <c r="E5" s="359"/>
    </row>
    <row r="6" spans="1:21" s="358" customFormat="1" x14ac:dyDescent="0.35">
      <c r="A6" s="180"/>
      <c r="B6" s="180"/>
      <c r="C6" s="360" t="s">
        <v>78</v>
      </c>
      <c r="D6" s="361">
        <f>SUM(D11:D101)</f>
        <v>0</v>
      </c>
      <c r="E6" s="362" t="s">
        <v>224</v>
      </c>
      <c r="F6" s="363">
        <f>SUM(F11:F101)</f>
        <v>0</v>
      </c>
    </row>
    <row r="7" spans="1:21" s="358" customFormat="1" x14ac:dyDescent="0.35">
      <c r="A7" s="180"/>
      <c r="B7" s="180"/>
      <c r="E7" s="359"/>
    </row>
    <row r="8" spans="1:21" s="358" customFormat="1" x14ac:dyDescent="0.35">
      <c r="A8" s="180"/>
      <c r="B8" s="180"/>
      <c r="E8" s="359"/>
    </row>
    <row r="9" spans="1:21" s="358" customFormat="1" x14ac:dyDescent="0.35">
      <c r="A9" s="180"/>
      <c r="B9" s="180"/>
      <c r="E9" s="359"/>
    </row>
    <row r="10" spans="1:21" s="358" customFormat="1" x14ac:dyDescent="0.35">
      <c r="A10" s="180"/>
      <c r="B10" s="180"/>
      <c r="C10" s="364" t="s">
        <v>225</v>
      </c>
      <c r="D10" s="365" t="s">
        <v>226</v>
      </c>
      <c r="E10" s="366" t="s">
        <v>227</v>
      </c>
      <c r="F10" s="365" t="s">
        <v>228</v>
      </c>
      <c r="G10" s="364" t="s">
        <v>229</v>
      </c>
      <c r="H10" s="367"/>
    </row>
    <row r="11" spans="1:21" s="358" customFormat="1" x14ac:dyDescent="0.35">
      <c r="A11" s="180"/>
      <c r="B11" s="180"/>
      <c r="C11" s="368" t="s">
        <v>230</v>
      </c>
      <c r="D11" s="369"/>
      <c r="E11" s="370"/>
      <c r="F11" s="371"/>
      <c r="G11" s="372"/>
      <c r="H11" s="268">
        <f>IF(AND(D11&lt;&gt;0,F11&lt;&gt;0),"ERROR, use Amount or percentage to not doulbe count",)</f>
        <v>0</v>
      </c>
    </row>
    <row r="12" spans="1:21" s="358" customFormat="1" x14ac:dyDescent="0.35">
      <c r="A12" s="180"/>
      <c r="B12" s="180"/>
      <c r="C12" s="373" t="s">
        <v>231</v>
      </c>
      <c r="D12" s="374"/>
      <c r="E12" s="375"/>
      <c r="F12" s="376"/>
      <c r="G12" s="377"/>
      <c r="H12" s="268">
        <f>IF(AND(D12&lt;&gt;0,F12&lt;&gt;0),"ERROR, use Amount or percentage to not doulbe count",)</f>
        <v>0</v>
      </c>
    </row>
    <row r="13" spans="1:21" s="358" customFormat="1" x14ac:dyDescent="0.35">
      <c r="A13" s="180"/>
      <c r="B13" s="180"/>
      <c r="C13" s="373" t="s">
        <v>232</v>
      </c>
      <c r="D13" s="374"/>
      <c r="E13" s="375"/>
      <c r="F13" s="376"/>
      <c r="G13" s="377"/>
      <c r="H13" s="268">
        <f t="shared" ref="H13:H76" si="0">IF(AND(D13&lt;&gt;0,F13&lt;&gt;0),"ERROR, use Amount or percentage to not doulbe count",)</f>
        <v>0</v>
      </c>
    </row>
    <row r="14" spans="1:21" s="358" customFormat="1" x14ac:dyDescent="0.35">
      <c r="A14" s="180"/>
      <c r="B14" s="180"/>
      <c r="C14" s="373" t="s">
        <v>233</v>
      </c>
      <c r="D14" s="374"/>
      <c r="E14" s="375"/>
      <c r="F14" s="376"/>
      <c r="G14" s="377"/>
      <c r="H14" s="268">
        <f t="shared" si="0"/>
        <v>0</v>
      </c>
    </row>
    <row r="15" spans="1:21" s="358" customFormat="1" x14ac:dyDescent="0.35">
      <c r="A15" s="180"/>
      <c r="B15" s="180"/>
      <c r="C15" s="373" t="s">
        <v>234</v>
      </c>
      <c r="D15" s="374"/>
      <c r="E15" s="375"/>
      <c r="F15" s="376"/>
      <c r="G15" s="377"/>
      <c r="H15" s="268">
        <f t="shared" si="0"/>
        <v>0</v>
      </c>
    </row>
    <row r="16" spans="1:21" s="358" customFormat="1" x14ac:dyDescent="0.35">
      <c r="A16" s="180"/>
      <c r="B16" s="180"/>
      <c r="C16" s="373" t="s">
        <v>235</v>
      </c>
      <c r="D16" s="374"/>
      <c r="E16" s="375"/>
      <c r="F16" s="376"/>
      <c r="G16" s="377"/>
      <c r="H16" s="268">
        <f t="shared" si="0"/>
        <v>0</v>
      </c>
    </row>
    <row r="17" spans="1:8" s="358" customFormat="1" x14ac:dyDescent="0.35">
      <c r="A17" s="180"/>
      <c r="B17" s="180"/>
      <c r="C17" s="373" t="s">
        <v>236</v>
      </c>
      <c r="D17" s="374"/>
      <c r="E17" s="375"/>
      <c r="F17" s="376"/>
      <c r="G17" s="377"/>
      <c r="H17" s="268">
        <f t="shared" si="0"/>
        <v>0</v>
      </c>
    </row>
    <row r="18" spans="1:8" s="358" customFormat="1" x14ac:dyDescent="0.35">
      <c r="A18" s="180"/>
      <c r="B18" s="180"/>
      <c r="C18" s="373"/>
      <c r="D18" s="378"/>
      <c r="E18" s="375"/>
      <c r="F18" s="376"/>
      <c r="G18" s="377"/>
      <c r="H18" s="268">
        <f t="shared" si="0"/>
        <v>0</v>
      </c>
    </row>
    <row r="19" spans="1:8" s="358" customFormat="1" x14ac:dyDescent="0.35">
      <c r="A19" s="180"/>
      <c r="B19" s="180"/>
      <c r="C19" s="373"/>
      <c r="D19" s="378"/>
      <c r="E19" s="375"/>
      <c r="F19" s="376"/>
      <c r="G19" s="377"/>
      <c r="H19" s="268">
        <f t="shared" si="0"/>
        <v>0</v>
      </c>
    </row>
    <row r="20" spans="1:8" s="358" customFormat="1" x14ac:dyDescent="0.35">
      <c r="A20" s="180"/>
      <c r="B20" s="180"/>
      <c r="C20" s="373"/>
      <c r="D20" s="378"/>
      <c r="E20" s="375"/>
      <c r="F20" s="376"/>
      <c r="G20" s="377"/>
      <c r="H20" s="268">
        <f t="shared" si="0"/>
        <v>0</v>
      </c>
    </row>
    <row r="21" spans="1:8" s="358" customFormat="1" x14ac:dyDescent="0.35">
      <c r="A21" s="180"/>
      <c r="B21" s="180"/>
      <c r="C21" s="373"/>
      <c r="D21" s="378"/>
      <c r="E21" s="375"/>
      <c r="F21" s="376"/>
      <c r="G21" s="377"/>
      <c r="H21" s="268">
        <f t="shared" si="0"/>
        <v>0</v>
      </c>
    </row>
    <row r="22" spans="1:8" s="358" customFormat="1" x14ac:dyDescent="0.35">
      <c r="A22" s="180"/>
      <c r="B22" s="180"/>
      <c r="C22" s="373"/>
      <c r="D22" s="378"/>
      <c r="E22" s="375"/>
      <c r="F22" s="376"/>
      <c r="G22" s="377"/>
      <c r="H22" s="268">
        <f t="shared" si="0"/>
        <v>0</v>
      </c>
    </row>
    <row r="23" spans="1:8" s="358" customFormat="1" x14ac:dyDescent="0.35">
      <c r="A23" s="180"/>
      <c r="B23" s="180"/>
      <c r="C23" s="373"/>
      <c r="D23" s="378"/>
      <c r="E23" s="375"/>
      <c r="F23" s="376"/>
      <c r="G23" s="377"/>
      <c r="H23" s="268">
        <f t="shared" si="0"/>
        <v>0</v>
      </c>
    </row>
    <row r="24" spans="1:8" s="358" customFormat="1" x14ac:dyDescent="0.35">
      <c r="A24" s="180"/>
      <c r="B24" s="180"/>
      <c r="C24" s="373"/>
      <c r="D24" s="378"/>
      <c r="E24" s="375"/>
      <c r="F24" s="376"/>
      <c r="G24" s="377"/>
      <c r="H24" s="268">
        <f t="shared" si="0"/>
        <v>0</v>
      </c>
    </row>
    <row r="25" spans="1:8" s="358" customFormat="1" x14ac:dyDescent="0.35">
      <c r="A25" s="180"/>
      <c r="B25" s="180"/>
      <c r="C25" s="373"/>
      <c r="D25" s="378"/>
      <c r="E25" s="375"/>
      <c r="F25" s="376"/>
      <c r="G25" s="377"/>
      <c r="H25" s="268">
        <f t="shared" si="0"/>
        <v>0</v>
      </c>
    </row>
    <row r="26" spans="1:8" x14ac:dyDescent="0.35">
      <c r="C26" s="379"/>
      <c r="D26" s="378"/>
      <c r="E26" s="375"/>
      <c r="F26" s="376"/>
      <c r="G26" s="379"/>
      <c r="H26" s="268">
        <f t="shared" si="0"/>
        <v>0</v>
      </c>
    </row>
    <row r="27" spans="1:8" x14ac:dyDescent="0.35">
      <c r="C27" s="379"/>
      <c r="D27" s="378"/>
      <c r="E27" s="375"/>
      <c r="F27" s="376"/>
      <c r="G27" s="379"/>
      <c r="H27" s="268">
        <f t="shared" si="0"/>
        <v>0</v>
      </c>
    </row>
    <row r="28" spans="1:8" x14ac:dyDescent="0.35">
      <c r="C28" s="379"/>
      <c r="D28" s="378"/>
      <c r="E28" s="375"/>
      <c r="F28" s="376"/>
      <c r="G28" s="379"/>
      <c r="H28" s="268">
        <f t="shared" si="0"/>
        <v>0</v>
      </c>
    </row>
    <row r="29" spans="1:8" x14ac:dyDescent="0.35">
      <c r="C29" s="379"/>
      <c r="D29" s="378"/>
      <c r="E29" s="375"/>
      <c r="F29" s="376"/>
      <c r="G29" s="379"/>
      <c r="H29" s="268">
        <f t="shared" si="0"/>
        <v>0</v>
      </c>
    </row>
    <row r="30" spans="1:8" x14ac:dyDescent="0.35">
      <c r="C30" s="379"/>
      <c r="D30" s="378"/>
      <c r="E30" s="375"/>
      <c r="F30" s="376"/>
      <c r="G30" s="379"/>
      <c r="H30" s="268">
        <f t="shared" si="0"/>
        <v>0</v>
      </c>
    </row>
    <row r="31" spans="1:8" x14ac:dyDescent="0.35">
      <c r="C31" s="379"/>
      <c r="D31" s="380"/>
      <c r="E31" s="381"/>
      <c r="F31" s="376"/>
      <c r="G31" s="379"/>
      <c r="H31" s="268">
        <f t="shared" si="0"/>
        <v>0</v>
      </c>
    </row>
    <row r="32" spans="1:8" x14ac:dyDescent="0.35">
      <c r="C32" s="379"/>
      <c r="D32" s="380"/>
      <c r="E32" s="381"/>
      <c r="F32" s="376"/>
      <c r="G32" s="379"/>
      <c r="H32" s="268">
        <f t="shared" si="0"/>
        <v>0</v>
      </c>
    </row>
    <row r="33" spans="3:8" x14ac:dyDescent="0.35">
      <c r="C33" s="379"/>
      <c r="D33" s="380"/>
      <c r="E33" s="381"/>
      <c r="F33" s="376"/>
      <c r="G33" s="379"/>
      <c r="H33" s="268">
        <f t="shared" si="0"/>
        <v>0</v>
      </c>
    </row>
    <row r="34" spans="3:8" x14ac:dyDescent="0.35">
      <c r="C34" s="379"/>
      <c r="D34" s="380"/>
      <c r="E34" s="381"/>
      <c r="F34" s="376"/>
      <c r="G34" s="379"/>
      <c r="H34" s="268">
        <f t="shared" si="0"/>
        <v>0</v>
      </c>
    </row>
    <row r="35" spans="3:8" x14ac:dyDescent="0.35">
      <c r="C35" s="379"/>
      <c r="D35" s="380"/>
      <c r="E35" s="381"/>
      <c r="F35" s="376"/>
      <c r="G35" s="379"/>
      <c r="H35" s="268">
        <f t="shared" si="0"/>
        <v>0</v>
      </c>
    </row>
    <row r="36" spans="3:8" x14ac:dyDescent="0.35">
      <c r="C36" s="379"/>
      <c r="D36" s="380"/>
      <c r="E36" s="381"/>
      <c r="F36" s="376"/>
      <c r="G36" s="379"/>
      <c r="H36" s="268">
        <f t="shared" si="0"/>
        <v>0</v>
      </c>
    </row>
    <row r="37" spans="3:8" x14ac:dyDescent="0.35">
      <c r="C37" s="379"/>
      <c r="D37" s="380"/>
      <c r="E37" s="381"/>
      <c r="F37" s="376"/>
      <c r="G37" s="379"/>
      <c r="H37" s="268">
        <f t="shared" si="0"/>
        <v>0</v>
      </c>
    </row>
    <row r="38" spans="3:8" x14ac:dyDescent="0.35">
      <c r="C38" s="379"/>
      <c r="D38" s="380"/>
      <c r="E38" s="381"/>
      <c r="F38" s="376"/>
      <c r="G38" s="379"/>
      <c r="H38" s="268">
        <f t="shared" si="0"/>
        <v>0</v>
      </c>
    </row>
    <row r="39" spans="3:8" x14ac:dyDescent="0.35">
      <c r="C39" s="379"/>
      <c r="D39" s="380"/>
      <c r="E39" s="381"/>
      <c r="F39" s="376"/>
      <c r="G39" s="379"/>
      <c r="H39" s="268">
        <f t="shared" si="0"/>
        <v>0</v>
      </c>
    </row>
    <row r="40" spans="3:8" x14ac:dyDescent="0.35">
      <c r="C40" s="379"/>
      <c r="D40" s="380"/>
      <c r="E40" s="381"/>
      <c r="F40" s="376"/>
      <c r="G40" s="379"/>
      <c r="H40" s="268">
        <f t="shared" si="0"/>
        <v>0</v>
      </c>
    </row>
    <row r="41" spans="3:8" x14ac:dyDescent="0.35">
      <c r="C41" s="379"/>
      <c r="D41" s="380"/>
      <c r="E41" s="381"/>
      <c r="F41" s="376"/>
      <c r="G41" s="379"/>
      <c r="H41" s="268">
        <f t="shared" si="0"/>
        <v>0</v>
      </c>
    </row>
    <row r="42" spans="3:8" x14ac:dyDescent="0.35">
      <c r="C42" s="379"/>
      <c r="D42" s="380"/>
      <c r="E42" s="381"/>
      <c r="F42" s="376"/>
      <c r="G42" s="379"/>
      <c r="H42" s="268">
        <f t="shared" si="0"/>
        <v>0</v>
      </c>
    </row>
    <row r="43" spans="3:8" x14ac:dyDescent="0.35">
      <c r="C43" s="379"/>
      <c r="D43" s="380"/>
      <c r="E43" s="381"/>
      <c r="F43" s="376"/>
      <c r="G43" s="379"/>
      <c r="H43" s="268">
        <f t="shared" si="0"/>
        <v>0</v>
      </c>
    </row>
    <row r="44" spans="3:8" x14ac:dyDescent="0.35">
      <c r="C44" s="379"/>
      <c r="D44" s="380"/>
      <c r="E44" s="381"/>
      <c r="F44" s="376"/>
      <c r="G44" s="379"/>
      <c r="H44" s="268">
        <f t="shared" si="0"/>
        <v>0</v>
      </c>
    </row>
    <row r="45" spans="3:8" x14ac:dyDescent="0.35">
      <c r="C45" s="379"/>
      <c r="D45" s="380"/>
      <c r="E45" s="381"/>
      <c r="F45" s="376"/>
      <c r="G45" s="379"/>
      <c r="H45" s="268">
        <f t="shared" si="0"/>
        <v>0</v>
      </c>
    </row>
    <row r="46" spans="3:8" x14ac:dyDescent="0.35">
      <c r="C46" s="379"/>
      <c r="D46" s="380"/>
      <c r="E46" s="381"/>
      <c r="F46" s="376"/>
      <c r="G46" s="379"/>
      <c r="H46" s="268">
        <f t="shared" si="0"/>
        <v>0</v>
      </c>
    </row>
    <row r="47" spans="3:8" x14ac:dyDescent="0.35">
      <c r="C47" s="379"/>
      <c r="D47" s="380"/>
      <c r="E47" s="381"/>
      <c r="F47" s="376"/>
      <c r="G47" s="379"/>
      <c r="H47" s="268">
        <f t="shared" si="0"/>
        <v>0</v>
      </c>
    </row>
    <row r="48" spans="3:8" x14ac:dyDescent="0.35">
      <c r="C48" s="379"/>
      <c r="D48" s="380"/>
      <c r="E48" s="381"/>
      <c r="F48" s="376"/>
      <c r="G48" s="379"/>
      <c r="H48" s="268">
        <f t="shared" si="0"/>
        <v>0</v>
      </c>
    </row>
    <row r="49" spans="3:8" x14ac:dyDescent="0.35">
      <c r="C49" s="379"/>
      <c r="D49" s="380"/>
      <c r="E49" s="381"/>
      <c r="F49" s="376"/>
      <c r="G49" s="379"/>
      <c r="H49" s="268">
        <f t="shared" si="0"/>
        <v>0</v>
      </c>
    </row>
    <row r="50" spans="3:8" x14ac:dyDescent="0.35">
      <c r="C50" s="379"/>
      <c r="D50" s="380"/>
      <c r="E50" s="381"/>
      <c r="F50" s="376"/>
      <c r="G50" s="379"/>
      <c r="H50" s="268">
        <f t="shared" si="0"/>
        <v>0</v>
      </c>
    </row>
    <row r="51" spans="3:8" x14ac:dyDescent="0.35">
      <c r="C51" s="379"/>
      <c r="D51" s="380"/>
      <c r="E51" s="381"/>
      <c r="F51" s="376"/>
      <c r="G51" s="379"/>
      <c r="H51" s="268">
        <f t="shared" si="0"/>
        <v>0</v>
      </c>
    </row>
    <row r="52" spans="3:8" x14ac:dyDescent="0.35">
      <c r="C52" s="379"/>
      <c r="D52" s="380"/>
      <c r="E52" s="381"/>
      <c r="F52" s="376"/>
      <c r="G52" s="379"/>
      <c r="H52" s="268">
        <f t="shared" si="0"/>
        <v>0</v>
      </c>
    </row>
    <row r="53" spans="3:8" x14ac:dyDescent="0.35">
      <c r="C53" s="379"/>
      <c r="D53" s="380"/>
      <c r="E53" s="381"/>
      <c r="F53" s="376"/>
      <c r="G53" s="379"/>
      <c r="H53" s="268">
        <f t="shared" si="0"/>
        <v>0</v>
      </c>
    </row>
    <row r="54" spans="3:8" x14ac:dyDescent="0.35">
      <c r="C54" s="379"/>
      <c r="D54" s="380"/>
      <c r="E54" s="381"/>
      <c r="F54" s="376"/>
      <c r="G54" s="379"/>
      <c r="H54" s="268">
        <f t="shared" si="0"/>
        <v>0</v>
      </c>
    </row>
    <row r="55" spans="3:8" x14ac:dyDescent="0.35">
      <c r="C55" s="379"/>
      <c r="D55" s="380"/>
      <c r="E55" s="381"/>
      <c r="F55" s="376"/>
      <c r="G55" s="379"/>
      <c r="H55" s="268">
        <f t="shared" si="0"/>
        <v>0</v>
      </c>
    </row>
    <row r="56" spans="3:8" x14ac:dyDescent="0.35">
      <c r="C56" s="379"/>
      <c r="D56" s="380"/>
      <c r="E56" s="381"/>
      <c r="F56" s="376"/>
      <c r="G56" s="379"/>
      <c r="H56" s="268">
        <f t="shared" si="0"/>
        <v>0</v>
      </c>
    </row>
    <row r="57" spans="3:8" x14ac:dyDescent="0.35">
      <c r="C57" s="379"/>
      <c r="D57" s="380"/>
      <c r="E57" s="381"/>
      <c r="F57" s="376"/>
      <c r="G57" s="379"/>
      <c r="H57" s="268">
        <f t="shared" si="0"/>
        <v>0</v>
      </c>
    </row>
    <row r="58" spans="3:8" x14ac:dyDescent="0.35">
      <c r="C58" s="379"/>
      <c r="D58" s="380"/>
      <c r="E58" s="381"/>
      <c r="F58" s="376"/>
      <c r="G58" s="379"/>
      <c r="H58" s="268">
        <f t="shared" si="0"/>
        <v>0</v>
      </c>
    </row>
    <row r="59" spans="3:8" x14ac:dyDescent="0.35">
      <c r="C59" s="379"/>
      <c r="D59" s="380"/>
      <c r="E59" s="381"/>
      <c r="F59" s="376"/>
      <c r="G59" s="379"/>
      <c r="H59" s="268">
        <f t="shared" si="0"/>
        <v>0</v>
      </c>
    </row>
    <row r="60" spans="3:8" x14ac:dyDescent="0.35">
      <c r="C60" s="379"/>
      <c r="D60" s="380"/>
      <c r="E60" s="381"/>
      <c r="F60" s="376"/>
      <c r="G60" s="379"/>
      <c r="H60" s="268">
        <f t="shared" si="0"/>
        <v>0</v>
      </c>
    </row>
    <row r="61" spans="3:8" x14ac:dyDescent="0.35">
      <c r="C61" s="379"/>
      <c r="D61" s="380"/>
      <c r="E61" s="381"/>
      <c r="F61" s="376"/>
      <c r="G61" s="379"/>
      <c r="H61" s="268">
        <f t="shared" si="0"/>
        <v>0</v>
      </c>
    </row>
    <row r="62" spans="3:8" x14ac:dyDescent="0.35">
      <c r="C62" s="379"/>
      <c r="D62" s="380"/>
      <c r="E62" s="381"/>
      <c r="F62" s="376"/>
      <c r="G62" s="379"/>
      <c r="H62" s="268">
        <f t="shared" si="0"/>
        <v>0</v>
      </c>
    </row>
    <row r="63" spans="3:8" x14ac:dyDescent="0.35">
      <c r="C63" s="379"/>
      <c r="D63" s="380"/>
      <c r="E63" s="381"/>
      <c r="F63" s="376"/>
      <c r="G63" s="379"/>
      <c r="H63" s="268">
        <f t="shared" si="0"/>
        <v>0</v>
      </c>
    </row>
    <row r="64" spans="3:8" x14ac:dyDescent="0.35">
      <c r="C64" s="379"/>
      <c r="D64" s="380"/>
      <c r="E64" s="381"/>
      <c r="F64" s="376"/>
      <c r="G64" s="379"/>
      <c r="H64" s="268">
        <f t="shared" si="0"/>
        <v>0</v>
      </c>
    </row>
    <row r="65" spans="3:8" x14ac:dyDescent="0.35">
      <c r="C65" s="379"/>
      <c r="D65" s="380"/>
      <c r="E65" s="381"/>
      <c r="F65" s="376"/>
      <c r="G65" s="379"/>
      <c r="H65" s="268">
        <f t="shared" si="0"/>
        <v>0</v>
      </c>
    </row>
    <row r="66" spans="3:8" x14ac:dyDescent="0.35">
      <c r="C66" s="379"/>
      <c r="D66" s="380"/>
      <c r="E66" s="381"/>
      <c r="F66" s="376"/>
      <c r="G66" s="379"/>
      <c r="H66" s="268">
        <f t="shared" si="0"/>
        <v>0</v>
      </c>
    </row>
    <row r="67" spans="3:8" x14ac:dyDescent="0.35">
      <c r="C67" s="379"/>
      <c r="D67" s="380"/>
      <c r="E67" s="381"/>
      <c r="F67" s="376"/>
      <c r="G67" s="379"/>
      <c r="H67" s="268">
        <f t="shared" si="0"/>
        <v>0</v>
      </c>
    </row>
    <row r="68" spans="3:8" x14ac:dyDescent="0.35">
      <c r="C68" s="379"/>
      <c r="D68" s="380"/>
      <c r="E68" s="381"/>
      <c r="F68" s="376"/>
      <c r="G68" s="379"/>
      <c r="H68" s="268">
        <f t="shared" si="0"/>
        <v>0</v>
      </c>
    </row>
    <row r="69" spans="3:8" x14ac:dyDescent="0.35">
      <c r="C69" s="379"/>
      <c r="D69" s="380"/>
      <c r="E69" s="381"/>
      <c r="F69" s="376"/>
      <c r="G69" s="379"/>
      <c r="H69" s="268">
        <f t="shared" si="0"/>
        <v>0</v>
      </c>
    </row>
    <row r="70" spans="3:8" x14ac:dyDescent="0.35">
      <c r="C70" s="379"/>
      <c r="D70" s="380"/>
      <c r="E70" s="381"/>
      <c r="F70" s="376"/>
      <c r="G70" s="379"/>
      <c r="H70" s="268">
        <f t="shared" si="0"/>
        <v>0</v>
      </c>
    </row>
    <row r="71" spans="3:8" x14ac:dyDescent="0.35">
      <c r="C71" s="379"/>
      <c r="D71" s="380"/>
      <c r="E71" s="381"/>
      <c r="F71" s="376"/>
      <c r="G71" s="379"/>
      <c r="H71" s="268">
        <f t="shared" si="0"/>
        <v>0</v>
      </c>
    </row>
    <row r="72" spans="3:8" x14ac:dyDescent="0.35">
      <c r="C72" s="379"/>
      <c r="D72" s="380"/>
      <c r="E72" s="381"/>
      <c r="F72" s="376"/>
      <c r="G72" s="379"/>
      <c r="H72" s="268">
        <f t="shared" si="0"/>
        <v>0</v>
      </c>
    </row>
    <row r="73" spans="3:8" x14ac:dyDescent="0.35">
      <c r="C73" s="379"/>
      <c r="D73" s="380"/>
      <c r="E73" s="381"/>
      <c r="F73" s="376"/>
      <c r="G73" s="379"/>
      <c r="H73" s="268">
        <f t="shared" si="0"/>
        <v>0</v>
      </c>
    </row>
    <row r="74" spans="3:8" x14ac:dyDescent="0.35">
      <c r="C74" s="379"/>
      <c r="D74" s="380"/>
      <c r="E74" s="381"/>
      <c r="F74" s="376"/>
      <c r="G74" s="379"/>
      <c r="H74" s="268">
        <f t="shared" si="0"/>
        <v>0</v>
      </c>
    </row>
    <row r="75" spans="3:8" x14ac:dyDescent="0.35">
      <c r="C75" s="379"/>
      <c r="D75" s="380"/>
      <c r="E75" s="381"/>
      <c r="F75" s="376"/>
      <c r="G75" s="379"/>
      <c r="H75" s="268">
        <f t="shared" si="0"/>
        <v>0</v>
      </c>
    </row>
    <row r="76" spans="3:8" x14ac:dyDescent="0.35">
      <c r="C76" s="379"/>
      <c r="D76" s="380"/>
      <c r="E76" s="381"/>
      <c r="F76" s="376"/>
      <c r="G76" s="379"/>
      <c r="H76" s="268">
        <f t="shared" si="0"/>
        <v>0</v>
      </c>
    </row>
    <row r="77" spans="3:8" x14ac:dyDescent="0.35">
      <c r="C77" s="379"/>
      <c r="D77" s="380"/>
      <c r="E77" s="381"/>
      <c r="F77" s="376"/>
      <c r="G77" s="379"/>
      <c r="H77" s="268">
        <f t="shared" ref="H77:H101" si="1">IF(AND(D77&lt;&gt;0,F77&lt;&gt;0),"ERROR, use Amount or percentage to not doulbe count",)</f>
        <v>0</v>
      </c>
    </row>
    <row r="78" spans="3:8" x14ac:dyDescent="0.35">
      <c r="C78" s="379"/>
      <c r="D78" s="380"/>
      <c r="E78" s="381"/>
      <c r="F78" s="376"/>
      <c r="G78" s="379"/>
      <c r="H78" s="268">
        <f t="shared" si="1"/>
        <v>0</v>
      </c>
    </row>
    <row r="79" spans="3:8" x14ac:dyDescent="0.35">
      <c r="C79" s="379"/>
      <c r="D79" s="380"/>
      <c r="E79" s="381"/>
      <c r="F79" s="376"/>
      <c r="G79" s="379"/>
      <c r="H79" s="268">
        <f t="shared" si="1"/>
        <v>0</v>
      </c>
    </row>
    <row r="80" spans="3:8" x14ac:dyDescent="0.35">
      <c r="C80" s="379"/>
      <c r="D80" s="380"/>
      <c r="E80" s="381"/>
      <c r="F80" s="376"/>
      <c r="G80" s="379"/>
      <c r="H80" s="268">
        <f t="shared" si="1"/>
        <v>0</v>
      </c>
    </row>
    <row r="81" spans="3:8" x14ac:dyDescent="0.35">
      <c r="C81" s="379"/>
      <c r="D81" s="380"/>
      <c r="E81" s="381"/>
      <c r="F81" s="376"/>
      <c r="G81" s="379"/>
      <c r="H81" s="268">
        <f t="shared" si="1"/>
        <v>0</v>
      </c>
    </row>
    <row r="82" spans="3:8" x14ac:dyDescent="0.35">
      <c r="C82" s="379"/>
      <c r="D82" s="380"/>
      <c r="E82" s="381"/>
      <c r="F82" s="376"/>
      <c r="G82" s="379"/>
      <c r="H82" s="268">
        <f t="shared" si="1"/>
        <v>0</v>
      </c>
    </row>
    <row r="83" spans="3:8" x14ac:dyDescent="0.35">
      <c r="C83" s="379"/>
      <c r="D83" s="380"/>
      <c r="E83" s="381"/>
      <c r="F83" s="376"/>
      <c r="G83" s="379"/>
      <c r="H83" s="268">
        <f t="shared" si="1"/>
        <v>0</v>
      </c>
    </row>
    <row r="84" spans="3:8" x14ac:dyDescent="0.35">
      <c r="C84" s="379"/>
      <c r="D84" s="380"/>
      <c r="E84" s="381"/>
      <c r="F84" s="376"/>
      <c r="G84" s="379"/>
      <c r="H84" s="268">
        <f t="shared" si="1"/>
        <v>0</v>
      </c>
    </row>
    <row r="85" spans="3:8" x14ac:dyDescent="0.35">
      <c r="C85" s="379"/>
      <c r="D85" s="380"/>
      <c r="E85" s="381"/>
      <c r="F85" s="376"/>
      <c r="G85" s="379"/>
      <c r="H85" s="268">
        <f t="shared" si="1"/>
        <v>0</v>
      </c>
    </row>
    <row r="86" spans="3:8" x14ac:dyDescent="0.35">
      <c r="C86" s="379"/>
      <c r="D86" s="380"/>
      <c r="E86" s="381"/>
      <c r="F86" s="376"/>
      <c r="G86" s="379"/>
      <c r="H86" s="268">
        <f t="shared" si="1"/>
        <v>0</v>
      </c>
    </row>
    <row r="87" spans="3:8" x14ac:dyDescent="0.35">
      <c r="C87" s="379"/>
      <c r="D87" s="380"/>
      <c r="E87" s="381"/>
      <c r="F87" s="376"/>
      <c r="G87" s="379"/>
      <c r="H87" s="268">
        <f t="shared" si="1"/>
        <v>0</v>
      </c>
    </row>
    <row r="88" spans="3:8" x14ac:dyDescent="0.35">
      <c r="C88" s="379"/>
      <c r="D88" s="380"/>
      <c r="E88" s="381"/>
      <c r="F88" s="376"/>
      <c r="G88" s="379"/>
      <c r="H88" s="268">
        <f t="shared" si="1"/>
        <v>0</v>
      </c>
    </row>
    <row r="89" spans="3:8" x14ac:dyDescent="0.35">
      <c r="C89" s="379"/>
      <c r="D89" s="380"/>
      <c r="E89" s="381"/>
      <c r="F89" s="376"/>
      <c r="G89" s="379"/>
      <c r="H89" s="268">
        <f t="shared" si="1"/>
        <v>0</v>
      </c>
    </row>
    <row r="90" spans="3:8" x14ac:dyDescent="0.35">
      <c r="C90" s="379"/>
      <c r="D90" s="380"/>
      <c r="E90" s="381"/>
      <c r="F90" s="376"/>
      <c r="G90" s="379"/>
      <c r="H90" s="268">
        <f t="shared" si="1"/>
        <v>0</v>
      </c>
    </row>
    <row r="91" spans="3:8" x14ac:dyDescent="0.35">
      <c r="C91" s="379"/>
      <c r="D91" s="380"/>
      <c r="E91" s="381"/>
      <c r="F91" s="376"/>
      <c r="G91" s="379"/>
      <c r="H91" s="268">
        <f t="shared" si="1"/>
        <v>0</v>
      </c>
    </row>
    <row r="92" spans="3:8" x14ac:dyDescent="0.35">
      <c r="C92" s="379"/>
      <c r="D92" s="380"/>
      <c r="E92" s="381"/>
      <c r="F92" s="376"/>
      <c r="G92" s="379"/>
      <c r="H92" s="268">
        <f t="shared" si="1"/>
        <v>0</v>
      </c>
    </row>
    <row r="93" spans="3:8" x14ac:dyDescent="0.35">
      <c r="C93" s="379"/>
      <c r="D93" s="380"/>
      <c r="E93" s="381"/>
      <c r="F93" s="376"/>
      <c r="G93" s="379"/>
      <c r="H93" s="268">
        <f t="shared" si="1"/>
        <v>0</v>
      </c>
    </row>
    <row r="94" spans="3:8" x14ac:dyDescent="0.35">
      <c r="C94" s="379"/>
      <c r="D94" s="380"/>
      <c r="E94" s="381"/>
      <c r="F94" s="376"/>
      <c r="G94" s="379"/>
      <c r="H94" s="268">
        <f t="shared" si="1"/>
        <v>0</v>
      </c>
    </row>
    <row r="95" spans="3:8" x14ac:dyDescent="0.35">
      <c r="C95" s="379"/>
      <c r="D95" s="380"/>
      <c r="E95" s="381"/>
      <c r="F95" s="376"/>
      <c r="G95" s="379"/>
      <c r="H95" s="268">
        <f t="shared" si="1"/>
        <v>0</v>
      </c>
    </row>
    <row r="96" spans="3:8" x14ac:dyDescent="0.35">
      <c r="C96" s="379"/>
      <c r="D96" s="380"/>
      <c r="E96" s="381"/>
      <c r="F96" s="376"/>
      <c r="G96" s="379"/>
      <c r="H96" s="268">
        <f t="shared" si="1"/>
        <v>0</v>
      </c>
    </row>
    <row r="97" spans="3:8" x14ac:dyDescent="0.35">
      <c r="C97" s="379"/>
      <c r="D97" s="380"/>
      <c r="E97" s="381"/>
      <c r="F97" s="376"/>
      <c r="G97" s="379"/>
      <c r="H97" s="268">
        <f t="shared" si="1"/>
        <v>0</v>
      </c>
    </row>
    <row r="98" spans="3:8" x14ac:dyDescent="0.35">
      <c r="C98" s="379"/>
      <c r="D98" s="380"/>
      <c r="E98" s="381"/>
      <c r="F98" s="376"/>
      <c r="G98" s="379"/>
      <c r="H98" s="268">
        <f t="shared" si="1"/>
        <v>0</v>
      </c>
    </row>
    <row r="99" spans="3:8" x14ac:dyDescent="0.35">
      <c r="C99" s="379"/>
      <c r="D99" s="380"/>
      <c r="E99" s="381"/>
      <c r="F99" s="376"/>
      <c r="G99" s="379"/>
      <c r="H99" s="268">
        <f t="shared" si="1"/>
        <v>0</v>
      </c>
    </row>
    <row r="100" spans="3:8" x14ac:dyDescent="0.35">
      <c r="C100" s="379"/>
      <c r="D100" s="380"/>
      <c r="E100" s="381"/>
      <c r="F100" s="376"/>
      <c r="G100" s="379"/>
      <c r="H100" s="268">
        <f t="shared" si="1"/>
        <v>0</v>
      </c>
    </row>
    <row r="101" spans="3:8" x14ac:dyDescent="0.35">
      <c r="C101" s="379"/>
      <c r="D101" s="380"/>
      <c r="E101" s="381"/>
      <c r="F101" s="376"/>
      <c r="G101" s="379"/>
      <c r="H101" s="268">
        <f t="shared" si="1"/>
        <v>0</v>
      </c>
    </row>
    <row r="102" spans="3:8" x14ac:dyDescent="0.35">
      <c r="C102" s="382" t="s">
        <v>237</v>
      </c>
      <c r="D102" s="383" t="s">
        <v>238</v>
      </c>
      <c r="E102" s="384" t="s">
        <v>238</v>
      </c>
      <c r="F102" s="383" t="s">
        <v>238</v>
      </c>
      <c r="G102" s="383" t="s">
        <v>238</v>
      </c>
      <c r="H102" s="383" t="s">
        <v>238</v>
      </c>
    </row>
  </sheetData>
  <conditionalFormatting sqref="H11:H101">
    <cfRule type="containsText" dxfId="94" priority="1" operator="containsText" text="ERROR">
      <formula>NOT(ISERROR(SEARCH("ERROR",H11)))</formula>
    </cfRule>
  </conditionalFormatting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361F-63A6-4FBE-9B29-A8206BF30609}">
  <dimension ref="A1:CG87"/>
  <sheetViews>
    <sheetView zoomScale="85" zoomScaleNormal="85" workbookViewId="0">
      <selection activeCell="I38" sqref="I38"/>
    </sheetView>
  </sheetViews>
  <sheetFormatPr defaultColWidth="8.7265625" defaultRowHeight="15.5" x14ac:dyDescent="0.35"/>
  <cols>
    <col min="1" max="2" width="0.81640625" style="181" customWidth="1"/>
    <col min="3" max="3" width="3.7265625" style="191" customWidth="1"/>
    <col min="4" max="4" width="37.1796875" style="191" customWidth="1"/>
    <col min="5" max="7" width="13.81640625" style="191" customWidth="1"/>
    <col min="8" max="8" width="16.453125" style="191" customWidth="1"/>
    <col min="9" max="11" width="13.81640625" style="191" customWidth="1"/>
    <col min="12" max="12" width="16.1796875" style="191" customWidth="1"/>
    <col min="13" max="15" width="13.81640625" style="191" customWidth="1"/>
    <col min="16" max="16" width="16.453125" style="191" customWidth="1"/>
    <col min="17" max="18" width="13.81640625" style="191" customWidth="1"/>
    <col min="19" max="19" width="13.81640625" style="191" hidden="1" customWidth="1"/>
    <col min="20" max="20" width="16.1796875" style="191" hidden="1" customWidth="1"/>
    <col min="21" max="23" width="13.81640625" style="191" hidden="1" customWidth="1"/>
    <col min="24" max="24" width="16.453125" style="191" customWidth="1"/>
    <col min="25" max="26" width="13.81640625" style="191" customWidth="1"/>
    <col min="27" max="27" width="13.81640625" style="191" hidden="1" customWidth="1"/>
    <col min="28" max="28" width="16.1796875" style="191" hidden="1" customWidth="1"/>
    <col min="29" max="31" width="13.81640625" style="191" hidden="1" customWidth="1"/>
    <col min="32" max="32" width="16.453125" style="191" customWidth="1"/>
    <col min="33" max="34" width="13.81640625" style="191" customWidth="1"/>
    <col min="35" max="35" width="13.81640625" style="191" hidden="1" customWidth="1"/>
    <col min="36" max="36" width="16.1796875" style="191" hidden="1" customWidth="1"/>
    <col min="37" max="39" width="13.81640625" style="191" hidden="1" customWidth="1"/>
    <col min="40" max="40" width="16.453125" style="191" customWidth="1"/>
    <col min="41" max="42" width="13.81640625" style="191" customWidth="1"/>
    <col min="43" max="43" width="13.81640625" style="191" hidden="1" customWidth="1"/>
    <col min="44" max="44" width="16.1796875" style="191" hidden="1" customWidth="1"/>
    <col min="45" max="47" width="13.81640625" style="191" hidden="1" customWidth="1"/>
    <col min="48" max="48" width="16.453125" style="191" customWidth="1"/>
    <col min="49" max="49" width="13.81640625" style="191" customWidth="1"/>
    <col min="50" max="50" width="14" style="191" customWidth="1"/>
    <col min="51" max="51" width="13.81640625" style="191" hidden="1" customWidth="1"/>
    <col min="52" max="52" width="16.1796875" style="191" hidden="1" customWidth="1"/>
    <col min="53" max="55" width="13.81640625" style="191" hidden="1" customWidth="1"/>
    <col min="56" max="56" width="16.453125" style="191" customWidth="1"/>
    <col min="57" max="58" width="13.81640625" style="191" customWidth="1"/>
    <col min="59" max="59" width="13.81640625" style="191" hidden="1" customWidth="1"/>
    <col min="60" max="60" width="16.1796875" style="191" hidden="1" customWidth="1"/>
    <col min="61" max="63" width="13.81640625" style="191" hidden="1" customWidth="1"/>
    <col min="64" max="64" width="16.453125" style="191" customWidth="1"/>
    <col min="65" max="66" width="13.81640625" style="191" customWidth="1"/>
    <col min="67" max="67" width="13.81640625" style="191" hidden="1" customWidth="1"/>
    <col min="68" max="68" width="16.1796875" style="191" hidden="1" customWidth="1"/>
    <col min="69" max="71" width="13.81640625" style="191" hidden="1" customWidth="1"/>
    <col min="72" max="72" width="16.453125" style="191" customWidth="1"/>
    <col min="73" max="74" width="13.81640625" style="191" customWidth="1"/>
    <col min="75" max="75" width="13.81640625" style="191" hidden="1" customWidth="1"/>
    <col min="76" max="76" width="16.1796875" style="191" hidden="1" customWidth="1"/>
    <col min="77" max="78" width="13.81640625" style="191" hidden="1" customWidth="1"/>
    <col min="79" max="79" width="14" style="191" hidden="1" customWidth="1"/>
    <col min="80" max="80" width="1.26953125" style="181" customWidth="1"/>
    <col min="81" max="81" width="13.81640625" style="191" customWidth="1"/>
    <col min="82" max="83" width="1.26953125" style="181" customWidth="1"/>
    <col min="84" max="16384" width="8.7265625" style="191"/>
  </cols>
  <sheetData>
    <row r="1" spans="1:83" s="181" customFormat="1" ht="7.5" customHeight="1" x14ac:dyDescent="0.35">
      <c r="A1" s="178"/>
      <c r="B1" s="178"/>
      <c r="C1" s="179"/>
      <c r="D1" s="180"/>
      <c r="E1" s="180"/>
      <c r="F1" s="180"/>
      <c r="G1" s="180"/>
      <c r="H1" s="180"/>
      <c r="I1" s="180"/>
      <c r="K1" s="180"/>
      <c r="L1" s="180"/>
      <c r="O1" s="180"/>
      <c r="P1" s="180"/>
      <c r="Q1" s="180"/>
      <c r="R1" s="180"/>
      <c r="T1" s="180"/>
      <c r="Y1" s="180"/>
      <c r="CB1" s="180"/>
      <c r="CD1" s="180"/>
      <c r="CE1" s="180"/>
    </row>
    <row r="2" spans="1:83" s="186" customFormat="1" ht="21.5" thickBot="1" x14ac:dyDescent="0.55000000000000004">
      <c r="A2" s="182"/>
      <c r="B2" s="182"/>
      <c r="C2" s="183" t="str">
        <f xml:space="preserve"> "Project " &amp; 'Master Inputs'!D8 &amp; " - Capitalization Table"</f>
        <v>Project MODEL - Capitalization Table</v>
      </c>
      <c r="D2" s="18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4"/>
      <c r="W2" s="184"/>
      <c r="X2" s="184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2"/>
      <c r="CC2" s="185"/>
      <c r="CD2" s="182"/>
      <c r="CE2" s="182"/>
    </row>
    <row r="3" spans="1:83" s="26" customFormat="1" x14ac:dyDescent="0.35">
      <c r="C3" s="27" t="s">
        <v>18</v>
      </c>
      <c r="Q3" s="187" t="str">
        <f>K6</f>
        <v>Seed</v>
      </c>
    </row>
    <row r="4" spans="1:83" s="181" customFormat="1" ht="8.15" customHeight="1" x14ac:dyDescent="0.35">
      <c r="A4" s="180"/>
      <c r="B4" s="180"/>
      <c r="C4" s="179"/>
      <c r="D4" s="180"/>
      <c r="E4" s="180"/>
      <c r="F4" s="180"/>
      <c r="G4" s="180"/>
      <c r="H4" s="188"/>
      <c r="I4" s="180"/>
      <c r="K4" s="180"/>
      <c r="L4" s="180"/>
      <c r="O4" s="180"/>
      <c r="P4" s="180"/>
      <c r="Q4" s="247" t="str">
        <f>K7</f>
        <v>Series A</v>
      </c>
      <c r="R4" s="180"/>
      <c r="S4" s="202"/>
      <c r="T4" s="180"/>
      <c r="Y4" s="180"/>
      <c r="CB4" s="189"/>
      <c r="CD4" s="189"/>
      <c r="CE4" s="189"/>
    </row>
    <row r="5" spans="1:83" ht="15.75" hidden="1" customHeight="1" x14ac:dyDescent="0.35">
      <c r="A5" s="180"/>
      <c r="B5" s="180"/>
      <c r="C5" s="190"/>
      <c r="D5" s="190"/>
      <c r="E5" s="190"/>
      <c r="H5" s="192"/>
      <c r="K5" s="323" t="s">
        <v>19</v>
      </c>
      <c r="L5" s="324"/>
      <c r="M5" s="324"/>
      <c r="N5" s="325"/>
      <c r="P5" s="196"/>
      <c r="Q5" s="247" t="str">
        <f>K8</f>
        <v>Series B</v>
      </c>
      <c r="R5" s="196"/>
      <c r="S5" s="196"/>
      <c r="T5" s="196"/>
      <c r="CB5" s="180"/>
      <c r="CD5" s="180"/>
      <c r="CE5" s="180"/>
    </row>
    <row r="6" spans="1:83" ht="15.75" hidden="1" customHeight="1" x14ac:dyDescent="0.35">
      <c r="A6" s="191"/>
      <c r="B6" s="191"/>
      <c r="D6" s="197" t="str">
        <f>'Cap Table'!D6</f>
        <v>Current Funding Series</v>
      </c>
      <c r="E6" s="1368" t="str">
        <f>'Cap Table'!E6</f>
        <v>Seed</v>
      </c>
      <c r="F6" s="1369">
        <v>0</v>
      </c>
      <c r="G6" s="191">
        <f>'Cap Table'!G6</f>
        <v>0</v>
      </c>
      <c r="H6" s="192">
        <f>'Cap Table'!H6</f>
        <v>0</v>
      </c>
      <c r="I6" s="191">
        <f>'Cap Table'!I6</f>
        <v>0</v>
      </c>
      <c r="J6" s="191">
        <f>'Cap Table'!J6</f>
        <v>0</v>
      </c>
      <c r="K6" s="193" t="str">
        <f>'Cap Table'!K5</f>
        <v>Seed</v>
      </c>
      <c r="L6" s="194" t="e">
        <f>'Cap Table'!L5</f>
        <v>#DIV/0!</v>
      </c>
      <c r="M6" s="195" t="str">
        <f>'Cap Table'!M5</f>
        <v>Series E-1</v>
      </c>
      <c r="N6" s="194" t="e">
        <f>'Cap Table'!N5</f>
        <v>#DIV/0!</v>
      </c>
      <c r="O6" s="191">
        <f>'Cap Table'!O6</f>
        <v>0</v>
      </c>
      <c r="P6" s="196" t="e">
        <f>'Cap Table'!#REF!</f>
        <v>#REF!</v>
      </c>
      <c r="Q6" s="247" t="e">
        <f>'Cap Table'!#REF!</f>
        <v>#REF!</v>
      </c>
      <c r="R6" s="196" t="e">
        <f>'Cap Table'!#REF!</f>
        <v>#REF!</v>
      </c>
      <c r="S6" s="196" t="e">
        <f>'Cap Table'!#REF!</f>
        <v>#REF!</v>
      </c>
      <c r="T6" s="196">
        <f>'Cap Table'!T6</f>
        <v>0</v>
      </c>
      <c r="U6" s="191">
        <f>'Cap Table'!U6</f>
        <v>0</v>
      </c>
      <c r="V6" s="191">
        <f>'Cap Table'!V6</f>
        <v>0</v>
      </c>
      <c r="W6" s="191">
        <f>'Cap Table'!W6</f>
        <v>0</v>
      </c>
      <c r="X6" s="191">
        <f>'Cap Table'!X6</f>
        <v>0</v>
      </c>
      <c r="Y6" s="191">
        <f>'Cap Table'!Y6</f>
        <v>0</v>
      </c>
      <c r="Z6" s="191">
        <f>'Cap Table'!Z6</f>
        <v>0</v>
      </c>
      <c r="AA6" s="191">
        <f>'Cap Table'!AA6</f>
        <v>0</v>
      </c>
      <c r="AB6" s="191">
        <f>'Cap Table'!AB6</f>
        <v>0</v>
      </c>
      <c r="AC6" s="191">
        <f>'Cap Table'!AC6</f>
        <v>0</v>
      </c>
      <c r="AD6" s="191">
        <f>'Cap Table'!AD6</f>
        <v>0</v>
      </c>
      <c r="AE6" s="191">
        <f>'Cap Table'!AE6</f>
        <v>0</v>
      </c>
      <c r="AF6" s="191">
        <f>'Cap Table'!AF6</f>
        <v>0</v>
      </c>
      <c r="AG6" s="191">
        <f>'Cap Table'!AG6</f>
        <v>0</v>
      </c>
      <c r="AH6" s="191">
        <f>'Cap Table'!AH6</f>
        <v>0</v>
      </c>
      <c r="AI6" s="191">
        <f>'Cap Table'!AI6</f>
        <v>0</v>
      </c>
      <c r="AJ6" s="191">
        <f>'Cap Table'!AJ6</f>
        <v>0</v>
      </c>
      <c r="AK6" s="201">
        <f>'Cap Table'!AK6</f>
        <v>0</v>
      </c>
      <c r="AL6" s="201">
        <f>'Cap Table'!AL6</f>
        <v>0</v>
      </c>
      <c r="AM6" s="191">
        <f>'Cap Table'!AM6</f>
        <v>0</v>
      </c>
      <c r="AN6" s="191">
        <f>'Cap Table'!AN6</f>
        <v>0</v>
      </c>
      <c r="AO6" s="191">
        <f>'Cap Table'!AO6</f>
        <v>0</v>
      </c>
      <c r="AP6" s="191">
        <f>'Cap Table'!AP6</f>
        <v>0</v>
      </c>
      <c r="AQ6" s="191">
        <f>'Cap Table'!AQ6</f>
        <v>0</v>
      </c>
      <c r="AR6" s="191">
        <f>'Cap Table'!AR6</f>
        <v>0</v>
      </c>
      <c r="AS6" s="191">
        <f>'Cap Table'!AS6</f>
        <v>0</v>
      </c>
      <c r="AT6" s="191">
        <f>'Cap Table'!AT6</f>
        <v>0</v>
      </c>
      <c r="AU6" s="191">
        <f>'Cap Table'!AU6</f>
        <v>0</v>
      </c>
      <c r="AV6" s="191">
        <f>'Cap Table'!AV6</f>
        <v>0</v>
      </c>
      <c r="AW6" s="191">
        <f>'Cap Table'!AW6</f>
        <v>0</v>
      </c>
      <c r="AX6" s="191">
        <f>'Cap Table'!AX6</f>
        <v>0</v>
      </c>
      <c r="AY6" s="191">
        <f>'Cap Table'!AY6</f>
        <v>0</v>
      </c>
      <c r="AZ6" s="191">
        <f>'Cap Table'!AZ6</f>
        <v>0</v>
      </c>
      <c r="BA6" s="191">
        <f>'Cap Table'!BA6</f>
        <v>0</v>
      </c>
      <c r="BB6" s="191">
        <f>'Cap Table'!BB6</f>
        <v>0</v>
      </c>
      <c r="BC6" s="191">
        <f>'Cap Table'!BC6</f>
        <v>0</v>
      </c>
      <c r="BD6" s="191">
        <f>'Cap Table'!BD6</f>
        <v>0</v>
      </c>
      <c r="BE6" s="191">
        <f>'Cap Table'!BE6</f>
        <v>0</v>
      </c>
      <c r="BF6" s="191">
        <f>'Cap Table'!BF6</f>
        <v>0</v>
      </c>
      <c r="BG6" s="191">
        <f>'Cap Table'!BG6</f>
        <v>0</v>
      </c>
      <c r="BH6" s="191">
        <f>'Cap Table'!BH6</f>
        <v>0</v>
      </c>
      <c r="BI6" s="191">
        <f>'Cap Table'!BI6</f>
        <v>0</v>
      </c>
      <c r="BJ6" s="191">
        <f>'Cap Table'!BJ6</f>
        <v>0</v>
      </c>
      <c r="BK6" s="191">
        <f>'Cap Table'!BK6</f>
        <v>0</v>
      </c>
      <c r="BL6" s="191">
        <f>'Cap Table'!BL6</f>
        <v>0</v>
      </c>
      <c r="BM6" s="191">
        <f>'Cap Table'!BM6</f>
        <v>0</v>
      </c>
      <c r="BN6" s="191">
        <f>'Cap Table'!BN6</f>
        <v>0</v>
      </c>
      <c r="BO6" s="191">
        <f>'Cap Table'!BO6</f>
        <v>0</v>
      </c>
      <c r="BP6" s="191">
        <f>'Cap Table'!BP6</f>
        <v>0</v>
      </c>
      <c r="BQ6" s="191">
        <f>'Cap Table'!BQ6</f>
        <v>0</v>
      </c>
      <c r="BR6" s="191">
        <f>'Cap Table'!BR6</f>
        <v>0</v>
      </c>
      <c r="BS6" s="191">
        <f>'Cap Table'!BS6</f>
        <v>0</v>
      </c>
      <c r="BT6" s="191">
        <f>'Cap Table'!BT6</f>
        <v>0</v>
      </c>
      <c r="BU6" s="191">
        <f>'Cap Table'!BU6</f>
        <v>0</v>
      </c>
      <c r="BV6" s="191">
        <f>'Cap Table'!BV6</f>
        <v>0</v>
      </c>
      <c r="BW6" s="191">
        <f>'Cap Table'!BW6</f>
        <v>0</v>
      </c>
      <c r="BX6" s="191">
        <f>'Cap Table'!BX6</f>
        <v>0</v>
      </c>
      <c r="BY6" s="191">
        <f>'Cap Table'!BY6</f>
        <v>0</v>
      </c>
      <c r="BZ6" s="191">
        <f>'Cap Table'!BZ6</f>
        <v>0</v>
      </c>
      <c r="CA6" s="191">
        <f>'Cap Table'!CA6</f>
        <v>0</v>
      </c>
      <c r="CB6" s="180">
        <f>'Cap Table'!CB6</f>
        <v>0</v>
      </c>
      <c r="CC6" s="191">
        <f>'Cap Table'!CC6</f>
        <v>0</v>
      </c>
      <c r="CD6" s="180"/>
      <c r="CE6" s="180"/>
    </row>
    <row r="7" spans="1:83" ht="15.75" hidden="1" customHeight="1" x14ac:dyDescent="0.35">
      <c r="A7" s="202"/>
      <c r="B7" s="202"/>
      <c r="D7" s="197" t="str">
        <f>'Cap Table'!D7</f>
        <v>DTC Investment in Seed</v>
      </c>
      <c r="E7" s="1370">
        <f>'Cap Table'!E7</f>
        <v>0</v>
      </c>
      <c r="F7" s="1371">
        <v>0</v>
      </c>
      <c r="G7" s="191">
        <f>'Cap Table'!G7</f>
        <v>0</v>
      </c>
      <c r="H7" s="192">
        <f>'Cap Table'!H7</f>
        <v>0</v>
      </c>
      <c r="I7" s="191">
        <f>'Cap Table'!I7</f>
        <v>0</v>
      </c>
      <c r="J7" s="191">
        <f>'Cap Table'!J7</f>
        <v>0</v>
      </c>
      <c r="K7" s="198" t="str">
        <f>'Cap Table'!K6</f>
        <v>Series A</v>
      </c>
      <c r="L7" s="199" t="e">
        <f>'Cap Table'!L6</f>
        <v>#DIV/0!</v>
      </c>
      <c r="M7" s="200" t="str">
        <f>'Cap Table'!M6</f>
        <v>Series F</v>
      </c>
      <c r="N7" s="199" t="e">
        <f>'Cap Table'!N6</f>
        <v>#DIV/0!</v>
      </c>
      <c r="O7" s="191">
        <f>'Cap Table'!O7</f>
        <v>0</v>
      </c>
      <c r="P7" s="196" t="e">
        <f>'Cap Table'!#REF!</f>
        <v>#REF!</v>
      </c>
      <c r="Q7" s="247" t="e">
        <f>'Cap Table'!#REF!</f>
        <v>#REF!</v>
      </c>
      <c r="R7" s="196" t="e">
        <f>'Cap Table'!#REF!</f>
        <v>#REF!</v>
      </c>
      <c r="S7" s="196" t="e">
        <f>'Cap Table'!#REF!</f>
        <v>#REF!</v>
      </c>
      <c r="T7" s="196">
        <f>'Cap Table'!T7</f>
        <v>0</v>
      </c>
      <c r="U7" s="191">
        <f>'Cap Table'!U7</f>
        <v>0</v>
      </c>
      <c r="V7" s="191">
        <f>'Cap Table'!V7</f>
        <v>0</v>
      </c>
      <c r="W7" s="191">
        <f>'Cap Table'!W7</f>
        <v>0</v>
      </c>
      <c r="X7" s="191">
        <f>'Cap Table'!X7</f>
        <v>0</v>
      </c>
      <c r="Y7" s="191">
        <f>'Cap Table'!Y7</f>
        <v>0</v>
      </c>
      <c r="Z7" s="191">
        <f>'Cap Table'!Z7</f>
        <v>0</v>
      </c>
      <c r="AA7" s="191">
        <f>'Cap Table'!AA7</f>
        <v>0</v>
      </c>
      <c r="AB7" s="191">
        <f>'Cap Table'!AB7</f>
        <v>0</v>
      </c>
      <c r="AC7" s="191">
        <f>'Cap Table'!AC7</f>
        <v>0</v>
      </c>
      <c r="AD7" s="191">
        <f>'Cap Table'!AD7</f>
        <v>0</v>
      </c>
      <c r="AE7" s="191">
        <f>'Cap Table'!AE7</f>
        <v>0</v>
      </c>
      <c r="AF7" s="191">
        <f>'Cap Table'!AF7</f>
        <v>0</v>
      </c>
      <c r="AG7" s="191">
        <f>'Cap Table'!AG7</f>
        <v>0</v>
      </c>
      <c r="AH7" s="191">
        <f>'Cap Table'!AH7</f>
        <v>0</v>
      </c>
      <c r="AI7" s="191">
        <f>'Cap Table'!AI7</f>
        <v>0</v>
      </c>
      <c r="AJ7" s="191">
        <f>'Cap Table'!AJ7</f>
        <v>0</v>
      </c>
      <c r="AK7" s="201">
        <f>'Cap Table'!AK7</f>
        <v>0</v>
      </c>
      <c r="AL7" s="201">
        <f>'Cap Table'!AL7</f>
        <v>0</v>
      </c>
      <c r="AM7" s="191">
        <f>'Cap Table'!AM7</f>
        <v>0</v>
      </c>
      <c r="AN7" s="191">
        <f>'Cap Table'!AN7</f>
        <v>0</v>
      </c>
      <c r="AO7" s="191">
        <f>'Cap Table'!AO7</f>
        <v>0</v>
      </c>
      <c r="AP7" s="191">
        <f>'Cap Table'!AP7</f>
        <v>0</v>
      </c>
      <c r="AQ7" s="191">
        <f>'Cap Table'!AQ7</f>
        <v>0</v>
      </c>
      <c r="AR7" s="191">
        <f>'Cap Table'!AR7</f>
        <v>0</v>
      </c>
      <c r="AS7" s="191">
        <f>'Cap Table'!AS7</f>
        <v>0</v>
      </c>
      <c r="AT7" s="191">
        <f>'Cap Table'!AT7</f>
        <v>0</v>
      </c>
      <c r="AU7" s="191">
        <f>'Cap Table'!AU7</f>
        <v>0</v>
      </c>
      <c r="AV7" s="191">
        <f>'Cap Table'!AV7</f>
        <v>0</v>
      </c>
      <c r="AW7" s="191">
        <f>'Cap Table'!AW7</f>
        <v>0</v>
      </c>
      <c r="AX7" s="191">
        <f>'Cap Table'!AX7</f>
        <v>0</v>
      </c>
      <c r="AY7" s="191">
        <f>'Cap Table'!AY7</f>
        <v>0</v>
      </c>
      <c r="AZ7" s="191">
        <f>'Cap Table'!AZ7</f>
        <v>0</v>
      </c>
      <c r="BA7" s="191">
        <f>'Cap Table'!BA7</f>
        <v>0</v>
      </c>
      <c r="BB7" s="191">
        <f>'Cap Table'!BB7</f>
        <v>0</v>
      </c>
      <c r="BC7" s="191">
        <f>'Cap Table'!BC7</f>
        <v>0</v>
      </c>
      <c r="BD7" s="191">
        <f>'Cap Table'!BD7</f>
        <v>0</v>
      </c>
      <c r="BE7" s="191">
        <f>'Cap Table'!BE7</f>
        <v>0</v>
      </c>
      <c r="BF7" s="191">
        <f>'Cap Table'!BF7</f>
        <v>0</v>
      </c>
      <c r="BG7" s="191">
        <f>'Cap Table'!BG7</f>
        <v>0</v>
      </c>
      <c r="BH7" s="191">
        <f>'Cap Table'!BH7</f>
        <v>0</v>
      </c>
      <c r="BI7" s="191">
        <f>'Cap Table'!BI7</f>
        <v>0</v>
      </c>
      <c r="BJ7" s="191">
        <f>'Cap Table'!BJ7</f>
        <v>0</v>
      </c>
      <c r="BK7" s="191">
        <f>'Cap Table'!BK7</f>
        <v>0</v>
      </c>
      <c r="BL7" s="191">
        <f>'Cap Table'!BL7</f>
        <v>0</v>
      </c>
      <c r="BM7" s="191">
        <f>'Cap Table'!BM7</f>
        <v>0</v>
      </c>
      <c r="BN7" s="191">
        <f>'Cap Table'!BN7</f>
        <v>0</v>
      </c>
      <c r="BO7" s="191">
        <f>'Cap Table'!BO7</f>
        <v>0</v>
      </c>
      <c r="BP7" s="191">
        <f>'Cap Table'!BP7</f>
        <v>0</v>
      </c>
      <c r="BQ7" s="191">
        <f>'Cap Table'!BQ7</f>
        <v>0</v>
      </c>
      <c r="BR7" s="191">
        <f>'Cap Table'!BR7</f>
        <v>0</v>
      </c>
      <c r="BS7" s="191">
        <f>'Cap Table'!BS7</f>
        <v>0</v>
      </c>
      <c r="BT7" s="191">
        <f>'Cap Table'!BT7</f>
        <v>0</v>
      </c>
      <c r="BU7" s="191">
        <f>'Cap Table'!BU7</f>
        <v>0</v>
      </c>
      <c r="BV7" s="191">
        <f>'Cap Table'!BV7</f>
        <v>0</v>
      </c>
      <c r="BW7" s="191">
        <f>'Cap Table'!BW7</f>
        <v>0</v>
      </c>
      <c r="BX7" s="191">
        <f>'Cap Table'!BX7</f>
        <v>0</v>
      </c>
      <c r="BY7" s="191">
        <f>'Cap Table'!BY7</f>
        <v>0</v>
      </c>
      <c r="BZ7" s="191">
        <f>'Cap Table'!BZ7</f>
        <v>0</v>
      </c>
      <c r="CA7" s="191">
        <f>'Cap Table'!CA7</f>
        <v>0</v>
      </c>
      <c r="CB7" s="180">
        <f>'Cap Table'!CB7</f>
        <v>0</v>
      </c>
      <c r="CC7" s="191">
        <f>'Cap Table'!CC7</f>
        <v>0</v>
      </c>
      <c r="CD7" s="180"/>
      <c r="CE7" s="180"/>
    </row>
    <row r="8" spans="1:83" ht="15.75" hidden="1" customHeight="1" x14ac:dyDescent="0.35">
      <c r="A8" s="180"/>
      <c r="B8" s="180"/>
      <c r="D8" s="197" t="str">
        <f>'Cap Table'!D8</f>
        <v>Pre-Money Valuation</v>
      </c>
      <c r="E8" s="1370">
        <f>'Cap Table'!E8</f>
        <v>0</v>
      </c>
      <c r="F8" s="1371">
        <v>0</v>
      </c>
      <c r="G8" s="191">
        <f>'Cap Table'!G8</f>
        <v>0</v>
      </c>
      <c r="H8" s="191">
        <f>'Cap Table'!H8</f>
        <v>0</v>
      </c>
      <c r="I8" s="191">
        <f>'Cap Table'!I8</f>
        <v>0</v>
      </c>
      <c r="J8" s="191">
        <f>'Cap Table'!J8</f>
        <v>0</v>
      </c>
      <c r="K8" s="198" t="str">
        <f>'Cap Table'!K7</f>
        <v>Series B</v>
      </c>
      <c r="L8" s="199" t="e">
        <f>'Cap Table'!L7</f>
        <v>#DIV/0!</v>
      </c>
      <c r="M8" s="198" t="str">
        <f>'Cap Table'!M7</f>
        <v>Series G</v>
      </c>
      <c r="N8" s="199" t="e">
        <f>'Cap Table'!N7</f>
        <v>#DIV/0!</v>
      </c>
      <c r="O8" s="191">
        <f>'Cap Table'!O8</f>
        <v>0</v>
      </c>
      <c r="P8" s="196" t="e">
        <f>'Cap Table'!#REF!</f>
        <v>#REF!</v>
      </c>
      <c r="Q8" s="247" t="e">
        <f>'Cap Table'!#REF!</f>
        <v>#REF!</v>
      </c>
      <c r="R8" s="196" t="e">
        <f>'Cap Table'!#REF!</f>
        <v>#REF!</v>
      </c>
      <c r="S8" s="196" t="e">
        <f>'Cap Table'!#REF!</f>
        <v>#REF!</v>
      </c>
      <c r="T8" s="196">
        <f>'Cap Table'!T8</f>
        <v>0</v>
      </c>
      <c r="U8" s="191">
        <f>'Cap Table'!U8</f>
        <v>0</v>
      </c>
      <c r="V8" s="191">
        <f>'Cap Table'!V8</f>
        <v>0</v>
      </c>
      <c r="W8" s="191">
        <f>'Cap Table'!W8</f>
        <v>0</v>
      </c>
      <c r="X8" s="191">
        <f>'Cap Table'!X8</f>
        <v>0</v>
      </c>
      <c r="Y8" s="191">
        <f>'Cap Table'!Y8</f>
        <v>0</v>
      </c>
      <c r="Z8" s="191">
        <f>'Cap Table'!Z8</f>
        <v>0</v>
      </c>
      <c r="AA8" s="191">
        <f>'Cap Table'!AA8</f>
        <v>0</v>
      </c>
      <c r="AB8" s="191">
        <f>'Cap Table'!AB8</f>
        <v>0</v>
      </c>
      <c r="AC8" s="191">
        <f>'Cap Table'!AC8</f>
        <v>0</v>
      </c>
      <c r="AD8" s="191">
        <f>'Cap Table'!AD8</f>
        <v>0</v>
      </c>
      <c r="AE8" s="191">
        <f>'Cap Table'!AE8</f>
        <v>0</v>
      </c>
      <c r="AF8" s="191">
        <f>'Cap Table'!AF8</f>
        <v>0</v>
      </c>
      <c r="AG8" s="191">
        <f>'Cap Table'!AG8</f>
        <v>0</v>
      </c>
      <c r="AH8" s="191">
        <f>'Cap Table'!AH8</f>
        <v>0</v>
      </c>
      <c r="AI8" s="191">
        <f>'Cap Table'!AI8</f>
        <v>0</v>
      </c>
      <c r="AJ8" s="191">
        <f>'Cap Table'!AJ8</f>
        <v>0</v>
      </c>
      <c r="AK8" s="201">
        <f>'Cap Table'!AK8</f>
        <v>0</v>
      </c>
      <c r="AL8" s="201">
        <f>'Cap Table'!AL8</f>
        <v>0</v>
      </c>
      <c r="AM8" s="191">
        <f>'Cap Table'!AM8</f>
        <v>0</v>
      </c>
      <c r="AN8" s="191">
        <f>'Cap Table'!AN8</f>
        <v>0</v>
      </c>
      <c r="AO8" s="191">
        <f>'Cap Table'!AO8</f>
        <v>0</v>
      </c>
      <c r="AP8" s="191">
        <f>'Cap Table'!AP8</f>
        <v>0</v>
      </c>
      <c r="AQ8" s="191">
        <f>'Cap Table'!AQ8</f>
        <v>0</v>
      </c>
      <c r="AR8" s="191">
        <f>'Cap Table'!AR8</f>
        <v>0</v>
      </c>
      <c r="AS8" s="191">
        <f>'Cap Table'!AS8</f>
        <v>0</v>
      </c>
      <c r="AT8" s="191">
        <f>'Cap Table'!AT8</f>
        <v>0</v>
      </c>
      <c r="AU8" s="191">
        <f>'Cap Table'!AU8</f>
        <v>0</v>
      </c>
      <c r="AV8" s="191">
        <f>'Cap Table'!AV8</f>
        <v>0</v>
      </c>
      <c r="AW8" s="191">
        <f>'Cap Table'!AW8</f>
        <v>0</v>
      </c>
      <c r="AX8" s="191">
        <f>'Cap Table'!AX8</f>
        <v>0</v>
      </c>
      <c r="AY8" s="191">
        <f>'Cap Table'!AY8</f>
        <v>0</v>
      </c>
      <c r="AZ8" s="191">
        <f>'Cap Table'!AZ8</f>
        <v>0</v>
      </c>
      <c r="BA8" s="191">
        <f>'Cap Table'!BA8</f>
        <v>0</v>
      </c>
      <c r="BB8" s="191">
        <f>'Cap Table'!BB8</f>
        <v>0</v>
      </c>
      <c r="BC8" s="191">
        <f>'Cap Table'!BC8</f>
        <v>0</v>
      </c>
      <c r="BD8" s="191">
        <f>'Cap Table'!BD8</f>
        <v>0</v>
      </c>
      <c r="BE8" s="191">
        <f>'Cap Table'!BE8</f>
        <v>0</v>
      </c>
      <c r="BF8" s="191">
        <f>'Cap Table'!BF8</f>
        <v>0</v>
      </c>
      <c r="BG8" s="191">
        <f>'Cap Table'!BG8</f>
        <v>0</v>
      </c>
      <c r="BH8" s="191">
        <f>'Cap Table'!BH8</f>
        <v>0</v>
      </c>
      <c r="BI8" s="191">
        <f>'Cap Table'!BI8</f>
        <v>0</v>
      </c>
      <c r="BJ8" s="191">
        <f>'Cap Table'!BJ8</f>
        <v>0</v>
      </c>
      <c r="BK8" s="191">
        <f>'Cap Table'!BK8</f>
        <v>0</v>
      </c>
      <c r="BL8" s="191">
        <f>'Cap Table'!BL8</f>
        <v>0</v>
      </c>
      <c r="BM8" s="191">
        <f>'Cap Table'!BM8</f>
        <v>0</v>
      </c>
      <c r="BN8" s="191">
        <f>'Cap Table'!BN8</f>
        <v>0</v>
      </c>
      <c r="BO8" s="191">
        <f>'Cap Table'!BO8</f>
        <v>0</v>
      </c>
      <c r="BP8" s="191">
        <f>'Cap Table'!BP8</f>
        <v>0</v>
      </c>
      <c r="BQ8" s="191">
        <f>'Cap Table'!BQ8</f>
        <v>0</v>
      </c>
      <c r="BR8" s="191">
        <f>'Cap Table'!BR8</f>
        <v>0</v>
      </c>
      <c r="BS8" s="191">
        <f>'Cap Table'!BS8</f>
        <v>0</v>
      </c>
      <c r="BT8" s="191">
        <f>'Cap Table'!BT8</f>
        <v>0</v>
      </c>
      <c r="BU8" s="191">
        <f>'Cap Table'!BU8</f>
        <v>0</v>
      </c>
      <c r="BV8" s="191">
        <f>'Cap Table'!BV8</f>
        <v>0</v>
      </c>
      <c r="BW8" s="191">
        <f>'Cap Table'!BW8</f>
        <v>0</v>
      </c>
      <c r="BX8" s="191">
        <f>'Cap Table'!BX8</f>
        <v>0</v>
      </c>
      <c r="BY8" s="191">
        <f>'Cap Table'!BY8</f>
        <v>0</v>
      </c>
      <c r="BZ8" s="191">
        <f>'Cap Table'!BZ8</f>
        <v>0</v>
      </c>
      <c r="CA8" s="191">
        <f>'Cap Table'!CA8</f>
        <v>0</v>
      </c>
      <c r="CB8" s="203">
        <f>'Cap Table'!CB8</f>
        <v>0</v>
      </c>
      <c r="CC8" s="191">
        <f>'Cap Table'!CC8</f>
        <v>0</v>
      </c>
      <c r="CD8" s="203"/>
      <c r="CE8" s="203"/>
    </row>
    <row r="9" spans="1:83" ht="15.75" hidden="1" customHeight="1" x14ac:dyDescent="0.35">
      <c r="A9" s="180"/>
      <c r="B9" s="180"/>
      <c r="D9" s="197" t="str">
        <f>'Cap Table'!D9</f>
        <v>Total Seed Round</v>
      </c>
      <c r="E9" s="1370">
        <f>'Cap Table'!E9</f>
        <v>0</v>
      </c>
      <c r="F9" s="1371">
        <v>0</v>
      </c>
      <c r="G9" s="191">
        <f>'Cap Table'!G9</f>
        <v>0</v>
      </c>
      <c r="H9" s="191">
        <f>'Cap Table'!H9</f>
        <v>0</v>
      </c>
      <c r="I9" s="191">
        <f>'Cap Table'!I9</f>
        <v>0</v>
      </c>
      <c r="J9" s="191">
        <f>'Cap Table'!J9</f>
        <v>0</v>
      </c>
      <c r="K9" s="198" t="str">
        <f>'Cap Table'!K8</f>
        <v>Series C</v>
      </c>
      <c r="L9" s="199" t="e">
        <f>'Cap Table'!L8</f>
        <v>#DIV/0!</v>
      </c>
      <c r="M9" s="198" t="str">
        <f>'Cap Table'!M8</f>
        <v>Options</v>
      </c>
      <c r="N9" s="199" t="e">
        <f>'Cap Table'!N8</f>
        <v>#DIV/0!</v>
      </c>
      <c r="O9" s="191">
        <f>'Cap Table'!O9</f>
        <v>0</v>
      </c>
      <c r="P9" s="196" t="e">
        <f>'Cap Table'!#REF!</f>
        <v>#REF!</v>
      </c>
      <c r="Q9" s="187" t="e">
        <f>'Cap Table'!#REF!</f>
        <v>#REF!</v>
      </c>
      <c r="R9" s="196" t="e">
        <f>'Cap Table'!#REF!</f>
        <v>#REF!</v>
      </c>
      <c r="S9" s="196" t="e">
        <f>'Cap Table'!#REF!</f>
        <v>#REF!</v>
      </c>
      <c r="T9" s="196">
        <f>'Cap Table'!T9</f>
        <v>0</v>
      </c>
      <c r="U9" s="191">
        <f>'Cap Table'!U9</f>
        <v>0</v>
      </c>
      <c r="V9" s="191">
        <f>'Cap Table'!V9</f>
        <v>0</v>
      </c>
      <c r="W9" s="191">
        <f>'Cap Table'!W9</f>
        <v>0</v>
      </c>
      <c r="X9" s="191">
        <f>'Cap Table'!X9</f>
        <v>0</v>
      </c>
      <c r="Y9" s="191">
        <f>'Cap Table'!Y9</f>
        <v>0</v>
      </c>
      <c r="Z9" s="191">
        <f>'Cap Table'!Z9</f>
        <v>0</v>
      </c>
      <c r="AA9" s="191">
        <f>'Cap Table'!AA9</f>
        <v>0</v>
      </c>
      <c r="AB9" s="191">
        <f>'Cap Table'!AB9</f>
        <v>0</v>
      </c>
      <c r="AC9" s="191">
        <f>'Cap Table'!AC9</f>
        <v>0</v>
      </c>
      <c r="AD9" s="191">
        <f>'Cap Table'!AD9</f>
        <v>0</v>
      </c>
      <c r="AE9" s="191">
        <f>'Cap Table'!AE9</f>
        <v>0</v>
      </c>
      <c r="AF9" s="191">
        <f>'Cap Table'!AF9</f>
        <v>0</v>
      </c>
      <c r="AG9" s="191">
        <f>'Cap Table'!AG9</f>
        <v>0</v>
      </c>
      <c r="AH9" s="191">
        <f>'Cap Table'!AH9</f>
        <v>0</v>
      </c>
      <c r="AI9" s="191">
        <f>'Cap Table'!AI9</f>
        <v>0</v>
      </c>
      <c r="AJ9" s="191">
        <f>'Cap Table'!AJ9</f>
        <v>0</v>
      </c>
      <c r="AK9" s="201">
        <f>'Cap Table'!AK9</f>
        <v>0</v>
      </c>
      <c r="AL9" s="201">
        <f>'Cap Table'!AL9</f>
        <v>0</v>
      </c>
      <c r="AM9" s="191">
        <f>'Cap Table'!AM9</f>
        <v>0</v>
      </c>
      <c r="AN9" s="191">
        <f>'Cap Table'!AN9</f>
        <v>0</v>
      </c>
      <c r="AO9" s="191">
        <f>'Cap Table'!AO9</f>
        <v>0</v>
      </c>
      <c r="AP9" s="191">
        <f>'Cap Table'!AP9</f>
        <v>0</v>
      </c>
      <c r="AQ9" s="191">
        <f>'Cap Table'!AQ9</f>
        <v>0</v>
      </c>
      <c r="AR9" s="191">
        <f>'Cap Table'!AR9</f>
        <v>0</v>
      </c>
      <c r="AS9" s="191">
        <f>'Cap Table'!AS9</f>
        <v>0</v>
      </c>
      <c r="AT9" s="191">
        <f>'Cap Table'!AT9</f>
        <v>0</v>
      </c>
      <c r="AU9" s="191">
        <f>'Cap Table'!AU9</f>
        <v>0</v>
      </c>
      <c r="AV9" s="191">
        <f>'Cap Table'!AV9</f>
        <v>0</v>
      </c>
      <c r="AW9" s="191">
        <f>'Cap Table'!AW9</f>
        <v>0</v>
      </c>
      <c r="AX9" s="191">
        <f>'Cap Table'!AX9</f>
        <v>0</v>
      </c>
      <c r="AY9" s="191">
        <f>'Cap Table'!AY9</f>
        <v>0</v>
      </c>
      <c r="AZ9" s="191">
        <f>'Cap Table'!AZ9</f>
        <v>0</v>
      </c>
      <c r="BA9" s="191">
        <f>'Cap Table'!BA9</f>
        <v>0</v>
      </c>
      <c r="BB9" s="191">
        <f>'Cap Table'!BB9</f>
        <v>0</v>
      </c>
      <c r="BC9" s="191">
        <f>'Cap Table'!BC9</f>
        <v>0</v>
      </c>
      <c r="BD9" s="191">
        <f>'Cap Table'!BD9</f>
        <v>0</v>
      </c>
      <c r="BE9" s="191">
        <f>'Cap Table'!BE9</f>
        <v>0</v>
      </c>
      <c r="BF9" s="191">
        <f>'Cap Table'!BF9</f>
        <v>0</v>
      </c>
      <c r="BG9" s="191">
        <f>'Cap Table'!BG9</f>
        <v>0</v>
      </c>
      <c r="BH9" s="191">
        <f>'Cap Table'!BH9</f>
        <v>0</v>
      </c>
      <c r="BI9" s="191">
        <f>'Cap Table'!BI9</f>
        <v>0</v>
      </c>
      <c r="BJ9" s="191">
        <f>'Cap Table'!BJ9</f>
        <v>0</v>
      </c>
      <c r="BK9" s="191">
        <f>'Cap Table'!BK9</f>
        <v>0</v>
      </c>
      <c r="BL9" s="191">
        <f>'Cap Table'!BL9</f>
        <v>0</v>
      </c>
      <c r="BM9" s="191">
        <f>'Cap Table'!BM9</f>
        <v>0</v>
      </c>
      <c r="BN9" s="191">
        <f>'Cap Table'!BN9</f>
        <v>0</v>
      </c>
      <c r="BO9" s="191">
        <f>'Cap Table'!BO9</f>
        <v>0</v>
      </c>
      <c r="BP9" s="191">
        <f>'Cap Table'!BP9</f>
        <v>0</v>
      </c>
      <c r="BQ9" s="191">
        <f>'Cap Table'!BQ9</f>
        <v>0</v>
      </c>
      <c r="BR9" s="191">
        <f>'Cap Table'!BR9</f>
        <v>0</v>
      </c>
      <c r="BS9" s="191">
        <f>'Cap Table'!BS9</f>
        <v>0</v>
      </c>
      <c r="BT9" s="191">
        <f>'Cap Table'!BT9</f>
        <v>0</v>
      </c>
      <c r="BU9" s="191">
        <f>'Cap Table'!BU9</f>
        <v>0</v>
      </c>
      <c r="BV9" s="191">
        <f>'Cap Table'!BV9</f>
        <v>0</v>
      </c>
      <c r="BW9" s="191">
        <f>'Cap Table'!BW9</f>
        <v>0</v>
      </c>
      <c r="BX9" s="191">
        <f>'Cap Table'!BX9</f>
        <v>0</v>
      </c>
      <c r="BY9" s="191">
        <f>'Cap Table'!BY9</f>
        <v>0</v>
      </c>
      <c r="BZ9" s="191">
        <f>'Cap Table'!BZ9</f>
        <v>0</v>
      </c>
      <c r="CA9" s="191">
        <f>'Cap Table'!CA9</f>
        <v>0</v>
      </c>
      <c r="CB9" s="180">
        <f>'Cap Table'!CB9</f>
        <v>0</v>
      </c>
      <c r="CC9" s="191">
        <f>'Cap Table'!CC9</f>
        <v>0</v>
      </c>
      <c r="CD9" s="180"/>
      <c r="CE9" s="180"/>
    </row>
    <row r="10" spans="1:83" ht="15.65" hidden="1" customHeight="1" x14ac:dyDescent="0.35">
      <c r="A10" s="180"/>
      <c r="B10" s="180"/>
      <c r="D10" s="197" t="str">
        <f>'Cap Table'!D10</f>
        <v>Post-Money Valuation</v>
      </c>
      <c r="E10" s="1354" t="e">
        <f>'Cap Table'!E10</f>
        <v>#DIV/0!</v>
      </c>
      <c r="F10" s="1355">
        <v>0</v>
      </c>
      <c r="G10" s="204">
        <f>'Cap Table'!G10</f>
        <v>0</v>
      </c>
      <c r="H10" s="191">
        <f>'Cap Table'!H10</f>
        <v>0</v>
      </c>
      <c r="I10" s="191">
        <f>'Cap Table'!I10</f>
        <v>0</v>
      </c>
      <c r="J10" s="191">
        <f>'Cap Table'!J10</f>
        <v>0</v>
      </c>
      <c r="K10" s="198" t="str">
        <f>'Cap Table'!K9</f>
        <v>Series D</v>
      </c>
      <c r="L10" s="199" t="e">
        <f>'Cap Table'!L9</f>
        <v>#DIV/0!</v>
      </c>
      <c r="M10" s="198" t="str">
        <f>'Cap Table'!M9</f>
        <v>Warrants</v>
      </c>
      <c r="N10" s="199" t="e">
        <f>'Cap Table'!N9</f>
        <v>#DIV/0!</v>
      </c>
      <c r="O10" s="191">
        <f>'Cap Table'!O10</f>
        <v>0</v>
      </c>
      <c r="P10" s="196" t="e">
        <f>'Cap Table'!#REF!</f>
        <v>#REF!</v>
      </c>
      <c r="Q10" s="187" t="e">
        <f>'Cap Table'!#REF!</f>
        <v>#REF!</v>
      </c>
      <c r="R10" s="196" t="e">
        <f>'Cap Table'!#REF!</f>
        <v>#REF!</v>
      </c>
      <c r="S10" s="196" t="e">
        <f>'Cap Table'!#REF!</f>
        <v>#REF!</v>
      </c>
      <c r="T10" s="196">
        <f>'Cap Table'!T10</f>
        <v>0</v>
      </c>
      <c r="U10" s="191">
        <f>'Cap Table'!U10</f>
        <v>0</v>
      </c>
      <c r="V10" s="191">
        <f>'Cap Table'!V10</f>
        <v>0</v>
      </c>
      <c r="W10" s="191">
        <f>'Cap Table'!W10</f>
        <v>0</v>
      </c>
      <c r="X10" s="191">
        <f>'Cap Table'!X10</f>
        <v>0</v>
      </c>
      <c r="Y10" s="191">
        <f>'Cap Table'!Y10</f>
        <v>0</v>
      </c>
      <c r="Z10" s="191">
        <f>'Cap Table'!Z10</f>
        <v>0</v>
      </c>
      <c r="AA10" s="191">
        <f>'Cap Table'!AA10</f>
        <v>0</v>
      </c>
      <c r="AB10" s="191">
        <f>'Cap Table'!AB10</f>
        <v>0</v>
      </c>
      <c r="AC10" s="191">
        <f>'Cap Table'!AC10</f>
        <v>0</v>
      </c>
      <c r="AD10" s="191">
        <f>'Cap Table'!AD10</f>
        <v>0</v>
      </c>
      <c r="AE10" s="191">
        <f>'Cap Table'!AE10</f>
        <v>0</v>
      </c>
      <c r="AF10" s="191">
        <f>'Cap Table'!AF10</f>
        <v>0</v>
      </c>
      <c r="AG10" s="191">
        <f>'Cap Table'!AG10</f>
        <v>0</v>
      </c>
      <c r="AH10" s="191">
        <f>'Cap Table'!AH10</f>
        <v>0</v>
      </c>
      <c r="AI10" s="191">
        <f>'Cap Table'!AI10</f>
        <v>0</v>
      </c>
      <c r="AJ10" s="191">
        <f>'Cap Table'!AJ10</f>
        <v>0</v>
      </c>
      <c r="AK10" s="201">
        <f>'Cap Table'!AK10</f>
        <v>0</v>
      </c>
      <c r="AL10" s="201">
        <f>'Cap Table'!AL10</f>
        <v>0</v>
      </c>
      <c r="AM10" s="191">
        <f>'Cap Table'!AM10</f>
        <v>0</v>
      </c>
      <c r="AN10" s="191">
        <f>'Cap Table'!AN10</f>
        <v>0</v>
      </c>
      <c r="AO10" s="191">
        <f>'Cap Table'!AO10</f>
        <v>0</v>
      </c>
      <c r="AP10" s="191">
        <f>'Cap Table'!AP10</f>
        <v>0</v>
      </c>
      <c r="AQ10" s="191">
        <f>'Cap Table'!AQ10</f>
        <v>0</v>
      </c>
      <c r="AR10" s="191">
        <f>'Cap Table'!AR10</f>
        <v>0</v>
      </c>
      <c r="AS10" s="191">
        <f>'Cap Table'!AS10</f>
        <v>0</v>
      </c>
      <c r="AT10" s="191">
        <f>'Cap Table'!AT10</f>
        <v>0</v>
      </c>
      <c r="AU10" s="191">
        <f>'Cap Table'!AU10</f>
        <v>0</v>
      </c>
      <c r="AV10" s="191">
        <f>'Cap Table'!AV10</f>
        <v>0</v>
      </c>
      <c r="AW10" s="191">
        <f>'Cap Table'!AW10</f>
        <v>0</v>
      </c>
      <c r="AX10" s="191">
        <f>'Cap Table'!AX10</f>
        <v>0</v>
      </c>
      <c r="AY10" s="191">
        <f>'Cap Table'!AY10</f>
        <v>0</v>
      </c>
      <c r="AZ10" s="191">
        <f>'Cap Table'!AZ10</f>
        <v>0</v>
      </c>
      <c r="BA10" s="191">
        <f>'Cap Table'!BA10</f>
        <v>0</v>
      </c>
      <c r="BB10" s="191">
        <f>'Cap Table'!BB10</f>
        <v>0</v>
      </c>
      <c r="BC10" s="191">
        <f>'Cap Table'!BC10</f>
        <v>0</v>
      </c>
      <c r="BD10" s="191">
        <f>'Cap Table'!BD10</f>
        <v>0</v>
      </c>
      <c r="BE10" s="191">
        <f>'Cap Table'!BE10</f>
        <v>0</v>
      </c>
      <c r="BF10" s="191">
        <f>'Cap Table'!BF10</f>
        <v>0</v>
      </c>
      <c r="BG10" s="191">
        <f>'Cap Table'!BG10</f>
        <v>0</v>
      </c>
      <c r="BH10" s="191">
        <f>'Cap Table'!BH10</f>
        <v>0</v>
      </c>
      <c r="BI10" s="191">
        <f>'Cap Table'!BI10</f>
        <v>0</v>
      </c>
      <c r="BJ10" s="191">
        <f>'Cap Table'!BJ10</f>
        <v>0</v>
      </c>
      <c r="BK10" s="191">
        <f>'Cap Table'!BK10</f>
        <v>0</v>
      </c>
      <c r="BL10" s="191">
        <f>'Cap Table'!BL10</f>
        <v>0</v>
      </c>
      <c r="BM10" s="191">
        <f>'Cap Table'!BM10</f>
        <v>0</v>
      </c>
      <c r="BN10" s="191">
        <f>'Cap Table'!BN10</f>
        <v>0</v>
      </c>
      <c r="BO10" s="191">
        <f>'Cap Table'!BO10</f>
        <v>0</v>
      </c>
      <c r="BP10" s="191">
        <f>'Cap Table'!BP10</f>
        <v>0</v>
      </c>
      <c r="BQ10" s="191">
        <f>'Cap Table'!BQ10</f>
        <v>0</v>
      </c>
      <c r="BR10" s="191">
        <f>'Cap Table'!BR10</f>
        <v>0</v>
      </c>
      <c r="BS10" s="191">
        <f>'Cap Table'!BS10</f>
        <v>0</v>
      </c>
      <c r="BT10" s="191">
        <f>'Cap Table'!BT10</f>
        <v>0</v>
      </c>
      <c r="BU10" s="191">
        <f>'Cap Table'!BU10</f>
        <v>0</v>
      </c>
      <c r="BV10" s="191">
        <f>'Cap Table'!BV10</f>
        <v>0</v>
      </c>
      <c r="BW10" s="191">
        <f>'Cap Table'!BW10</f>
        <v>0</v>
      </c>
      <c r="BX10" s="191">
        <f>'Cap Table'!BX10</f>
        <v>0</v>
      </c>
      <c r="BY10" s="191">
        <f>'Cap Table'!BY10</f>
        <v>0</v>
      </c>
      <c r="BZ10" s="191">
        <f>'Cap Table'!BZ10</f>
        <v>0</v>
      </c>
      <c r="CA10" s="191">
        <f>'Cap Table'!CA10</f>
        <v>0</v>
      </c>
      <c r="CB10" s="180">
        <f>'Cap Table'!CB10</f>
        <v>0</v>
      </c>
      <c r="CC10" s="191">
        <f>'Cap Table'!CC10</f>
        <v>0</v>
      </c>
      <c r="CD10" s="180"/>
      <c r="CE10" s="180"/>
    </row>
    <row r="11" spans="1:83" hidden="1" x14ac:dyDescent="0.35">
      <c r="A11" s="37"/>
      <c r="B11" s="37"/>
      <c r="D11" s="207" t="str">
        <f>'Cap Table'!D11</f>
        <v>Validation</v>
      </c>
      <c r="E11" s="1324" t="e">
        <f>'Cap Table'!E11</f>
        <v>#DIV/0!</v>
      </c>
      <c r="F11" s="1324">
        <v>0</v>
      </c>
      <c r="G11" s="208">
        <f>'Cap Table'!G11</f>
        <v>0</v>
      </c>
      <c r="H11" s="191">
        <f>'Cap Table'!H11</f>
        <v>0</v>
      </c>
      <c r="I11" s="191">
        <f>'Cap Table'!I11</f>
        <v>0</v>
      </c>
      <c r="J11" s="191">
        <f>'Cap Table'!J11</f>
        <v>0</v>
      </c>
      <c r="K11" s="205" t="str">
        <f>'Cap Table'!K10</f>
        <v>Series E</v>
      </c>
      <c r="L11" s="206" t="e">
        <f>'Cap Table'!L10</f>
        <v>#DIV/0!</v>
      </c>
      <c r="M11" s="205" t="str">
        <f>'Cap Table'!M10</f>
        <v>Common</v>
      </c>
      <c r="N11" s="206" t="e">
        <f>'Cap Table'!N10</f>
        <v>#DIV/0!</v>
      </c>
      <c r="O11" s="191">
        <f>'Cap Table'!O11</f>
        <v>0</v>
      </c>
      <c r="P11" s="196">
        <f>'Cap Table'!P11</f>
        <v>0</v>
      </c>
      <c r="Q11" s="187" t="str">
        <f>'Cap Table'!Q11</f>
        <v>Series G</v>
      </c>
      <c r="R11" s="196">
        <f>'Cap Table'!R11</f>
        <v>0</v>
      </c>
      <c r="S11" s="196">
        <f>'Cap Table'!S11</f>
        <v>0</v>
      </c>
      <c r="T11" s="209">
        <f>'Cap Table'!T11</f>
        <v>0</v>
      </c>
      <c r="U11" s="191">
        <f>'Cap Table'!U11</f>
        <v>0</v>
      </c>
      <c r="V11" s="191">
        <f>'Cap Table'!V11</f>
        <v>0</v>
      </c>
      <c r="W11" s="191">
        <f>'Cap Table'!W11</f>
        <v>0</v>
      </c>
      <c r="X11" s="190">
        <f>'Cap Table'!X11</f>
        <v>0</v>
      </c>
      <c r="Y11" s="192">
        <f>'Cap Table'!Y11</f>
        <v>0</v>
      </c>
      <c r="Z11" s="192">
        <f>'Cap Table'!Z11</f>
        <v>0</v>
      </c>
      <c r="AA11" s="192">
        <f>'Cap Table'!AA11</f>
        <v>0</v>
      </c>
      <c r="AB11" s="192">
        <f>'Cap Table'!AB11</f>
        <v>0</v>
      </c>
      <c r="AC11" s="191">
        <f>'Cap Table'!AC11</f>
        <v>0</v>
      </c>
      <c r="AD11" s="191">
        <f>'Cap Table'!AD11</f>
        <v>0</v>
      </c>
      <c r="AE11" s="191">
        <f>'Cap Table'!AE11</f>
        <v>0</v>
      </c>
      <c r="AF11" s="191">
        <f>'Cap Table'!AF11</f>
        <v>0</v>
      </c>
      <c r="AG11" s="191">
        <f>'Cap Table'!AG11</f>
        <v>0</v>
      </c>
      <c r="AH11" s="191">
        <f>'Cap Table'!AH11</f>
        <v>0</v>
      </c>
      <c r="AI11" s="191">
        <f>'Cap Table'!AI11</f>
        <v>0</v>
      </c>
      <c r="AJ11" s="191">
        <f>'Cap Table'!AJ11</f>
        <v>0</v>
      </c>
      <c r="AK11" s="201">
        <f>'Cap Table'!AK11</f>
        <v>0</v>
      </c>
      <c r="AL11" s="201">
        <f>'Cap Table'!AL11</f>
        <v>0</v>
      </c>
      <c r="AM11" s="191">
        <f>'Cap Table'!AM11</f>
        <v>0</v>
      </c>
      <c r="AN11" s="191">
        <f>'Cap Table'!AN11</f>
        <v>0</v>
      </c>
      <c r="AO11" s="191">
        <f>'Cap Table'!AO11</f>
        <v>0</v>
      </c>
      <c r="AP11" s="191">
        <f>'Cap Table'!AP11</f>
        <v>0</v>
      </c>
      <c r="AQ11" s="191">
        <f>'Cap Table'!AQ11</f>
        <v>0</v>
      </c>
      <c r="AR11" s="191">
        <f>'Cap Table'!AR11</f>
        <v>0</v>
      </c>
      <c r="AS11" s="191">
        <f>'Cap Table'!AS11</f>
        <v>0</v>
      </c>
      <c r="AT11" s="191">
        <f>'Cap Table'!AT11</f>
        <v>0</v>
      </c>
      <c r="AU11" s="191">
        <f>'Cap Table'!AU11</f>
        <v>0</v>
      </c>
      <c r="AV11" s="191">
        <f>'Cap Table'!AV11</f>
        <v>0</v>
      </c>
      <c r="AW11" s="191">
        <f>'Cap Table'!AW11</f>
        <v>0</v>
      </c>
      <c r="AX11" s="191">
        <f>'Cap Table'!AX11</f>
        <v>0</v>
      </c>
      <c r="AY11" s="191">
        <f>'Cap Table'!AY11</f>
        <v>0</v>
      </c>
      <c r="AZ11" s="191">
        <f>'Cap Table'!AZ11</f>
        <v>0</v>
      </c>
      <c r="BA11" s="191">
        <f>'Cap Table'!BA11</f>
        <v>0</v>
      </c>
      <c r="BB11" s="191">
        <f>'Cap Table'!BB11</f>
        <v>0</v>
      </c>
      <c r="BC11" s="191">
        <f>'Cap Table'!BC11</f>
        <v>0</v>
      </c>
      <c r="BD11" s="210">
        <f>'Cap Table'!BD11</f>
        <v>0</v>
      </c>
      <c r="BE11" s="191">
        <f>'Cap Table'!BE11</f>
        <v>0</v>
      </c>
      <c r="BF11" s="191">
        <f>'Cap Table'!BF11</f>
        <v>0</v>
      </c>
      <c r="BG11" s="191">
        <f>'Cap Table'!BG11</f>
        <v>0</v>
      </c>
      <c r="BH11" s="191">
        <f>'Cap Table'!BH11</f>
        <v>0</v>
      </c>
      <c r="BI11" s="191">
        <f>'Cap Table'!BI11</f>
        <v>0</v>
      </c>
      <c r="BJ11" s="191">
        <f>'Cap Table'!BJ11</f>
        <v>0</v>
      </c>
      <c r="BK11" s="191">
        <f>'Cap Table'!BK11</f>
        <v>0</v>
      </c>
      <c r="BL11" s="210">
        <f>'Cap Table'!BL11</f>
        <v>0</v>
      </c>
      <c r="BM11" s="191">
        <f>'Cap Table'!BM11</f>
        <v>0</v>
      </c>
      <c r="BN11" s="210">
        <f>'Cap Table'!BN11</f>
        <v>0</v>
      </c>
      <c r="BO11" s="191">
        <f>'Cap Table'!BO11</f>
        <v>0</v>
      </c>
      <c r="BP11" s="191">
        <f>'Cap Table'!BP11</f>
        <v>0</v>
      </c>
      <c r="BQ11" s="191">
        <f>'Cap Table'!BQ11</f>
        <v>0</v>
      </c>
      <c r="BR11" s="191">
        <f>'Cap Table'!BR11</f>
        <v>0</v>
      </c>
      <c r="BS11" s="191">
        <f>'Cap Table'!BS11</f>
        <v>0</v>
      </c>
      <c r="BT11" s="191">
        <f>'Cap Table'!BT11</f>
        <v>0</v>
      </c>
      <c r="BU11" s="191">
        <f>'Cap Table'!BU11</f>
        <v>0</v>
      </c>
      <c r="BV11" s="191">
        <f>'Cap Table'!BV11</f>
        <v>0</v>
      </c>
      <c r="BW11" s="191">
        <f>'Cap Table'!BW11</f>
        <v>0</v>
      </c>
      <c r="BX11" s="191">
        <f>'Cap Table'!BX11</f>
        <v>0</v>
      </c>
      <c r="BY11" s="191">
        <f>'Cap Table'!BY11</f>
        <v>0</v>
      </c>
      <c r="BZ11" s="191">
        <f>'Cap Table'!BZ11</f>
        <v>0</v>
      </c>
      <c r="CA11" s="191">
        <f>'Cap Table'!CA11</f>
        <v>0</v>
      </c>
      <c r="CB11" s="180">
        <f>'Cap Table'!CB11</f>
        <v>0</v>
      </c>
      <c r="CC11" s="191">
        <f>'Cap Table'!CC11</f>
        <v>0</v>
      </c>
      <c r="CD11" s="180"/>
      <c r="CE11" s="180"/>
    </row>
    <row r="12" spans="1:83" ht="15.75" customHeight="1" x14ac:dyDescent="0.35">
      <c r="A12" s="37"/>
      <c r="B12" s="37"/>
      <c r="D12" s="191">
        <f>'Cap Table'!D12</f>
        <v>0</v>
      </c>
      <c r="E12" s="191">
        <f>'Cap Table'!E12</f>
        <v>0</v>
      </c>
      <c r="F12" s="191">
        <f>'Cap Table'!F12</f>
        <v>0</v>
      </c>
      <c r="G12" s="191">
        <f>'Cap Table'!G12</f>
        <v>0</v>
      </c>
      <c r="H12" s="226">
        <f>'Cap Table'!H12</f>
        <v>0</v>
      </c>
      <c r="I12" s="191">
        <f>'Cap Table'!I12</f>
        <v>0</v>
      </c>
      <c r="J12" s="191">
        <f>'Cap Table'!J12</f>
        <v>0</v>
      </c>
      <c r="K12" s="191">
        <f>'Cap Table'!K12</f>
        <v>0</v>
      </c>
      <c r="L12" s="191">
        <f>'Cap Table'!L12</f>
        <v>0</v>
      </c>
      <c r="M12" s="191">
        <f>'Cap Table'!M12</f>
        <v>0</v>
      </c>
      <c r="N12" s="191">
        <f>'Cap Table'!N12</f>
        <v>0</v>
      </c>
      <c r="O12" s="191">
        <f>'Cap Table'!O12</f>
        <v>0</v>
      </c>
      <c r="P12" s="196">
        <f>'Cap Table'!P12</f>
        <v>0</v>
      </c>
      <c r="Q12" s="196">
        <f>'Cap Table'!Q12</f>
        <v>0</v>
      </c>
      <c r="R12" s="196">
        <f>'Cap Table'!R12</f>
        <v>0</v>
      </c>
      <c r="S12" s="196">
        <f>'Cap Table'!S12</f>
        <v>0</v>
      </c>
      <c r="T12" s="209">
        <f>'Cap Table'!T12</f>
        <v>0</v>
      </c>
      <c r="U12" s="191">
        <f>'Cap Table'!U12</f>
        <v>0</v>
      </c>
      <c r="V12" s="191">
        <f>'Cap Table'!V12</f>
        <v>0</v>
      </c>
      <c r="W12" s="191">
        <f>'Cap Table'!W12</f>
        <v>0</v>
      </c>
      <c r="X12" s="190">
        <f>'Cap Table'!X12</f>
        <v>0</v>
      </c>
      <c r="Y12" s="192">
        <f>'Cap Table'!Y12</f>
        <v>0</v>
      </c>
      <c r="Z12" s="192">
        <f>'Cap Table'!Z12</f>
        <v>0</v>
      </c>
      <c r="AA12" s="192">
        <f>'Cap Table'!AA12</f>
        <v>0</v>
      </c>
      <c r="AB12" s="192">
        <f>'Cap Table'!AB12</f>
        <v>0</v>
      </c>
      <c r="AC12" s="191">
        <f>'Cap Table'!AC12</f>
        <v>0</v>
      </c>
      <c r="AD12" s="191">
        <f>'Cap Table'!AD12</f>
        <v>0</v>
      </c>
      <c r="AE12" s="191">
        <f>'Cap Table'!AE12</f>
        <v>0</v>
      </c>
      <c r="AF12" s="191">
        <f>'Cap Table'!AF12</f>
        <v>0</v>
      </c>
      <c r="AG12" s="191">
        <f>'Cap Table'!AG12</f>
        <v>0</v>
      </c>
      <c r="AH12" s="191">
        <f>'Cap Table'!AH12</f>
        <v>0</v>
      </c>
      <c r="AI12" s="191">
        <f>'Cap Table'!AI12</f>
        <v>0</v>
      </c>
      <c r="AJ12" s="191">
        <f>'Cap Table'!AJ12</f>
        <v>0</v>
      </c>
      <c r="AK12" s="201">
        <f>'Cap Table'!AK12</f>
        <v>0</v>
      </c>
      <c r="AL12" s="201">
        <f>'Cap Table'!AL12</f>
        <v>0</v>
      </c>
      <c r="AM12" s="191">
        <f>'Cap Table'!AM12</f>
        <v>0</v>
      </c>
      <c r="AN12" s="191">
        <f>'Cap Table'!AN12</f>
        <v>0</v>
      </c>
      <c r="AO12" s="191">
        <f>'Cap Table'!AO12</f>
        <v>0</v>
      </c>
      <c r="AP12" s="191">
        <f>'Cap Table'!AP12</f>
        <v>0</v>
      </c>
      <c r="AQ12" s="191">
        <f>'Cap Table'!AQ12</f>
        <v>0</v>
      </c>
      <c r="AR12" s="191">
        <f>'Cap Table'!AR12</f>
        <v>0</v>
      </c>
      <c r="AS12" s="191">
        <f>'Cap Table'!AS12</f>
        <v>0</v>
      </c>
      <c r="AT12" s="191">
        <f>'Cap Table'!AT12</f>
        <v>0</v>
      </c>
      <c r="AU12" s="191">
        <f>'Cap Table'!AU12</f>
        <v>0</v>
      </c>
      <c r="AV12" s="191">
        <f>'Cap Table'!AV12</f>
        <v>0</v>
      </c>
      <c r="AW12" s="191">
        <f>'Cap Table'!AW12</f>
        <v>0</v>
      </c>
      <c r="AX12" s="191">
        <f>'Cap Table'!AX12</f>
        <v>0</v>
      </c>
      <c r="AY12" s="191">
        <f>'Cap Table'!AY12</f>
        <v>0</v>
      </c>
      <c r="AZ12" s="191">
        <f>'Cap Table'!AZ12</f>
        <v>0</v>
      </c>
      <c r="BA12" s="191">
        <f>'Cap Table'!BA12</f>
        <v>0</v>
      </c>
      <c r="BB12" s="191">
        <f>'Cap Table'!BB12</f>
        <v>0</v>
      </c>
      <c r="BC12" s="191">
        <f>'Cap Table'!BC12</f>
        <v>0</v>
      </c>
      <c r="BD12" s="191">
        <f>'Cap Table'!BD12</f>
        <v>0</v>
      </c>
      <c r="BE12" s="191">
        <f>'Cap Table'!BE12</f>
        <v>0</v>
      </c>
      <c r="BF12" s="191">
        <f>'Cap Table'!BF12</f>
        <v>0</v>
      </c>
      <c r="BG12" s="191">
        <f>'Cap Table'!BG12</f>
        <v>0</v>
      </c>
      <c r="BH12" s="191">
        <f>'Cap Table'!BH12</f>
        <v>0</v>
      </c>
      <c r="BI12" s="191">
        <f>'Cap Table'!BI12</f>
        <v>0</v>
      </c>
      <c r="BJ12" s="191">
        <f>'Cap Table'!BJ12</f>
        <v>0</v>
      </c>
      <c r="BK12" s="191">
        <f>'Cap Table'!BK12</f>
        <v>0</v>
      </c>
      <c r="BL12" s="191">
        <f>'Cap Table'!BL12</f>
        <v>0</v>
      </c>
      <c r="BM12" s="191">
        <f>'Cap Table'!BM12</f>
        <v>0</v>
      </c>
      <c r="BN12" s="191">
        <f>'Cap Table'!BN12</f>
        <v>0</v>
      </c>
      <c r="BO12" s="191">
        <f>'Cap Table'!BO12</f>
        <v>0</v>
      </c>
      <c r="BP12" s="191">
        <f>'Cap Table'!BP12</f>
        <v>0</v>
      </c>
      <c r="BQ12" s="191">
        <f>'Cap Table'!BQ12</f>
        <v>0</v>
      </c>
      <c r="BR12" s="191">
        <f>'Cap Table'!BR12</f>
        <v>0</v>
      </c>
      <c r="BS12" s="191">
        <f>'Cap Table'!BS12</f>
        <v>0</v>
      </c>
      <c r="BT12" s="191">
        <f>'Cap Table'!BT12</f>
        <v>0</v>
      </c>
      <c r="BU12" s="191">
        <f>'Cap Table'!BU12</f>
        <v>0</v>
      </c>
      <c r="BV12" s="191">
        <f>'Cap Table'!BV12</f>
        <v>0</v>
      </c>
      <c r="BW12" s="191">
        <f>'Cap Table'!BW12</f>
        <v>0</v>
      </c>
      <c r="BX12" s="191">
        <f>'Cap Table'!BX12</f>
        <v>0</v>
      </c>
      <c r="BY12" s="191">
        <f>'Cap Table'!BY12</f>
        <v>0</v>
      </c>
      <c r="BZ12" s="191">
        <f>'Cap Table'!BZ12</f>
        <v>0</v>
      </c>
      <c r="CA12" s="191">
        <f>'Cap Table'!CA12</f>
        <v>0</v>
      </c>
      <c r="CB12" s="180">
        <f>'Cap Table'!CB12</f>
        <v>0</v>
      </c>
      <c r="CC12" s="191">
        <f>'Cap Table'!CC12</f>
        <v>0</v>
      </c>
      <c r="CD12" s="180"/>
      <c r="CE12" s="180"/>
    </row>
    <row r="13" spans="1:83" s="211" customFormat="1" ht="15.75" customHeight="1" x14ac:dyDescent="0.35">
      <c r="A13" s="212"/>
      <c r="B13" s="212"/>
      <c r="D13" s="211">
        <f>'Cap Table'!D13</f>
        <v>0</v>
      </c>
      <c r="E13" s="211">
        <f>'Cap Table'!E13</f>
        <v>0</v>
      </c>
      <c r="F13" s="211">
        <f>'Cap Table'!F13</f>
        <v>0</v>
      </c>
      <c r="G13" s="213">
        <f>'Cap Table'!G13</f>
        <v>0</v>
      </c>
      <c r="H13" s="1366" t="str">
        <f>'Cap Table'!H13</f>
        <v>Seed</v>
      </c>
      <c r="I13" s="1367">
        <v>0</v>
      </c>
      <c r="J13" s="1367">
        <v>0</v>
      </c>
      <c r="K13" s="1367">
        <v>0</v>
      </c>
      <c r="L13" s="1367">
        <v>0</v>
      </c>
      <c r="M13" s="1367">
        <v>0</v>
      </c>
      <c r="N13" s="1367">
        <v>0</v>
      </c>
      <c r="O13" s="1367">
        <v>0</v>
      </c>
      <c r="P13" s="1366" t="str">
        <f>'Cap Table'!P13</f>
        <v>Series A</v>
      </c>
      <c r="Q13" s="1367">
        <v>0</v>
      </c>
      <c r="R13" s="1367">
        <v>0</v>
      </c>
      <c r="S13" s="1367">
        <v>0</v>
      </c>
      <c r="T13" s="1367">
        <v>0</v>
      </c>
      <c r="U13" s="1367">
        <v>0</v>
      </c>
      <c r="V13" s="1367">
        <v>0</v>
      </c>
      <c r="W13" s="1367">
        <v>0</v>
      </c>
      <c r="X13" s="1366" t="str">
        <f>'Cap Table'!X13</f>
        <v>Series B</v>
      </c>
      <c r="Y13" s="1367">
        <v>0</v>
      </c>
      <c r="Z13" s="1367">
        <v>0</v>
      </c>
      <c r="AA13" s="1367">
        <v>0</v>
      </c>
      <c r="AB13" s="1367">
        <v>0</v>
      </c>
      <c r="AC13" s="1367">
        <v>0</v>
      </c>
      <c r="AD13" s="1367">
        <v>0</v>
      </c>
      <c r="AE13" s="1367">
        <v>0</v>
      </c>
      <c r="AF13" s="1366" t="str">
        <f>'Cap Table'!AF13</f>
        <v>Series C</v>
      </c>
      <c r="AG13" s="1367">
        <v>0</v>
      </c>
      <c r="AH13" s="1367">
        <v>0</v>
      </c>
      <c r="AI13" s="1367">
        <v>0</v>
      </c>
      <c r="AJ13" s="1367">
        <v>0</v>
      </c>
      <c r="AK13" s="1367">
        <v>0</v>
      </c>
      <c r="AL13" s="1367">
        <v>0</v>
      </c>
      <c r="AM13" s="1367">
        <v>0</v>
      </c>
      <c r="AN13" s="1366" t="str">
        <f>'Cap Table'!AN13</f>
        <v>Series D</v>
      </c>
      <c r="AO13" s="1367">
        <v>0</v>
      </c>
      <c r="AP13" s="1367">
        <v>0</v>
      </c>
      <c r="AQ13" s="1367">
        <v>0</v>
      </c>
      <c r="AR13" s="1367">
        <v>0</v>
      </c>
      <c r="AS13" s="1367">
        <v>0</v>
      </c>
      <c r="AT13" s="1367">
        <v>0</v>
      </c>
      <c r="AU13" s="1367">
        <v>0</v>
      </c>
      <c r="AV13" s="1366" t="str">
        <f>'Cap Table'!AV13</f>
        <v>Series E</v>
      </c>
      <c r="AW13" s="1367">
        <v>0</v>
      </c>
      <c r="AX13" s="1367">
        <v>0</v>
      </c>
      <c r="AY13" s="1367">
        <v>0</v>
      </c>
      <c r="AZ13" s="1367">
        <v>0</v>
      </c>
      <c r="BA13" s="1367">
        <v>0</v>
      </c>
      <c r="BB13" s="1367">
        <v>0</v>
      </c>
      <c r="BC13" s="1367">
        <v>0</v>
      </c>
      <c r="BD13" s="1366" t="str">
        <f>'Cap Table'!BD13</f>
        <v>Series E-1</v>
      </c>
      <c r="BE13" s="1367">
        <v>0</v>
      </c>
      <c r="BF13" s="1367">
        <v>0</v>
      </c>
      <c r="BG13" s="1367">
        <v>0</v>
      </c>
      <c r="BH13" s="1367">
        <v>0</v>
      </c>
      <c r="BI13" s="1367">
        <v>0</v>
      </c>
      <c r="BJ13" s="1367">
        <v>0</v>
      </c>
      <c r="BK13" s="1367">
        <v>0</v>
      </c>
      <c r="BL13" s="1366" t="str">
        <f>'Cap Table'!BL13</f>
        <v>Series F</v>
      </c>
      <c r="BM13" s="1367">
        <v>0</v>
      </c>
      <c r="BN13" s="1367">
        <v>0</v>
      </c>
      <c r="BO13" s="1367">
        <v>0</v>
      </c>
      <c r="BP13" s="1367">
        <v>0</v>
      </c>
      <c r="BQ13" s="1367">
        <v>0</v>
      </c>
      <c r="BR13" s="1367">
        <v>0</v>
      </c>
      <c r="BS13" s="1367">
        <v>0</v>
      </c>
      <c r="BT13" s="1367" t="str">
        <f>'Cap Table'!BT13</f>
        <v>Series G</v>
      </c>
      <c r="BU13" s="1367">
        <v>0</v>
      </c>
      <c r="BV13" s="1367">
        <v>0</v>
      </c>
      <c r="BW13" s="1367">
        <v>0</v>
      </c>
      <c r="BX13" s="1367">
        <v>0</v>
      </c>
      <c r="BY13" s="1367">
        <v>0</v>
      </c>
      <c r="BZ13" s="1367">
        <v>0</v>
      </c>
      <c r="CA13" s="1367">
        <v>0</v>
      </c>
      <c r="CB13" s="180">
        <f>'Cap Table'!CB13</f>
        <v>0</v>
      </c>
      <c r="CC13" s="214">
        <f>'Cap Table'!CC13</f>
        <v>0</v>
      </c>
      <c r="CD13" s="180"/>
      <c r="CE13" s="180"/>
    </row>
    <row r="14" spans="1:83" s="215" customFormat="1" ht="15.75" customHeight="1" x14ac:dyDescent="0.35">
      <c r="A14" s="181"/>
      <c r="B14" s="181"/>
      <c r="D14" s="216">
        <f>'Cap Table'!D14</f>
        <v>0</v>
      </c>
      <c r="E14" s="215">
        <f>'Cap Table'!E14</f>
        <v>0</v>
      </c>
      <c r="F14" s="215">
        <f>'Cap Table'!F14</f>
        <v>0</v>
      </c>
      <c r="G14" s="215">
        <f>'Cap Table'!G14</f>
        <v>0</v>
      </c>
      <c r="H14" s="1365" t="str">
        <f>'Cap Table'!H14</f>
        <v>[Date]</v>
      </c>
      <c r="I14" s="1365">
        <v>0</v>
      </c>
      <c r="J14" s="1365">
        <v>0</v>
      </c>
      <c r="K14" s="1365">
        <v>0</v>
      </c>
      <c r="L14" s="1365">
        <v>0</v>
      </c>
      <c r="M14" s="1365">
        <v>0</v>
      </c>
      <c r="N14" s="1365">
        <v>0</v>
      </c>
      <c r="O14" s="1365">
        <v>0</v>
      </c>
      <c r="P14" s="1364" t="str">
        <f>'Cap Table'!P14</f>
        <v>[Date]</v>
      </c>
      <c r="Q14" s="1365">
        <v>0</v>
      </c>
      <c r="R14" s="1365">
        <v>0</v>
      </c>
      <c r="S14" s="1365">
        <v>0</v>
      </c>
      <c r="T14" s="1365">
        <v>0</v>
      </c>
      <c r="U14" s="1365">
        <v>0</v>
      </c>
      <c r="V14" s="1365">
        <v>0</v>
      </c>
      <c r="W14" s="1365">
        <v>0</v>
      </c>
      <c r="X14" s="1364" t="str">
        <f>'Cap Table'!X14</f>
        <v>[Date]</v>
      </c>
      <c r="Y14" s="1365">
        <v>0</v>
      </c>
      <c r="Z14" s="1365">
        <v>0</v>
      </c>
      <c r="AA14" s="1365">
        <v>0</v>
      </c>
      <c r="AB14" s="1365">
        <v>0</v>
      </c>
      <c r="AC14" s="1365">
        <v>0</v>
      </c>
      <c r="AD14" s="1365">
        <v>0</v>
      </c>
      <c r="AE14" s="1365">
        <v>0</v>
      </c>
      <c r="AF14" s="1364" t="str">
        <f>'Cap Table'!AF14</f>
        <v>[Date]</v>
      </c>
      <c r="AG14" s="1365">
        <v>0</v>
      </c>
      <c r="AH14" s="1365">
        <v>0</v>
      </c>
      <c r="AI14" s="1365">
        <v>0</v>
      </c>
      <c r="AJ14" s="1365">
        <v>0</v>
      </c>
      <c r="AK14" s="1365">
        <v>0</v>
      </c>
      <c r="AL14" s="1365">
        <v>0</v>
      </c>
      <c r="AM14" s="1365">
        <v>0</v>
      </c>
      <c r="AN14" s="1364" t="str">
        <f>'Cap Table'!AN14</f>
        <v>[Date]</v>
      </c>
      <c r="AO14" s="1365">
        <v>0</v>
      </c>
      <c r="AP14" s="1365">
        <v>0</v>
      </c>
      <c r="AQ14" s="1365">
        <v>0</v>
      </c>
      <c r="AR14" s="1365">
        <v>0</v>
      </c>
      <c r="AS14" s="1365">
        <v>0</v>
      </c>
      <c r="AT14" s="1365">
        <v>0</v>
      </c>
      <c r="AU14" s="1365">
        <v>0</v>
      </c>
      <c r="AV14" s="1364" t="str">
        <f>'Cap Table'!AV14</f>
        <v>[Date]</v>
      </c>
      <c r="AW14" s="1365">
        <v>0</v>
      </c>
      <c r="AX14" s="1365">
        <v>0</v>
      </c>
      <c r="AY14" s="1365">
        <v>0</v>
      </c>
      <c r="AZ14" s="1365">
        <v>0</v>
      </c>
      <c r="BA14" s="1365">
        <v>0</v>
      </c>
      <c r="BB14" s="1365">
        <v>0</v>
      </c>
      <c r="BC14" s="1365">
        <v>0</v>
      </c>
      <c r="BD14" s="1364" t="str">
        <f>'Cap Table'!BD14</f>
        <v>[Date]</v>
      </c>
      <c r="BE14" s="1365">
        <v>0</v>
      </c>
      <c r="BF14" s="1365">
        <v>0</v>
      </c>
      <c r="BG14" s="1365">
        <v>0</v>
      </c>
      <c r="BH14" s="1365">
        <v>0</v>
      </c>
      <c r="BI14" s="1365">
        <v>0</v>
      </c>
      <c r="BJ14" s="1365">
        <v>0</v>
      </c>
      <c r="BK14" s="1365">
        <v>0</v>
      </c>
      <c r="BL14" s="1364" t="str">
        <f>'Cap Table'!BL14</f>
        <v>[Date]</v>
      </c>
      <c r="BM14" s="1365">
        <v>0</v>
      </c>
      <c r="BN14" s="1365">
        <v>0</v>
      </c>
      <c r="BO14" s="1365">
        <v>0</v>
      </c>
      <c r="BP14" s="1365">
        <v>0</v>
      </c>
      <c r="BQ14" s="1365">
        <v>0</v>
      </c>
      <c r="BR14" s="1365">
        <v>0</v>
      </c>
      <c r="BS14" s="1365">
        <v>0</v>
      </c>
      <c r="BT14" s="1365" t="str">
        <f>'Cap Table'!BT14</f>
        <v>[Date]</v>
      </c>
      <c r="BU14" s="1365">
        <v>0</v>
      </c>
      <c r="BV14" s="1365">
        <v>0</v>
      </c>
      <c r="BW14" s="1365">
        <v>0</v>
      </c>
      <c r="BX14" s="1365">
        <v>0</v>
      </c>
      <c r="BY14" s="1365">
        <v>0</v>
      </c>
      <c r="BZ14" s="1365">
        <v>0</v>
      </c>
      <c r="CA14" s="1365">
        <v>0</v>
      </c>
      <c r="CB14" s="181">
        <f>'Cap Table'!CB14</f>
        <v>0</v>
      </c>
      <c r="CC14" s="215">
        <f>'Cap Table'!CC14</f>
        <v>0</v>
      </c>
      <c r="CD14" s="181"/>
      <c r="CE14" s="181"/>
    </row>
    <row r="15" spans="1:83" s="214" customFormat="1" ht="48" customHeight="1" x14ac:dyDescent="0.35">
      <c r="A15" s="180"/>
      <c r="B15" s="180"/>
      <c r="C15" s="217"/>
      <c r="D15" s="711">
        <f>'Cap Table'!D15</f>
        <v>0</v>
      </c>
      <c r="E15" s="711" t="str">
        <f>'Cap Table'!E15</f>
        <v>Options</v>
      </c>
      <c r="F15" s="711" t="str">
        <f>'Cap Table'!F15</f>
        <v>Warrants</v>
      </c>
      <c r="G15" s="711" t="str">
        <f>'Cap Table'!G15</f>
        <v>Common Stock</v>
      </c>
      <c r="H15" s="267" t="str">
        <f>'Cap Table'!H15</f>
        <v>Seed Prfrd</v>
      </c>
      <c r="I15" s="711" t="str">
        <f>'Cap Table'!I15</f>
        <v>Seed Warrants</v>
      </c>
      <c r="J15" s="711" t="str">
        <f>'Cap Table'!J15</f>
        <v>Seed
$$ Invested</v>
      </c>
      <c r="K15" s="711" t="str">
        <f>'Cap Table'!K15</f>
        <v>Seed Prfrd  %</v>
      </c>
      <c r="L15" s="711" t="str">
        <f>'Cap Table'!L15</f>
        <v>Total Prfrd
Shares</v>
      </c>
      <c r="M15" s="711" t="str">
        <f>'Cap Table'!M15</f>
        <v>Fully Diluted Shares</v>
      </c>
      <c r="N15" s="711" t="str">
        <f>'Cap Table'!N15</f>
        <v>% Total Prfrd</v>
      </c>
      <c r="O15" s="711" t="str">
        <f>'Cap Table'!O15</f>
        <v>% Fully Diluted</v>
      </c>
      <c r="P15" s="267" t="str">
        <f>'Cap Table'!P15</f>
        <v>Series A Prfrd</v>
      </c>
      <c r="Q15" s="711" t="str">
        <f>'Cap Table'!Q15</f>
        <v>Series A Warrants</v>
      </c>
      <c r="R15" s="711" t="str">
        <f>'Cap Table'!R15</f>
        <v>Series A
$$ Invested</v>
      </c>
      <c r="S15" s="711" t="str">
        <f>'Cap Table'!S15</f>
        <v>Series A Prfrd  %</v>
      </c>
      <c r="T15" s="711" t="str">
        <f>'Cap Table'!T15</f>
        <v>Total Prfrd
Shares</v>
      </c>
      <c r="U15" s="711" t="str">
        <f>'Cap Table'!U15</f>
        <v>Fully Diluted Shares</v>
      </c>
      <c r="V15" s="711" t="str">
        <f>'Cap Table'!V15</f>
        <v>% Total Prfrd</v>
      </c>
      <c r="W15" s="711" t="str">
        <f>'Cap Table'!W15</f>
        <v>% Fully Diluted</v>
      </c>
      <c r="X15" s="267" t="str">
        <f>'Cap Table'!X15</f>
        <v>Series B Prfrd</v>
      </c>
      <c r="Y15" s="711" t="str">
        <f>'Cap Table'!Y15</f>
        <v>Series B Warrants</v>
      </c>
      <c r="Z15" s="711" t="str">
        <f>'Cap Table'!Z15</f>
        <v>Series B
$$ Invested</v>
      </c>
      <c r="AA15" s="711" t="str">
        <f>'Cap Table'!AA15</f>
        <v>Series B Prfrd  %</v>
      </c>
      <c r="AB15" s="711" t="str">
        <f>'Cap Table'!AB15</f>
        <v>Total Prfrd
Shares</v>
      </c>
      <c r="AC15" s="711" t="str">
        <f>'Cap Table'!AC15</f>
        <v>Fully Diluted Shares</v>
      </c>
      <c r="AD15" s="711" t="str">
        <f>'Cap Table'!AD15</f>
        <v>% Total Prfrd</v>
      </c>
      <c r="AE15" s="711" t="str">
        <f>'Cap Table'!AE15</f>
        <v>% Fully Diluted</v>
      </c>
      <c r="AF15" s="267" t="str">
        <f>'Cap Table'!AF15</f>
        <v>Series C Prfrd</v>
      </c>
      <c r="AG15" s="711" t="str">
        <f>'Cap Table'!AG15</f>
        <v>Series C Warrants</v>
      </c>
      <c r="AH15" s="711" t="str">
        <f>'Cap Table'!AH15</f>
        <v>Series C
$$ Invested</v>
      </c>
      <c r="AI15" s="711" t="str">
        <f>'Cap Table'!AI15</f>
        <v>Series C Prfrd  %</v>
      </c>
      <c r="AJ15" s="711" t="str">
        <f>'Cap Table'!AJ15</f>
        <v>Total Prfrd
Shares</v>
      </c>
      <c r="AK15" s="711" t="str">
        <f>'Cap Table'!AK15</f>
        <v>Fully Diluted Shares</v>
      </c>
      <c r="AL15" s="711" t="str">
        <f>'Cap Table'!AL15</f>
        <v>% Total Prfrd</v>
      </c>
      <c r="AM15" s="711" t="str">
        <f>'Cap Table'!AM15</f>
        <v>% Fully Diluted</v>
      </c>
      <c r="AN15" s="267" t="str">
        <f>'Cap Table'!AN15</f>
        <v>Series D Prfrd</v>
      </c>
      <c r="AO15" s="711" t="str">
        <f>'Cap Table'!AO15</f>
        <v>Series D Warrants</v>
      </c>
      <c r="AP15" s="711" t="str">
        <f>'Cap Table'!AP15</f>
        <v>Series D
$$ Invested</v>
      </c>
      <c r="AQ15" s="711" t="str">
        <f>'Cap Table'!AQ15</f>
        <v>Series D Prfrd  %</v>
      </c>
      <c r="AR15" s="711" t="str">
        <f>'Cap Table'!AR15</f>
        <v>Total Prfrd
Shares</v>
      </c>
      <c r="AS15" s="711" t="str">
        <f>'Cap Table'!AS15</f>
        <v>Fully Diluted Shares</v>
      </c>
      <c r="AT15" s="711" t="str">
        <f>'Cap Table'!AT15</f>
        <v>% Total Prfrd</v>
      </c>
      <c r="AU15" s="711" t="str">
        <f>'Cap Table'!AU15</f>
        <v>% Fully Diluted</v>
      </c>
      <c r="AV15" s="267" t="str">
        <f>'Cap Table'!AV15</f>
        <v>Series E Prfrd</v>
      </c>
      <c r="AW15" s="711" t="str">
        <f>'Cap Table'!AW15</f>
        <v>Series E Warrants</v>
      </c>
      <c r="AX15" s="711" t="str">
        <f>'Cap Table'!AX15</f>
        <v>Series E
$$ Invested</v>
      </c>
      <c r="AY15" s="711" t="str">
        <f>'Cap Table'!AY15</f>
        <v>Series E Prfrd  %</v>
      </c>
      <c r="AZ15" s="711" t="str">
        <f>'Cap Table'!AZ15</f>
        <v>Total Prfrd
Shares</v>
      </c>
      <c r="BA15" s="711" t="str">
        <f>'Cap Table'!BA15</f>
        <v>Fully Diluted Shares</v>
      </c>
      <c r="BB15" s="711" t="str">
        <f>'Cap Table'!BB15</f>
        <v>% Total Prfrd</v>
      </c>
      <c r="BC15" s="711" t="str">
        <f>'Cap Table'!BC15</f>
        <v>% Fully Diluted</v>
      </c>
      <c r="BD15" s="267" t="str">
        <f>'Cap Table'!BD15</f>
        <v>Series E-1 Prfrd</v>
      </c>
      <c r="BE15" s="711" t="str">
        <f>'Cap Table'!BE15</f>
        <v>Series E-1 Warrants</v>
      </c>
      <c r="BF15" s="711" t="str">
        <f>'Cap Table'!BF15</f>
        <v>Series E-1
$$ Invested</v>
      </c>
      <c r="BG15" s="711" t="str">
        <f>'Cap Table'!BG15</f>
        <v>Series E-1 Prfrd  %</v>
      </c>
      <c r="BH15" s="711" t="str">
        <f>'Cap Table'!BH15</f>
        <v>Total Prfrd
Shares</v>
      </c>
      <c r="BI15" s="711" t="str">
        <f>'Cap Table'!BI15</f>
        <v>Fully Diluted Shares</v>
      </c>
      <c r="BJ15" s="711" t="str">
        <f>'Cap Table'!BJ15</f>
        <v>% Total Prfrd</v>
      </c>
      <c r="BK15" s="711" t="str">
        <f>'Cap Table'!BK15</f>
        <v>% Fully Diluted</v>
      </c>
      <c r="BL15" s="267" t="str">
        <f>'Cap Table'!BL15</f>
        <v>Series F Prfrd</v>
      </c>
      <c r="BM15" s="711" t="str">
        <f>'Cap Table'!BM15</f>
        <v>Series F Warrants</v>
      </c>
      <c r="BN15" s="711" t="str">
        <f>'Cap Table'!BN15</f>
        <v>Series F
$$ Invested</v>
      </c>
      <c r="BO15" s="711" t="str">
        <f>'Cap Table'!BO15</f>
        <v>Series F Prfrd  %</v>
      </c>
      <c r="BP15" s="711" t="str">
        <f>'Cap Table'!BP15</f>
        <v>Total Prfrd
Shares</v>
      </c>
      <c r="BQ15" s="711" t="str">
        <f>'Cap Table'!BQ15</f>
        <v>Fully Diluted Shares</v>
      </c>
      <c r="BR15" s="711" t="str">
        <f>'Cap Table'!BR15</f>
        <v>% Total Prfrd</v>
      </c>
      <c r="BS15" s="711" t="str">
        <f>'Cap Table'!BS15</f>
        <v>% Fully Diluted</v>
      </c>
      <c r="BT15" s="711" t="str">
        <f>'Cap Table'!BT15</f>
        <v>Series G Prfrd</v>
      </c>
      <c r="BU15" s="711" t="str">
        <f>'Cap Table'!BU15</f>
        <v>Series G Warrants</v>
      </c>
      <c r="BV15" s="711" t="str">
        <f>'Cap Table'!BV15</f>
        <v>Series G
$$ Invested</v>
      </c>
      <c r="BW15" s="711" t="str">
        <f>'Cap Table'!BW15</f>
        <v>Series G Prfrd  %</v>
      </c>
      <c r="BX15" s="711" t="str">
        <f>'Cap Table'!BX15</f>
        <v>Total Prfrd
Shares</v>
      </c>
      <c r="BY15" s="711" t="str">
        <f>'Cap Table'!BY15</f>
        <v>Fully Diluted Shares</v>
      </c>
      <c r="BZ15" s="711" t="str">
        <f>'Cap Table'!BZ15</f>
        <v>% Total Prfrd</v>
      </c>
      <c r="CA15" s="711" t="str">
        <f>'Cap Table'!CA15</f>
        <v>% Fully Diluted</v>
      </c>
      <c r="CB15" s="180">
        <f>'Cap Table'!CB15</f>
        <v>0</v>
      </c>
      <c r="CC15" s="711" t="str">
        <f>'Cap Table'!CC15</f>
        <v>TOTAL $$ INVESTED</v>
      </c>
      <c r="CD15" s="180"/>
      <c r="CE15" s="180"/>
    </row>
    <row r="16" spans="1:83" s="226" customFormat="1" ht="15.75" customHeight="1" x14ac:dyDescent="0.35">
      <c r="A16" s="180"/>
      <c r="B16" s="180"/>
      <c r="C16" s="218">
        <v>1</v>
      </c>
      <c r="D16" s="219" t="str">
        <f>'Cap Table'!D16</f>
        <v>Issue Price</v>
      </c>
      <c r="E16" s="220">
        <f>'Cap Table'!E16</f>
        <v>0</v>
      </c>
      <c r="F16" s="220">
        <f>'Cap Table'!F16</f>
        <v>0</v>
      </c>
      <c r="G16" s="220">
        <f>'Cap Table'!G16</f>
        <v>0</v>
      </c>
      <c r="H16" s="221" t="e">
        <f>'Cap Table'!H16</f>
        <v>#DIV/0!</v>
      </c>
      <c r="I16" s="221"/>
      <c r="J16" s="220">
        <f>'Cap Table'!J16</f>
        <v>0</v>
      </c>
      <c r="K16" s="220">
        <f>'Cap Table'!K16</f>
        <v>0</v>
      </c>
      <c r="L16" s="220">
        <f>'Cap Table'!L16</f>
        <v>0</v>
      </c>
      <c r="M16" s="220">
        <f>'Cap Table'!M16</f>
        <v>0</v>
      </c>
      <c r="N16" s="222">
        <f>'Cap Table'!N16</f>
        <v>0</v>
      </c>
      <c r="O16" s="223">
        <f>'Cap Table'!O16</f>
        <v>0</v>
      </c>
      <c r="P16" s="221">
        <f>'Cap Table'!P16</f>
        <v>0</v>
      </c>
      <c r="Q16" s="221">
        <f>'Cap Table'!Q16</f>
        <v>0</v>
      </c>
      <c r="R16" s="222">
        <f>'Cap Table'!R16</f>
        <v>0</v>
      </c>
      <c r="S16" s="222">
        <f>'Cap Table'!S16</f>
        <v>0</v>
      </c>
      <c r="T16" s="222">
        <f>'Cap Table'!T16</f>
        <v>0</v>
      </c>
      <c r="U16" s="222">
        <f>'Cap Table'!U16</f>
        <v>0</v>
      </c>
      <c r="V16" s="222">
        <f>'Cap Table'!V16</f>
        <v>0</v>
      </c>
      <c r="W16" s="222">
        <f>'Cap Table'!W16</f>
        <v>0</v>
      </c>
      <c r="X16" s="221">
        <f>'Cap Table'!X16</f>
        <v>0</v>
      </c>
      <c r="Y16" s="221">
        <f>'Cap Table'!Y16</f>
        <v>0</v>
      </c>
      <c r="Z16" s="222">
        <f>'Cap Table'!Z16</f>
        <v>0</v>
      </c>
      <c r="AA16" s="222">
        <f>'Cap Table'!AA16</f>
        <v>0</v>
      </c>
      <c r="AB16" s="222">
        <f>'Cap Table'!AB16</f>
        <v>0</v>
      </c>
      <c r="AC16" s="222">
        <f>'Cap Table'!AC16</f>
        <v>0</v>
      </c>
      <c r="AD16" s="222">
        <f>'Cap Table'!AD16</f>
        <v>0</v>
      </c>
      <c r="AE16" s="222">
        <f>'Cap Table'!AE16</f>
        <v>0</v>
      </c>
      <c r="AF16" s="221">
        <f>'Cap Table'!AF16</f>
        <v>0</v>
      </c>
      <c r="AG16" s="221">
        <f>'Cap Table'!AG16</f>
        <v>0</v>
      </c>
      <c r="AH16" s="222">
        <f>'Cap Table'!AH16</f>
        <v>0</v>
      </c>
      <c r="AI16" s="222">
        <f>'Cap Table'!AI16</f>
        <v>0</v>
      </c>
      <c r="AJ16" s="222">
        <f>'Cap Table'!AJ16</f>
        <v>0</v>
      </c>
      <c r="AK16" s="222">
        <f>'Cap Table'!AK16</f>
        <v>0</v>
      </c>
      <c r="AL16" s="222">
        <f>'Cap Table'!AL16</f>
        <v>0</v>
      </c>
      <c r="AM16" s="222">
        <f>'Cap Table'!AM16</f>
        <v>0</v>
      </c>
      <c r="AN16" s="221">
        <f>'Cap Table'!AN16</f>
        <v>0</v>
      </c>
      <c r="AO16" s="221">
        <f>'Cap Table'!AO16</f>
        <v>0</v>
      </c>
      <c r="AP16" s="222">
        <f>'Cap Table'!AP16</f>
        <v>0</v>
      </c>
      <c r="AQ16" s="222">
        <f>'Cap Table'!AQ16</f>
        <v>0</v>
      </c>
      <c r="AR16" s="222">
        <f>'Cap Table'!AR16</f>
        <v>0</v>
      </c>
      <c r="AS16" s="222">
        <f>'Cap Table'!AS16</f>
        <v>0</v>
      </c>
      <c r="AT16" s="222">
        <f>'Cap Table'!AT16</f>
        <v>0</v>
      </c>
      <c r="AU16" s="222">
        <f>'Cap Table'!AU16</f>
        <v>0</v>
      </c>
      <c r="AV16" s="221">
        <f>'Cap Table'!AV16</f>
        <v>0</v>
      </c>
      <c r="AW16" s="221">
        <f>'Cap Table'!AW16</f>
        <v>0</v>
      </c>
      <c r="AX16" s="222">
        <f>'Cap Table'!AX16</f>
        <v>0</v>
      </c>
      <c r="AY16" s="222">
        <f>'Cap Table'!AY16</f>
        <v>0</v>
      </c>
      <c r="AZ16" s="222">
        <f>'Cap Table'!AZ16</f>
        <v>0</v>
      </c>
      <c r="BA16" s="222">
        <f>'Cap Table'!BA16</f>
        <v>0</v>
      </c>
      <c r="BB16" s="222">
        <f>'Cap Table'!BB16</f>
        <v>0</v>
      </c>
      <c r="BC16" s="222">
        <f>'Cap Table'!BC16</f>
        <v>0</v>
      </c>
      <c r="BD16" s="221">
        <f>'Cap Table'!BD16</f>
        <v>0</v>
      </c>
      <c r="BE16" s="221">
        <f>'Cap Table'!BE16</f>
        <v>0</v>
      </c>
      <c r="BF16" s="222">
        <f>'Cap Table'!BF16</f>
        <v>0</v>
      </c>
      <c r="BG16" s="222">
        <f>'Cap Table'!BG16</f>
        <v>0</v>
      </c>
      <c r="BH16" s="222">
        <f>'Cap Table'!BH16</f>
        <v>0</v>
      </c>
      <c r="BI16" s="222">
        <f>'Cap Table'!BI16</f>
        <v>0</v>
      </c>
      <c r="BJ16" s="222">
        <f>'Cap Table'!BJ16</f>
        <v>0</v>
      </c>
      <c r="BK16" s="222">
        <f>'Cap Table'!BK16</f>
        <v>0</v>
      </c>
      <c r="BL16" s="221">
        <f>'Cap Table'!BL16</f>
        <v>0</v>
      </c>
      <c r="BM16" s="221">
        <f>'Cap Table'!BM16</f>
        <v>0</v>
      </c>
      <c r="BN16" s="222">
        <f>'Cap Table'!BN16</f>
        <v>0</v>
      </c>
      <c r="BO16" s="222">
        <f>'Cap Table'!BO16</f>
        <v>0</v>
      </c>
      <c r="BP16" s="222">
        <f>'Cap Table'!BP16</f>
        <v>0</v>
      </c>
      <c r="BQ16" s="222">
        <f>'Cap Table'!BQ16</f>
        <v>0</v>
      </c>
      <c r="BR16" s="222">
        <f>'Cap Table'!BR16</f>
        <v>0</v>
      </c>
      <c r="BS16" s="222">
        <f>'Cap Table'!BS16</f>
        <v>0</v>
      </c>
      <c r="BT16" s="221">
        <f>'Cap Table'!BT16</f>
        <v>0</v>
      </c>
      <c r="BU16" s="221">
        <f>'Cap Table'!BU16</f>
        <v>0</v>
      </c>
      <c r="BV16" s="222">
        <f>'Cap Table'!BV16</f>
        <v>0</v>
      </c>
      <c r="BW16" s="222">
        <f>'Cap Table'!BW16</f>
        <v>0</v>
      </c>
      <c r="BX16" s="222">
        <f>'Cap Table'!BX16</f>
        <v>0</v>
      </c>
      <c r="BY16" s="222">
        <f>'Cap Table'!BY16</f>
        <v>0</v>
      </c>
      <c r="BZ16" s="222">
        <f>'Cap Table'!BZ16</f>
        <v>0</v>
      </c>
      <c r="CA16" s="224">
        <f>'Cap Table'!CA16</f>
        <v>0</v>
      </c>
      <c r="CB16" s="180">
        <f>'Cap Table'!CB16</f>
        <v>0</v>
      </c>
      <c r="CC16" s="225">
        <f>'Cap Table'!CC16</f>
        <v>0</v>
      </c>
      <c r="CD16" s="180"/>
      <c r="CE16" s="180"/>
    </row>
    <row r="17" spans="1:85" s="226" customFormat="1" ht="15.75" customHeight="1" x14ac:dyDescent="0.35">
      <c r="A17" s="180"/>
      <c r="B17" s="180"/>
      <c r="C17" s="218">
        <v>2</v>
      </c>
      <c r="D17" s="219" t="str">
        <f>'Cap Table'!D17</f>
        <v>Liquidation Preference Multiple</v>
      </c>
      <c r="E17" s="220">
        <f>'Cap Table'!E17</f>
        <v>0</v>
      </c>
      <c r="F17" s="220">
        <f>'Cap Table'!F17</f>
        <v>0</v>
      </c>
      <c r="G17" s="220">
        <f>'Cap Table'!G17</f>
        <v>0</v>
      </c>
      <c r="H17" s="227">
        <f>'Cap Table'!H17</f>
        <v>1</v>
      </c>
      <c r="I17" s="222"/>
      <c r="J17" s="222">
        <f>'Cap Table'!J17</f>
        <v>0</v>
      </c>
      <c r="K17" s="222">
        <f>'Cap Table'!K17</f>
        <v>0</v>
      </c>
      <c r="L17" s="222">
        <f>'Cap Table'!L17</f>
        <v>0</v>
      </c>
      <c r="M17" s="222">
        <f>'Cap Table'!M17</f>
        <v>0</v>
      </c>
      <c r="N17" s="222">
        <f>'Cap Table'!N17</f>
        <v>0</v>
      </c>
      <c r="O17" s="222">
        <f>'Cap Table'!O17</f>
        <v>0</v>
      </c>
      <c r="P17" s="227">
        <f>'Cap Table'!P17</f>
        <v>1</v>
      </c>
      <c r="Q17" s="222">
        <f>'Cap Table'!Q17</f>
        <v>0</v>
      </c>
      <c r="R17" s="222">
        <f>'Cap Table'!R17</f>
        <v>0</v>
      </c>
      <c r="S17" s="222">
        <f>'Cap Table'!S17</f>
        <v>0</v>
      </c>
      <c r="T17" s="222">
        <f>'Cap Table'!T17</f>
        <v>0</v>
      </c>
      <c r="U17" s="222">
        <f>'Cap Table'!U17</f>
        <v>0</v>
      </c>
      <c r="V17" s="222">
        <f>'Cap Table'!V17</f>
        <v>0</v>
      </c>
      <c r="W17" s="222">
        <f>'Cap Table'!W17</f>
        <v>0</v>
      </c>
      <c r="X17" s="227">
        <f>'Cap Table'!X17</f>
        <v>1</v>
      </c>
      <c r="Y17" s="222">
        <f>'Cap Table'!Y17</f>
        <v>0</v>
      </c>
      <c r="Z17" s="222">
        <f>'Cap Table'!Z17</f>
        <v>0</v>
      </c>
      <c r="AA17" s="222">
        <f>'Cap Table'!AA17</f>
        <v>0</v>
      </c>
      <c r="AB17" s="222">
        <f>'Cap Table'!AB17</f>
        <v>0</v>
      </c>
      <c r="AC17" s="222">
        <f>'Cap Table'!AC17</f>
        <v>0</v>
      </c>
      <c r="AD17" s="222">
        <f>'Cap Table'!AD17</f>
        <v>0</v>
      </c>
      <c r="AE17" s="222">
        <f>'Cap Table'!AE17</f>
        <v>0</v>
      </c>
      <c r="AF17" s="227">
        <f>'Cap Table'!AF17</f>
        <v>1</v>
      </c>
      <c r="AG17" s="222">
        <f>'Cap Table'!AG17</f>
        <v>0</v>
      </c>
      <c r="AH17" s="222">
        <f>'Cap Table'!AH17</f>
        <v>0</v>
      </c>
      <c r="AI17" s="222">
        <f>'Cap Table'!AI17</f>
        <v>0</v>
      </c>
      <c r="AJ17" s="222">
        <f>'Cap Table'!AJ17</f>
        <v>0</v>
      </c>
      <c r="AK17" s="222">
        <f>'Cap Table'!AK17</f>
        <v>0</v>
      </c>
      <c r="AL17" s="222">
        <f>'Cap Table'!AL17</f>
        <v>0</v>
      </c>
      <c r="AM17" s="222">
        <f>'Cap Table'!AM17</f>
        <v>0</v>
      </c>
      <c r="AN17" s="227">
        <f>'Cap Table'!AN17</f>
        <v>1</v>
      </c>
      <c r="AO17" s="222">
        <f>'Cap Table'!AO17</f>
        <v>0</v>
      </c>
      <c r="AP17" s="222">
        <f>'Cap Table'!AP17</f>
        <v>0</v>
      </c>
      <c r="AQ17" s="222">
        <f>'Cap Table'!AQ17</f>
        <v>0</v>
      </c>
      <c r="AR17" s="222">
        <f>'Cap Table'!AR17</f>
        <v>0</v>
      </c>
      <c r="AS17" s="222">
        <f>'Cap Table'!AS17</f>
        <v>0</v>
      </c>
      <c r="AT17" s="222">
        <f>'Cap Table'!AT17</f>
        <v>0</v>
      </c>
      <c r="AU17" s="222">
        <f>'Cap Table'!AU17</f>
        <v>0</v>
      </c>
      <c r="AV17" s="227">
        <f>'Cap Table'!AV17</f>
        <v>1</v>
      </c>
      <c r="AW17" s="222">
        <f>'Cap Table'!AW17</f>
        <v>0</v>
      </c>
      <c r="AX17" s="222">
        <f>'Cap Table'!AX17</f>
        <v>0</v>
      </c>
      <c r="AY17" s="222">
        <f>'Cap Table'!AY17</f>
        <v>0</v>
      </c>
      <c r="AZ17" s="222">
        <f>'Cap Table'!AZ17</f>
        <v>0</v>
      </c>
      <c r="BA17" s="222">
        <f>'Cap Table'!BA17</f>
        <v>0</v>
      </c>
      <c r="BB17" s="222">
        <f>'Cap Table'!BB17</f>
        <v>0</v>
      </c>
      <c r="BC17" s="222">
        <f>'Cap Table'!BC17</f>
        <v>0</v>
      </c>
      <c r="BD17" s="227">
        <f>'Cap Table'!BD17</f>
        <v>1</v>
      </c>
      <c r="BE17" s="222">
        <f>'Cap Table'!BE17</f>
        <v>0</v>
      </c>
      <c r="BF17" s="222">
        <f>'Cap Table'!BF17</f>
        <v>0</v>
      </c>
      <c r="BG17" s="222">
        <f>'Cap Table'!BG17</f>
        <v>0</v>
      </c>
      <c r="BH17" s="222">
        <f>'Cap Table'!BH17</f>
        <v>0</v>
      </c>
      <c r="BI17" s="222">
        <f>'Cap Table'!BI17</f>
        <v>0</v>
      </c>
      <c r="BJ17" s="222">
        <f>'Cap Table'!BJ17</f>
        <v>0</v>
      </c>
      <c r="BK17" s="222">
        <f>'Cap Table'!BK17</f>
        <v>0</v>
      </c>
      <c r="BL17" s="227">
        <f>'Cap Table'!BL17</f>
        <v>1</v>
      </c>
      <c r="BM17" s="222">
        <f>'Cap Table'!BM17</f>
        <v>0</v>
      </c>
      <c r="BN17" s="222">
        <f>'Cap Table'!BN17</f>
        <v>0</v>
      </c>
      <c r="BO17" s="222">
        <f>'Cap Table'!BO17</f>
        <v>0</v>
      </c>
      <c r="BP17" s="222">
        <f>'Cap Table'!BP17</f>
        <v>0</v>
      </c>
      <c r="BQ17" s="222">
        <f>'Cap Table'!BQ17</f>
        <v>0</v>
      </c>
      <c r="BR17" s="222">
        <f>'Cap Table'!BR17</f>
        <v>0</v>
      </c>
      <c r="BS17" s="222">
        <f>'Cap Table'!BS17</f>
        <v>0</v>
      </c>
      <c r="BT17" s="227">
        <f>'Cap Table'!BT17</f>
        <v>1</v>
      </c>
      <c r="BU17" s="222">
        <f>'Cap Table'!BU17</f>
        <v>0</v>
      </c>
      <c r="BV17" s="222">
        <f>'Cap Table'!BV17</f>
        <v>0</v>
      </c>
      <c r="BW17" s="222">
        <f>'Cap Table'!BW17</f>
        <v>0</v>
      </c>
      <c r="BX17" s="222">
        <f>'Cap Table'!BX17</f>
        <v>0</v>
      </c>
      <c r="BY17" s="222">
        <f>'Cap Table'!BY17</f>
        <v>0</v>
      </c>
      <c r="BZ17" s="222">
        <f>'Cap Table'!BZ17</f>
        <v>0</v>
      </c>
      <c r="CA17" s="228">
        <f>'Cap Table'!CA17</f>
        <v>0</v>
      </c>
      <c r="CB17" s="180">
        <f>'Cap Table'!CB17</f>
        <v>0</v>
      </c>
      <c r="CC17" s="229">
        <f>'Cap Table'!CC17</f>
        <v>0</v>
      </c>
      <c r="CD17" s="180"/>
      <c r="CE17" s="180"/>
    </row>
    <row r="18" spans="1:85" s="226" customFormat="1" ht="15.75" customHeight="1" x14ac:dyDescent="0.35">
      <c r="A18" s="180"/>
      <c r="B18" s="180"/>
      <c r="C18" s="218">
        <v>3</v>
      </c>
      <c r="D18" s="219" t="str">
        <f>'Cap Table'!D18</f>
        <v>Seniority Rank</v>
      </c>
      <c r="E18" s="230">
        <f>'Cap Table'!E18</f>
        <v>0</v>
      </c>
      <c r="F18" s="230">
        <f>'Cap Table'!F18</f>
        <v>0</v>
      </c>
      <c r="G18" s="230">
        <f>'Cap Table'!G18</f>
        <v>0</v>
      </c>
      <c r="H18" s="326">
        <f>'Cap Table'!H18</f>
        <v>3</v>
      </c>
      <c r="I18" s="231"/>
      <c r="J18" s="231">
        <f>'Cap Table'!J18</f>
        <v>0</v>
      </c>
      <c r="K18" s="231">
        <f>'Cap Table'!K18</f>
        <v>0</v>
      </c>
      <c r="L18" s="231">
        <f>'Cap Table'!L18</f>
        <v>0</v>
      </c>
      <c r="M18" s="231">
        <f>'Cap Table'!M18</f>
        <v>0</v>
      </c>
      <c r="N18" s="231">
        <f>'Cap Table'!N18</f>
        <v>0</v>
      </c>
      <c r="O18" s="231">
        <f>'Cap Table'!O18</f>
        <v>0</v>
      </c>
      <c r="P18" s="326">
        <f>'Cap Table'!P18</f>
        <v>3</v>
      </c>
      <c r="Q18" s="231">
        <f>'Cap Table'!Q18</f>
        <v>0</v>
      </c>
      <c r="R18" s="231">
        <f>'Cap Table'!R18</f>
        <v>0</v>
      </c>
      <c r="S18" s="231">
        <f>'Cap Table'!S18</f>
        <v>0</v>
      </c>
      <c r="T18" s="231">
        <f>'Cap Table'!T18</f>
        <v>0</v>
      </c>
      <c r="U18" s="231">
        <f>'Cap Table'!U18</f>
        <v>0</v>
      </c>
      <c r="V18" s="231">
        <f>'Cap Table'!V18</f>
        <v>0</v>
      </c>
      <c r="W18" s="231">
        <f>'Cap Table'!W18</f>
        <v>0</v>
      </c>
      <c r="X18" s="326">
        <f>'Cap Table'!X18</f>
        <v>3</v>
      </c>
      <c r="Y18" s="231">
        <f>'Cap Table'!Y18</f>
        <v>0</v>
      </c>
      <c r="Z18" s="231">
        <f>'Cap Table'!Z18</f>
        <v>0</v>
      </c>
      <c r="AA18" s="231">
        <f>'Cap Table'!AA18</f>
        <v>0</v>
      </c>
      <c r="AB18" s="231">
        <f>'Cap Table'!AB18</f>
        <v>0</v>
      </c>
      <c r="AC18" s="231">
        <f>'Cap Table'!AC18</f>
        <v>0</v>
      </c>
      <c r="AD18" s="231">
        <f>'Cap Table'!AD18</f>
        <v>0</v>
      </c>
      <c r="AE18" s="231">
        <f>'Cap Table'!AE18</f>
        <v>0</v>
      </c>
      <c r="AF18" s="326">
        <f>'Cap Table'!AF18</f>
        <v>3</v>
      </c>
      <c r="AG18" s="231">
        <f>'Cap Table'!AG18</f>
        <v>0</v>
      </c>
      <c r="AH18" s="231">
        <f>'Cap Table'!AH18</f>
        <v>0</v>
      </c>
      <c r="AI18" s="231">
        <f>'Cap Table'!AI18</f>
        <v>0</v>
      </c>
      <c r="AJ18" s="231">
        <f>'Cap Table'!AJ18</f>
        <v>0</v>
      </c>
      <c r="AK18" s="231">
        <f>'Cap Table'!AK18</f>
        <v>0</v>
      </c>
      <c r="AL18" s="231">
        <f>'Cap Table'!AL18</f>
        <v>0</v>
      </c>
      <c r="AM18" s="231">
        <f>'Cap Table'!AM18</f>
        <v>0</v>
      </c>
      <c r="AN18" s="326">
        <f>'Cap Table'!AN18</f>
        <v>3</v>
      </c>
      <c r="AO18" s="231">
        <f>'Cap Table'!AO18</f>
        <v>0</v>
      </c>
      <c r="AP18" s="231">
        <f>'Cap Table'!AP18</f>
        <v>0</v>
      </c>
      <c r="AQ18" s="231">
        <f>'Cap Table'!AQ18</f>
        <v>0</v>
      </c>
      <c r="AR18" s="231">
        <f>'Cap Table'!AR18</f>
        <v>0</v>
      </c>
      <c r="AS18" s="231">
        <f>'Cap Table'!AS18</f>
        <v>0</v>
      </c>
      <c r="AT18" s="231">
        <f>'Cap Table'!AT18</f>
        <v>0</v>
      </c>
      <c r="AU18" s="231">
        <f>'Cap Table'!AU18</f>
        <v>0</v>
      </c>
      <c r="AV18" s="326">
        <f>'Cap Table'!AV18</f>
        <v>3</v>
      </c>
      <c r="AW18" s="231">
        <f>'Cap Table'!AW18</f>
        <v>0</v>
      </c>
      <c r="AX18" s="231">
        <f>'Cap Table'!AX18</f>
        <v>0</v>
      </c>
      <c r="AY18" s="231">
        <f>'Cap Table'!AY18</f>
        <v>0</v>
      </c>
      <c r="AZ18" s="231">
        <f>'Cap Table'!AZ18</f>
        <v>0</v>
      </c>
      <c r="BA18" s="231">
        <f>'Cap Table'!BA18</f>
        <v>0</v>
      </c>
      <c r="BB18" s="231">
        <f>'Cap Table'!BB18</f>
        <v>0</v>
      </c>
      <c r="BC18" s="231">
        <f>'Cap Table'!BC18</f>
        <v>0</v>
      </c>
      <c r="BD18" s="326">
        <f>'Cap Table'!BD18</f>
        <v>3</v>
      </c>
      <c r="BE18" s="231">
        <f>'Cap Table'!BE18</f>
        <v>0</v>
      </c>
      <c r="BF18" s="231">
        <f>'Cap Table'!BF18</f>
        <v>0</v>
      </c>
      <c r="BG18" s="231">
        <f>'Cap Table'!BG18</f>
        <v>0</v>
      </c>
      <c r="BH18" s="231">
        <f>'Cap Table'!BH18</f>
        <v>0</v>
      </c>
      <c r="BI18" s="231">
        <f>'Cap Table'!BI18</f>
        <v>0</v>
      </c>
      <c r="BJ18" s="231">
        <f>'Cap Table'!BJ18</f>
        <v>0</v>
      </c>
      <c r="BK18" s="231">
        <f>'Cap Table'!BK18</f>
        <v>0</v>
      </c>
      <c r="BL18" s="326">
        <f>'Cap Table'!BL18</f>
        <v>3</v>
      </c>
      <c r="BM18" s="231">
        <f>'Cap Table'!BM18</f>
        <v>0</v>
      </c>
      <c r="BN18" s="231">
        <f>'Cap Table'!BN18</f>
        <v>0</v>
      </c>
      <c r="BO18" s="231">
        <f>'Cap Table'!BO18</f>
        <v>0</v>
      </c>
      <c r="BP18" s="231">
        <f>'Cap Table'!BP18</f>
        <v>0</v>
      </c>
      <c r="BQ18" s="231">
        <f>'Cap Table'!BQ18</f>
        <v>0</v>
      </c>
      <c r="BR18" s="231">
        <f>'Cap Table'!BR18</f>
        <v>0</v>
      </c>
      <c r="BS18" s="231">
        <f>'Cap Table'!BS18</f>
        <v>0</v>
      </c>
      <c r="BT18" s="326">
        <f>'Cap Table'!BT18</f>
        <v>3</v>
      </c>
      <c r="BU18" s="231">
        <f>'Cap Table'!BU18</f>
        <v>0</v>
      </c>
      <c r="BV18" s="231">
        <f>'Cap Table'!BV18</f>
        <v>0</v>
      </c>
      <c r="BW18" s="231">
        <f>'Cap Table'!BW18</f>
        <v>0</v>
      </c>
      <c r="BX18" s="231">
        <f>'Cap Table'!BX18</f>
        <v>0</v>
      </c>
      <c r="BY18" s="231">
        <f>'Cap Table'!BY18</f>
        <v>0</v>
      </c>
      <c r="BZ18" s="231">
        <f>'Cap Table'!BZ18</f>
        <v>0</v>
      </c>
      <c r="CA18" s="232">
        <f>'Cap Table'!CA18</f>
        <v>0</v>
      </c>
      <c r="CB18" s="233">
        <f>'Cap Table'!CB18</f>
        <v>0</v>
      </c>
      <c r="CC18" s="234">
        <f>'Cap Table'!CC18</f>
        <v>0</v>
      </c>
      <c r="CD18" s="180"/>
      <c r="CE18" s="180"/>
    </row>
    <row r="19" spans="1:85" s="181" customFormat="1" ht="7.5" customHeight="1" x14ac:dyDescent="0.35">
      <c r="A19" s="180"/>
      <c r="B19" s="180"/>
      <c r="C19" s="179"/>
      <c r="D19" s="180">
        <f>'Cap Table'!D19</f>
        <v>0</v>
      </c>
      <c r="E19" s="180">
        <f>'Cap Table'!E19</f>
        <v>0</v>
      </c>
      <c r="F19" s="180">
        <f>'Cap Table'!F19</f>
        <v>0</v>
      </c>
      <c r="G19" s="235">
        <f>'Cap Table'!G19</f>
        <v>0</v>
      </c>
      <c r="H19" s="180">
        <f>'Cap Table'!H19</f>
        <v>0</v>
      </c>
      <c r="I19" s="180"/>
      <c r="J19" s="181">
        <f>'Cap Table'!J19</f>
        <v>0</v>
      </c>
      <c r="K19" s="180">
        <f>'Cap Table'!K19</f>
        <v>0</v>
      </c>
      <c r="L19" s="180">
        <f>'Cap Table'!L19</f>
        <v>0</v>
      </c>
      <c r="M19" s="181">
        <f>'Cap Table'!M19</f>
        <v>0</v>
      </c>
      <c r="N19" s="180">
        <f>'Cap Table'!N19</f>
        <v>0</v>
      </c>
      <c r="O19" s="235">
        <f>'Cap Table'!O19</f>
        <v>0</v>
      </c>
      <c r="P19" s="180">
        <f>'Cap Table'!P19</f>
        <v>0</v>
      </c>
      <c r="Q19" s="180">
        <f>'Cap Table'!Q19</f>
        <v>0</v>
      </c>
      <c r="R19" s="181">
        <f>'Cap Table'!R19</f>
        <v>0</v>
      </c>
      <c r="S19" s="180">
        <f>'Cap Table'!S19</f>
        <v>0</v>
      </c>
      <c r="T19" s="180">
        <f>'Cap Table'!T19</f>
        <v>0</v>
      </c>
      <c r="U19" s="181">
        <f>'Cap Table'!U19</f>
        <v>0</v>
      </c>
      <c r="V19" s="180">
        <f>'Cap Table'!V19</f>
        <v>0</v>
      </c>
      <c r="W19" s="235">
        <f>'Cap Table'!W19</f>
        <v>0</v>
      </c>
      <c r="X19" s="180">
        <f>'Cap Table'!X19</f>
        <v>0</v>
      </c>
      <c r="Y19" s="180">
        <f>'Cap Table'!Y19</f>
        <v>0</v>
      </c>
      <c r="Z19" s="181">
        <f>'Cap Table'!Z19</f>
        <v>0</v>
      </c>
      <c r="AA19" s="180">
        <f>'Cap Table'!AA19</f>
        <v>0</v>
      </c>
      <c r="AB19" s="180">
        <f>'Cap Table'!AB19</f>
        <v>0</v>
      </c>
      <c r="AC19" s="181">
        <f>'Cap Table'!AC19</f>
        <v>0</v>
      </c>
      <c r="AD19" s="180">
        <f>'Cap Table'!AD19</f>
        <v>0</v>
      </c>
      <c r="AE19" s="235">
        <f>'Cap Table'!AE19</f>
        <v>0</v>
      </c>
      <c r="AF19" s="180">
        <f>'Cap Table'!AF19</f>
        <v>0</v>
      </c>
      <c r="AG19" s="180">
        <f>'Cap Table'!AG19</f>
        <v>0</v>
      </c>
      <c r="AH19" s="181">
        <f>'Cap Table'!AH19</f>
        <v>0</v>
      </c>
      <c r="AI19" s="180">
        <f>'Cap Table'!AI19</f>
        <v>0</v>
      </c>
      <c r="AJ19" s="180">
        <f>'Cap Table'!AJ19</f>
        <v>0</v>
      </c>
      <c r="AK19" s="181">
        <f>'Cap Table'!AK19</f>
        <v>0</v>
      </c>
      <c r="AL19" s="180">
        <f>'Cap Table'!AL19</f>
        <v>0</v>
      </c>
      <c r="AM19" s="235">
        <f>'Cap Table'!AM19</f>
        <v>0</v>
      </c>
      <c r="AN19" s="180">
        <f>'Cap Table'!AN19</f>
        <v>0</v>
      </c>
      <c r="AO19" s="180">
        <f>'Cap Table'!AO19</f>
        <v>0</v>
      </c>
      <c r="AP19" s="181">
        <f>'Cap Table'!AP19</f>
        <v>0</v>
      </c>
      <c r="AQ19" s="180">
        <f>'Cap Table'!AQ19</f>
        <v>0</v>
      </c>
      <c r="AR19" s="180">
        <f>'Cap Table'!AR19</f>
        <v>0</v>
      </c>
      <c r="AS19" s="181">
        <f>'Cap Table'!AS19</f>
        <v>0</v>
      </c>
      <c r="AT19" s="180">
        <f>'Cap Table'!AT19</f>
        <v>0</v>
      </c>
      <c r="AU19" s="235">
        <f>'Cap Table'!AU19</f>
        <v>0</v>
      </c>
      <c r="AV19" s="180">
        <f>'Cap Table'!AV19</f>
        <v>0</v>
      </c>
      <c r="AW19" s="180">
        <f>'Cap Table'!AW19</f>
        <v>0</v>
      </c>
      <c r="AX19" s="181">
        <f>'Cap Table'!AX19</f>
        <v>0</v>
      </c>
      <c r="AY19" s="180">
        <f>'Cap Table'!AY19</f>
        <v>0</v>
      </c>
      <c r="AZ19" s="180">
        <f>'Cap Table'!AZ19</f>
        <v>0</v>
      </c>
      <c r="BA19" s="181">
        <f>'Cap Table'!BA19</f>
        <v>0</v>
      </c>
      <c r="BB19" s="180">
        <f>'Cap Table'!BB19</f>
        <v>0</v>
      </c>
      <c r="BC19" s="235">
        <f>'Cap Table'!BC19</f>
        <v>0</v>
      </c>
      <c r="BD19" s="180">
        <f>'Cap Table'!BD19</f>
        <v>0</v>
      </c>
      <c r="BE19" s="180">
        <f>'Cap Table'!BE19</f>
        <v>0</v>
      </c>
      <c r="BF19" s="181">
        <f>'Cap Table'!BF19</f>
        <v>0</v>
      </c>
      <c r="BG19" s="180">
        <f>'Cap Table'!BG19</f>
        <v>0</v>
      </c>
      <c r="BH19" s="180">
        <f>'Cap Table'!BH19</f>
        <v>0</v>
      </c>
      <c r="BI19" s="181">
        <f>'Cap Table'!BI19</f>
        <v>0</v>
      </c>
      <c r="BJ19" s="180">
        <f>'Cap Table'!BJ19</f>
        <v>0</v>
      </c>
      <c r="BK19" s="235">
        <f>'Cap Table'!BK19</f>
        <v>0</v>
      </c>
      <c r="BL19" s="180">
        <f>'Cap Table'!BL19</f>
        <v>0</v>
      </c>
      <c r="BM19" s="180">
        <f>'Cap Table'!BM19</f>
        <v>0</v>
      </c>
      <c r="BN19" s="181">
        <f>'Cap Table'!BN19</f>
        <v>0</v>
      </c>
      <c r="BO19" s="180">
        <f>'Cap Table'!BO19</f>
        <v>0</v>
      </c>
      <c r="BP19" s="180">
        <f>'Cap Table'!BP19</f>
        <v>0</v>
      </c>
      <c r="BQ19" s="181">
        <f>'Cap Table'!BQ19</f>
        <v>0</v>
      </c>
      <c r="BR19" s="180">
        <f>'Cap Table'!BR19</f>
        <v>0</v>
      </c>
      <c r="BS19" s="235">
        <f>'Cap Table'!BS19</f>
        <v>0</v>
      </c>
      <c r="BT19" s="180">
        <f>'Cap Table'!BT19</f>
        <v>0</v>
      </c>
      <c r="BU19" s="180">
        <f>'Cap Table'!BU19</f>
        <v>0</v>
      </c>
      <c r="BV19" s="181">
        <f>'Cap Table'!BV19</f>
        <v>0</v>
      </c>
      <c r="BW19" s="180">
        <f>'Cap Table'!BW19</f>
        <v>0</v>
      </c>
      <c r="BX19" s="180">
        <f>'Cap Table'!BX19</f>
        <v>0</v>
      </c>
      <c r="BY19" s="181">
        <f>'Cap Table'!BY19</f>
        <v>0</v>
      </c>
      <c r="BZ19" s="180">
        <f>'Cap Table'!BZ19</f>
        <v>0</v>
      </c>
      <c r="CA19" s="235">
        <f>'Cap Table'!CA19</f>
        <v>0</v>
      </c>
      <c r="CB19" s="180">
        <f>'Cap Table'!CB19</f>
        <v>0</v>
      </c>
      <c r="CC19" s="181">
        <f>'Cap Table'!CC19</f>
        <v>0</v>
      </c>
      <c r="CD19" s="180"/>
      <c r="CE19" s="180"/>
    </row>
    <row r="20" spans="1:85" ht="15.75" customHeight="1" x14ac:dyDescent="0.35">
      <c r="A20" s="180"/>
      <c r="B20" s="180"/>
      <c r="D20" s="236" t="str">
        <f>'Cap Table'!D20</f>
        <v>Dell Technologies Capital</v>
      </c>
      <c r="E20" s="237">
        <f>'Cap Table'!E20</f>
        <v>0</v>
      </c>
      <c r="F20" s="237">
        <f>'Cap Table'!F20</f>
        <v>0</v>
      </c>
      <c r="G20" s="237">
        <f>'Cap Table'!G20</f>
        <v>0</v>
      </c>
      <c r="H20" s="238">
        <f>'Cap Table'!H20</f>
        <v>0</v>
      </c>
      <c r="I20" s="239"/>
      <c r="J20" s="272" t="e">
        <f>H20*H$16</f>
        <v>#DIV/0!</v>
      </c>
      <c r="K20" s="288">
        <f>'Cap Table'!K20</f>
        <v>0</v>
      </c>
      <c r="L20" s="272">
        <f>'Cap Table'!L20</f>
        <v>0</v>
      </c>
      <c r="M20" s="272">
        <f>'Cap Table'!M20</f>
        <v>0</v>
      </c>
      <c r="N20" s="288" t="e">
        <f>'Cap Table'!N20</f>
        <v>#DIV/0!</v>
      </c>
      <c r="O20" s="288" t="e">
        <f>'Cap Table'!O20</f>
        <v>#DIV/0!</v>
      </c>
      <c r="P20" s="238">
        <f>'Cap Table'!P20</f>
        <v>0</v>
      </c>
      <c r="Q20" s="239"/>
      <c r="R20" s="272">
        <f>P20*P$16</f>
        <v>0</v>
      </c>
      <c r="S20" s="288">
        <f>'Cap Table'!S20</f>
        <v>0</v>
      </c>
      <c r="T20" s="272">
        <f>'Cap Table'!T20</f>
        <v>0</v>
      </c>
      <c r="U20" s="272">
        <f>'Cap Table'!U20</f>
        <v>0</v>
      </c>
      <c r="V20" s="288" t="e">
        <f>'Cap Table'!V20</f>
        <v>#DIV/0!</v>
      </c>
      <c r="W20" s="288" t="e">
        <f>'Cap Table'!W20</f>
        <v>#DIV/0!</v>
      </c>
      <c r="X20" s="238">
        <f>'Cap Table'!X20</f>
        <v>0</v>
      </c>
      <c r="Y20" s="239"/>
      <c r="Z20" s="272">
        <f>X20*X$16</f>
        <v>0</v>
      </c>
      <c r="AA20" s="288">
        <f>'Cap Table'!AA20</f>
        <v>0</v>
      </c>
      <c r="AB20" s="272">
        <f>'Cap Table'!AB20</f>
        <v>0</v>
      </c>
      <c r="AC20" s="272">
        <f>'Cap Table'!AC20</f>
        <v>0</v>
      </c>
      <c r="AD20" s="288" t="e">
        <f>'Cap Table'!AD20</f>
        <v>#DIV/0!</v>
      </c>
      <c r="AE20" s="288" t="e">
        <f>'Cap Table'!AE20</f>
        <v>#DIV/0!</v>
      </c>
      <c r="AF20" s="238">
        <f>'Cap Table'!AF20</f>
        <v>0</v>
      </c>
      <c r="AG20" s="239"/>
      <c r="AH20" s="272">
        <f>AF20*AF$16</f>
        <v>0</v>
      </c>
      <c r="AI20" s="288">
        <f>'Cap Table'!AI20</f>
        <v>0</v>
      </c>
      <c r="AJ20" s="272">
        <f>'Cap Table'!AJ20</f>
        <v>0</v>
      </c>
      <c r="AK20" s="272">
        <f>'Cap Table'!AK20</f>
        <v>0</v>
      </c>
      <c r="AL20" s="288" t="e">
        <f>'Cap Table'!AL20</f>
        <v>#DIV/0!</v>
      </c>
      <c r="AM20" s="288" t="e">
        <f>'Cap Table'!AM20</f>
        <v>#DIV/0!</v>
      </c>
      <c r="AN20" s="238">
        <f>'Cap Table'!AN20</f>
        <v>0</v>
      </c>
      <c r="AO20" s="239"/>
      <c r="AP20" s="272">
        <f>AN20*AN$16</f>
        <v>0</v>
      </c>
      <c r="AQ20" s="288">
        <f>'Cap Table'!AQ20</f>
        <v>0</v>
      </c>
      <c r="AR20" s="272">
        <f>'Cap Table'!AR20</f>
        <v>0</v>
      </c>
      <c r="AS20" s="272">
        <f>'Cap Table'!AS20</f>
        <v>0</v>
      </c>
      <c r="AT20" s="288" t="e">
        <f>'Cap Table'!AT20</f>
        <v>#DIV/0!</v>
      </c>
      <c r="AU20" s="288" t="e">
        <f>'Cap Table'!AU20</f>
        <v>#DIV/0!</v>
      </c>
      <c r="AV20" s="238">
        <f>'Cap Table'!AV20</f>
        <v>0</v>
      </c>
      <c r="AW20" s="239"/>
      <c r="AX20" s="272">
        <f>AV20*AV$16</f>
        <v>0</v>
      </c>
      <c r="AY20" s="288">
        <f>'Cap Table'!AY20</f>
        <v>0</v>
      </c>
      <c r="AZ20" s="272">
        <f>'Cap Table'!AZ20</f>
        <v>0</v>
      </c>
      <c r="BA20" s="272">
        <f>'Cap Table'!BA20</f>
        <v>0</v>
      </c>
      <c r="BB20" s="288" t="e">
        <f>'Cap Table'!BB20</f>
        <v>#DIV/0!</v>
      </c>
      <c r="BC20" s="288" t="e">
        <f>'Cap Table'!BC20</f>
        <v>#DIV/0!</v>
      </c>
      <c r="BD20" s="238">
        <f>'Cap Table'!BD20</f>
        <v>0</v>
      </c>
      <c r="BE20" s="239"/>
      <c r="BF20" s="272">
        <f>BD20*BD$16</f>
        <v>0</v>
      </c>
      <c r="BG20" s="288">
        <f>'Cap Table'!BG20</f>
        <v>0</v>
      </c>
      <c r="BH20" s="272">
        <f>'Cap Table'!BH20</f>
        <v>0</v>
      </c>
      <c r="BI20" s="272">
        <f>'Cap Table'!BI20</f>
        <v>0</v>
      </c>
      <c r="BJ20" s="288" t="e">
        <f>'Cap Table'!BJ20</f>
        <v>#DIV/0!</v>
      </c>
      <c r="BK20" s="288" t="e">
        <f>'Cap Table'!BK20</f>
        <v>#DIV/0!</v>
      </c>
      <c r="BL20" s="238">
        <f>'Cap Table'!BL20</f>
        <v>0</v>
      </c>
      <c r="BM20" s="239"/>
      <c r="BN20" s="272">
        <f>BL20*BL$16</f>
        <v>0</v>
      </c>
      <c r="BO20" s="288">
        <f>'Cap Table'!BO20</f>
        <v>0</v>
      </c>
      <c r="BP20" s="272">
        <f>'Cap Table'!BP20</f>
        <v>0</v>
      </c>
      <c r="BQ20" s="272">
        <f>'Cap Table'!BQ20</f>
        <v>0</v>
      </c>
      <c r="BR20" s="288" t="e">
        <f>'Cap Table'!BR20</f>
        <v>#DIV/0!</v>
      </c>
      <c r="BS20" s="288" t="e">
        <f>'Cap Table'!BS20</f>
        <v>#DIV/0!</v>
      </c>
      <c r="BT20" s="238">
        <f>'Cap Table'!BT20</f>
        <v>0</v>
      </c>
      <c r="BU20" s="239"/>
      <c r="BV20" s="272">
        <f>BT20*BT$16</f>
        <v>0</v>
      </c>
      <c r="BW20" s="288">
        <f>'Cap Table'!BW20</f>
        <v>0</v>
      </c>
      <c r="BX20" s="272">
        <f>'Cap Table'!BX20</f>
        <v>0</v>
      </c>
      <c r="BY20" s="272">
        <f>'Cap Table'!BY20</f>
        <v>0</v>
      </c>
      <c r="BZ20" s="288" t="e">
        <f>'Cap Table'!BZ20</f>
        <v>#DIV/0!</v>
      </c>
      <c r="CA20" s="288" t="e">
        <f>'Cap Table'!CA20</f>
        <v>#DIV/0!</v>
      </c>
      <c r="CB20" s="180">
        <f>'Cap Table'!CB20</f>
        <v>0</v>
      </c>
      <c r="CC20" s="272" t="e">
        <f>(BV20+BN20+BF20+AX20+AP20+AH20+Z20+R20+J20)/1000000</f>
        <v>#DIV/0!</v>
      </c>
      <c r="CD20" s="180"/>
      <c r="CG20" s="764"/>
    </row>
    <row r="21" spans="1:85" ht="15.75" customHeight="1" x14ac:dyDescent="0.35">
      <c r="A21" s="180"/>
      <c r="B21" s="180"/>
      <c r="D21" s="241" t="str">
        <f>'Cap Table'!D21</f>
        <v>Investor 1</v>
      </c>
      <c r="E21" s="239">
        <f>'Cap Table'!E21</f>
        <v>0</v>
      </c>
      <c r="F21" s="239">
        <f>'Cap Table'!F21</f>
        <v>0</v>
      </c>
      <c r="G21" s="239">
        <f>'Cap Table'!G21</f>
        <v>0</v>
      </c>
      <c r="H21" s="238">
        <f>'Cap Table'!H21</f>
        <v>0</v>
      </c>
      <c r="I21" s="239"/>
      <c r="J21" s="272" t="e">
        <f t="shared" ref="J21:J34" si="0">H21*H$16</f>
        <v>#DIV/0!</v>
      </c>
      <c r="K21" s="288">
        <f>'Cap Table'!K21</f>
        <v>0</v>
      </c>
      <c r="L21" s="272">
        <f>'Cap Table'!L21</f>
        <v>0</v>
      </c>
      <c r="M21" s="272">
        <f>'Cap Table'!M21</f>
        <v>0</v>
      </c>
      <c r="N21" s="288" t="e">
        <f>'Cap Table'!N21</f>
        <v>#DIV/0!</v>
      </c>
      <c r="O21" s="288" t="e">
        <f>'Cap Table'!O21</f>
        <v>#DIV/0!</v>
      </c>
      <c r="P21" s="238">
        <f>'Cap Table'!P21</f>
        <v>0</v>
      </c>
      <c r="Q21" s="239"/>
      <c r="R21" s="272">
        <f t="shared" ref="R21:R34" si="1">P21*P$16</f>
        <v>0</v>
      </c>
      <c r="S21" s="288">
        <f>'Cap Table'!S21</f>
        <v>0</v>
      </c>
      <c r="T21" s="272">
        <f>'Cap Table'!T21</f>
        <v>0</v>
      </c>
      <c r="U21" s="272">
        <f>'Cap Table'!U21</f>
        <v>0</v>
      </c>
      <c r="V21" s="288" t="e">
        <f>'Cap Table'!V21</f>
        <v>#DIV/0!</v>
      </c>
      <c r="W21" s="288" t="e">
        <f>'Cap Table'!W21</f>
        <v>#DIV/0!</v>
      </c>
      <c r="X21" s="238">
        <f>'Cap Table'!X21</f>
        <v>0</v>
      </c>
      <c r="Y21" s="239"/>
      <c r="Z21" s="272">
        <f t="shared" ref="Z21:Z34" si="2">X21*X$16</f>
        <v>0</v>
      </c>
      <c r="AA21" s="288">
        <f>'Cap Table'!AA21</f>
        <v>0</v>
      </c>
      <c r="AB21" s="272">
        <f>'Cap Table'!AB21</f>
        <v>0</v>
      </c>
      <c r="AC21" s="272">
        <f>'Cap Table'!AC21</f>
        <v>0</v>
      </c>
      <c r="AD21" s="288" t="e">
        <f>'Cap Table'!AD21</f>
        <v>#DIV/0!</v>
      </c>
      <c r="AE21" s="288" t="e">
        <f>'Cap Table'!AE21</f>
        <v>#DIV/0!</v>
      </c>
      <c r="AF21" s="238">
        <f>'Cap Table'!AF21</f>
        <v>0</v>
      </c>
      <c r="AG21" s="239"/>
      <c r="AH21" s="272">
        <f t="shared" ref="AH21:AH34" si="3">AF21*AF$16</f>
        <v>0</v>
      </c>
      <c r="AI21" s="288">
        <f>'Cap Table'!AI21</f>
        <v>0</v>
      </c>
      <c r="AJ21" s="272">
        <f>'Cap Table'!AJ21</f>
        <v>0</v>
      </c>
      <c r="AK21" s="272">
        <f>'Cap Table'!AK21</f>
        <v>0</v>
      </c>
      <c r="AL21" s="288" t="e">
        <f>'Cap Table'!AL21</f>
        <v>#DIV/0!</v>
      </c>
      <c r="AM21" s="288" t="e">
        <f>'Cap Table'!AM21</f>
        <v>#DIV/0!</v>
      </c>
      <c r="AN21" s="238">
        <f>'Cap Table'!AN21</f>
        <v>0</v>
      </c>
      <c r="AO21" s="239"/>
      <c r="AP21" s="272">
        <f t="shared" ref="AP21:AP34" si="4">AN21*AN$16</f>
        <v>0</v>
      </c>
      <c r="AQ21" s="288">
        <f>'Cap Table'!AQ21</f>
        <v>0</v>
      </c>
      <c r="AR21" s="272">
        <f>'Cap Table'!AR21</f>
        <v>0</v>
      </c>
      <c r="AS21" s="272">
        <f>'Cap Table'!AS21</f>
        <v>0</v>
      </c>
      <c r="AT21" s="288" t="e">
        <f>'Cap Table'!AT21</f>
        <v>#DIV/0!</v>
      </c>
      <c r="AU21" s="288" t="e">
        <f>'Cap Table'!AU21</f>
        <v>#DIV/0!</v>
      </c>
      <c r="AV21" s="238">
        <f>'Cap Table'!AV21</f>
        <v>0</v>
      </c>
      <c r="AW21" s="239"/>
      <c r="AX21" s="272">
        <f t="shared" ref="AX21:AX34" si="5">AV21*AV$16</f>
        <v>0</v>
      </c>
      <c r="AY21" s="288">
        <f>'Cap Table'!AY21</f>
        <v>0</v>
      </c>
      <c r="AZ21" s="272">
        <f>'Cap Table'!AZ21</f>
        <v>0</v>
      </c>
      <c r="BA21" s="272">
        <f>'Cap Table'!BA21</f>
        <v>0</v>
      </c>
      <c r="BB21" s="288" t="e">
        <f>'Cap Table'!BB21</f>
        <v>#DIV/0!</v>
      </c>
      <c r="BC21" s="288" t="e">
        <f>'Cap Table'!BC21</f>
        <v>#DIV/0!</v>
      </c>
      <c r="BD21" s="238">
        <f>'Cap Table'!BD21</f>
        <v>0</v>
      </c>
      <c r="BE21" s="239"/>
      <c r="BF21" s="272">
        <f t="shared" ref="BF21:BF34" si="6">BD21*BD$16</f>
        <v>0</v>
      </c>
      <c r="BG21" s="288">
        <f>'Cap Table'!BG21</f>
        <v>0</v>
      </c>
      <c r="BH21" s="272">
        <f>'Cap Table'!BH21</f>
        <v>0</v>
      </c>
      <c r="BI21" s="272">
        <f>'Cap Table'!BI21</f>
        <v>0</v>
      </c>
      <c r="BJ21" s="288" t="e">
        <f>'Cap Table'!BJ21</f>
        <v>#DIV/0!</v>
      </c>
      <c r="BK21" s="288" t="e">
        <f>'Cap Table'!BK21</f>
        <v>#DIV/0!</v>
      </c>
      <c r="BL21" s="238">
        <f>'Cap Table'!BL21</f>
        <v>0</v>
      </c>
      <c r="BM21" s="239"/>
      <c r="BN21" s="272">
        <f t="shared" ref="BN21:BN34" si="7">BL21*BL$16</f>
        <v>0</v>
      </c>
      <c r="BO21" s="288">
        <f>'Cap Table'!BO21</f>
        <v>0</v>
      </c>
      <c r="BP21" s="272">
        <f>'Cap Table'!BP21</f>
        <v>0</v>
      </c>
      <c r="BQ21" s="272">
        <f>'Cap Table'!BQ21</f>
        <v>0</v>
      </c>
      <c r="BR21" s="288" t="e">
        <f>'Cap Table'!BR21</f>
        <v>#DIV/0!</v>
      </c>
      <c r="BS21" s="288" t="e">
        <f>'Cap Table'!BS21</f>
        <v>#DIV/0!</v>
      </c>
      <c r="BT21" s="238">
        <f>'Cap Table'!BT21</f>
        <v>0</v>
      </c>
      <c r="BU21" s="239"/>
      <c r="BV21" s="272">
        <f t="shared" ref="BV21:BV34" si="8">BT21*BT$16</f>
        <v>0</v>
      </c>
      <c r="BW21" s="288">
        <f>'Cap Table'!BW21</f>
        <v>0</v>
      </c>
      <c r="BX21" s="272">
        <f>'Cap Table'!BX21</f>
        <v>0</v>
      </c>
      <c r="BY21" s="272">
        <f>'Cap Table'!BY21</f>
        <v>0</v>
      </c>
      <c r="BZ21" s="288" t="e">
        <f>'Cap Table'!BZ21</f>
        <v>#DIV/0!</v>
      </c>
      <c r="CA21" s="288" t="e">
        <f>'Cap Table'!CA21</f>
        <v>#DIV/0!</v>
      </c>
      <c r="CB21" s="180">
        <f>'Cap Table'!CB21</f>
        <v>0</v>
      </c>
      <c r="CC21" s="272" t="e">
        <f t="shared" ref="CC21:CC34" si="9">(BV21+BN21+BF21+AX21+AP21+AH21+Z21+R21+J21)/1000000</f>
        <v>#DIV/0!</v>
      </c>
      <c r="CD21" s="180"/>
      <c r="CE21" s="180"/>
    </row>
    <row r="22" spans="1:85" ht="15.75" customHeight="1" x14ac:dyDescent="0.35">
      <c r="A22" s="180"/>
      <c r="B22" s="180"/>
      <c r="D22" s="241" t="str">
        <f>'Cap Table'!D22</f>
        <v>Investor 2</v>
      </c>
      <c r="E22" s="239">
        <f>'Cap Table'!E22</f>
        <v>0</v>
      </c>
      <c r="F22" s="239">
        <f>'Cap Table'!F22</f>
        <v>0</v>
      </c>
      <c r="G22" s="239">
        <f>'Cap Table'!G22</f>
        <v>0</v>
      </c>
      <c r="H22" s="238">
        <f>'Cap Table'!H22</f>
        <v>0</v>
      </c>
      <c r="I22" s="239"/>
      <c r="J22" s="272" t="e">
        <f t="shared" si="0"/>
        <v>#DIV/0!</v>
      </c>
      <c r="K22" s="288">
        <f>'Cap Table'!K22</f>
        <v>0</v>
      </c>
      <c r="L22" s="272">
        <f>'Cap Table'!L22</f>
        <v>0</v>
      </c>
      <c r="M22" s="272">
        <f>'Cap Table'!M22</f>
        <v>0</v>
      </c>
      <c r="N22" s="288" t="e">
        <f>'Cap Table'!N22</f>
        <v>#DIV/0!</v>
      </c>
      <c r="O22" s="288" t="e">
        <f>'Cap Table'!O22</f>
        <v>#DIV/0!</v>
      </c>
      <c r="P22" s="238">
        <f>'Cap Table'!P22</f>
        <v>0</v>
      </c>
      <c r="Q22" s="239"/>
      <c r="R22" s="272">
        <f t="shared" si="1"/>
        <v>0</v>
      </c>
      <c r="S22" s="288">
        <f>'Cap Table'!S22</f>
        <v>0</v>
      </c>
      <c r="T22" s="272">
        <f>'Cap Table'!T22</f>
        <v>0</v>
      </c>
      <c r="U22" s="272">
        <f>'Cap Table'!U22</f>
        <v>0</v>
      </c>
      <c r="V22" s="288" t="e">
        <f>'Cap Table'!V22</f>
        <v>#DIV/0!</v>
      </c>
      <c r="W22" s="288" t="e">
        <f>'Cap Table'!W22</f>
        <v>#DIV/0!</v>
      </c>
      <c r="X22" s="238">
        <f>'Cap Table'!X22</f>
        <v>0</v>
      </c>
      <c r="Y22" s="239"/>
      <c r="Z22" s="272">
        <f t="shared" si="2"/>
        <v>0</v>
      </c>
      <c r="AA22" s="288">
        <f>'Cap Table'!AA22</f>
        <v>0</v>
      </c>
      <c r="AB22" s="272">
        <f>'Cap Table'!AB22</f>
        <v>0</v>
      </c>
      <c r="AC22" s="272">
        <f>'Cap Table'!AC22</f>
        <v>0</v>
      </c>
      <c r="AD22" s="288" t="e">
        <f>'Cap Table'!AD22</f>
        <v>#DIV/0!</v>
      </c>
      <c r="AE22" s="288" t="e">
        <f>'Cap Table'!AE22</f>
        <v>#DIV/0!</v>
      </c>
      <c r="AF22" s="238">
        <f>'Cap Table'!AF22</f>
        <v>0</v>
      </c>
      <c r="AG22" s="239"/>
      <c r="AH22" s="272">
        <f t="shared" si="3"/>
        <v>0</v>
      </c>
      <c r="AI22" s="288">
        <f>'Cap Table'!AI22</f>
        <v>0</v>
      </c>
      <c r="AJ22" s="272">
        <f>'Cap Table'!AJ22</f>
        <v>0</v>
      </c>
      <c r="AK22" s="272">
        <f>'Cap Table'!AK22</f>
        <v>0</v>
      </c>
      <c r="AL22" s="288" t="e">
        <f>'Cap Table'!AL22</f>
        <v>#DIV/0!</v>
      </c>
      <c r="AM22" s="288" t="e">
        <f>'Cap Table'!AM22</f>
        <v>#DIV/0!</v>
      </c>
      <c r="AN22" s="238">
        <f>'Cap Table'!AN22</f>
        <v>0</v>
      </c>
      <c r="AO22" s="239"/>
      <c r="AP22" s="272">
        <f t="shared" si="4"/>
        <v>0</v>
      </c>
      <c r="AQ22" s="288">
        <f>'Cap Table'!AQ22</f>
        <v>0</v>
      </c>
      <c r="AR22" s="272">
        <f>'Cap Table'!AR22</f>
        <v>0</v>
      </c>
      <c r="AS22" s="272">
        <f>'Cap Table'!AS22</f>
        <v>0</v>
      </c>
      <c r="AT22" s="288" t="e">
        <f>'Cap Table'!AT22</f>
        <v>#DIV/0!</v>
      </c>
      <c r="AU22" s="288" t="e">
        <f>'Cap Table'!AU22</f>
        <v>#DIV/0!</v>
      </c>
      <c r="AV22" s="238">
        <f>'Cap Table'!AV22</f>
        <v>0</v>
      </c>
      <c r="AW22" s="239"/>
      <c r="AX22" s="272">
        <f t="shared" si="5"/>
        <v>0</v>
      </c>
      <c r="AY22" s="288">
        <f>'Cap Table'!AY22</f>
        <v>0</v>
      </c>
      <c r="AZ22" s="272">
        <f>'Cap Table'!AZ22</f>
        <v>0</v>
      </c>
      <c r="BA22" s="272">
        <f>'Cap Table'!BA22</f>
        <v>0</v>
      </c>
      <c r="BB22" s="288" t="e">
        <f>'Cap Table'!BB22</f>
        <v>#DIV/0!</v>
      </c>
      <c r="BC22" s="288" t="e">
        <f>'Cap Table'!BC22</f>
        <v>#DIV/0!</v>
      </c>
      <c r="BD22" s="238">
        <f>'Cap Table'!BD22</f>
        <v>0</v>
      </c>
      <c r="BE22" s="239"/>
      <c r="BF22" s="272">
        <f t="shared" si="6"/>
        <v>0</v>
      </c>
      <c r="BG22" s="288">
        <f>'Cap Table'!BG22</f>
        <v>0</v>
      </c>
      <c r="BH22" s="272">
        <f>'Cap Table'!BH22</f>
        <v>0</v>
      </c>
      <c r="BI22" s="272">
        <f>'Cap Table'!BI22</f>
        <v>0</v>
      </c>
      <c r="BJ22" s="288" t="e">
        <f>'Cap Table'!BJ22</f>
        <v>#DIV/0!</v>
      </c>
      <c r="BK22" s="288" t="e">
        <f>'Cap Table'!BK22</f>
        <v>#DIV/0!</v>
      </c>
      <c r="BL22" s="238">
        <f>'Cap Table'!BL22</f>
        <v>0</v>
      </c>
      <c r="BM22" s="239"/>
      <c r="BN22" s="272">
        <f t="shared" si="7"/>
        <v>0</v>
      </c>
      <c r="BO22" s="288">
        <f>'Cap Table'!BO22</f>
        <v>0</v>
      </c>
      <c r="BP22" s="272">
        <f>'Cap Table'!BP22</f>
        <v>0</v>
      </c>
      <c r="BQ22" s="272">
        <f>'Cap Table'!BQ22</f>
        <v>0</v>
      </c>
      <c r="BR22" s="288" t="e">
        <f>'Cap Table'!BR22</f>
        <v>#DIV/0!</v>
      </c>
      <c r="BS22" s="288" t="e">
        <f>'Cap Table'!BS22</f>
        <v>#DIV/0!</v>
      </c>
      <c r="BT22" s="238">
        <f>'Cap Table'!BT22</f>
        <v>0</v>
      </c>
      <c r="BU22" s="239"/>
      <c r="BV22" s="272">
        <f t="shared" si="8"/>
        <v>0</v>
      </c>
      <c r="BW22" s="288">
        <f>'Cap Table'!BW22</f>
        <v>0</v>
      </c>
      <c r="BX22" s="272">
        <f>'Cap Table'!BX22</f>
        <v>0</v>
      </c>
      <c r="BY22" s="272">
        <f>'Cap Table'!BY22</f>
        <v>0</v>
      </c>
      <c r="BZ22" s="288" t="e">
        <f>'Cap Table'!BZ22</f>
        <v>#DIV/0!</v>
      </c>
      <c r="CA22" s="288" t="e">
        <f>'Cap Table'!CA22</f>
        <v>#DIV/0!</v>
      </c>
      <c r="CB22" s="242">
        <f>'Cap Table'!CB22</f>
        <v>0</v>
      </c>
      <c r="CC22" s="272" t="e">
        <f t="shared" si="9"/>
        <v>#DIV/0!</v>
      </c>
      <c r="CD22" s="242"/>
      <c r="CE22" s="242"/>
    </row>
    <row r="23" spans="1:85" ht="15.75" customHeight="1" x14ac:dyDescent="0.35">
      <c r="A23" s="180"/>
      <c r="B23" s="180"/>
      <c r="D23" s="241" t="str">
        <f>'Cap Table'!D23</f>
        <v>Investor 3</v>
      </c>
      <c r="E23" s="239">
        <f>'Cap Table'!E23</f>
        <v>0</v>
      </c>
      <c r="F23" s="239">
        <f>'Cap Table'!F23</f>
        <v>0</v>
      </c>
      <c r="G23" s="239">
        <f>'Cap Table'!G23</f>
        <v>0</v>
      </c>
      <c r="H23" s="238">
        <f>'Cap Table'!H23</f>
        <v>0</v>
      </c>
      <c r="I23" s="239"/>
      <c r="J23" s="272" t="e">
        <f t="shared" si="0"/>
        <v>#DIV/0!</v>
      </c>
      <c r="K23" s="288">
        <f>'Cap Table'!K23</f>
        <v>0</v>
      </c>
      <c r="L23" s="272">
        <f>'Cap Table'!L23</f>
        <v>0</v>
      </c>
      <c r="M23" s="272">
        <f>'Cap Table'!M23</f>
        <v>0</v>
      </c>
      <c r="N23" s="288" t="e">
        <f>'Cap Table'!N23</f>
        <v>#DIV/0!</v>
      </c>
      <c r="O23" s="288" t="e">
        <f>'Cap Table'!O23</f>
        <v>#DIV/0!</v>
      </c>
      <c r="P23" s="238">
        <f>'Cap Table'!P23</f>
        <v>0</v>
      </c>
      <c r="Q23" s="239"/>
      <c r="R23" s="272">
        <f t="shared" si="1"/>
        <v>0</v>
      </c>
      <c r="S23" s="288">
        <f>'Cap Table'!S23</f>
        <v>0</v>
      </c>
      <c r="T23" s="272">
        <f>'Cap Table'!T23</f>
        <v>0</v>
      </c>
      <c r="U23" s="272">
        <f>'Cap Table'!U23</f>
        <v>0</v>
      </c>
      <c r="V23" s="288" t="e">
        <f>'Cap Table'!V23</f>
        <v>#DIV/0!</v>
      </c>
      <c r="W23" s="288" t="e">
        <f>'Cap Table'!W23</f>
        <v>#DIV/0!</v>
      </c>
      <c r="X23" s="238">
        <f>'Cap Table'!X23</f>
        <v>0</v>
      </c>
      <c r="Y23" s="239"/>
      <c r="Z23" s="272">
        <f t="shared" si="2"/>
        <v>0</v>
      </c>
      <c r="AA23" s="288">
        <f>'Cap Table'!AA23</f>
        <v>0</v>
      </c>
      <c r="AB23" s="272">
        <f>'Cap Table'!AB23</f>
        <v>0</v>
      </c>
      <c r="AC23" s="272">
        <f>'Cap Table'!AC23</f>
        <v>0</v>
      </c>
      <c r="AD23" s="288" t="e">
        <f>'Cap Table'!AD23</f>
        <v>#DIV/0!</v>
      </c>
      <c r="AE23" s="288" t="e">
        <f>'Cap Table'!AE23</f>
        <v>#DIV/0!</v>
      </c>
      <c r="AF23" s="238">
        <f>'Cap Table'!AF23</f>
        <v>0</v>
      </c>
      <c r="AG23" s="239"/>
      <c r="AH23" s="272">
        <f t="shared" si="3"/>
        <v>0</v>
      </c>
      <c r="AI23" s="288">
        <f>'Cap Table'!AI23</f>
        <v>0</v>
      </c>
      <c r="AJ23" s="272">
        <f>'Cap Table'!AJ23</f>
        <v>0</v>
      </c>
      <c r="AK23" s="272">
        <f>'Cap Table'!AK23</f>
        <v>0</v>
      </c>
      <c r="AL23" s="288" t="e">
        <f>'Cap Table'!AL23</f>
        <v>#DIV/0!</v>
      </c>
      <c r="AM23" s="288" t="e">
        <f>'Cap Table'!AM23</f>
        <v>#DIV/0!</v>
      </c>
      <c r="AN23" s="238">
        <f>'Cap Table'!AN23</f>
        <v>0</v>
      </c>
      <c r="AO23" s="239"/>
      <c r="AP23" s="272">
        <f t="shared" si="4"/>
        <v>0</v>
      </c>
      <c r="AQ23" s="288">
        <f>'Cap Table'!AQ23</f>
        <v>0</v>
      </c>
      <c r="AR23" s="272">
        <f>'Cap Table'!AR23</f>
        <v>0</v>
      </c>
      <c r="AS23" s="272">
        <f>'Cap Table'!AS23</f>
        <v>0</v>
      </c>
      <c r="AT23" s="288" t="e">
        <f>'Cap Table'!AT23</f>
        <v>#DIV/0!</v>
      </c>
      <c r="AU23" s="288" t="e">
        <f>'Cap Table'!AU23</f>
        <v>#DIV/0!</v>
      </c>
      <c r="AV23" s="238">
        <f>'Cap Table'!AV23</f>
        <v>0</v>
      </c>
      <c r="AW23" s="239"/>
      <c r="AX23" s="272">
        <f t="shared" si="5"/>
        <v>0</v>
      </c>
      <c r="AY23" s="288">
        <f>'Cap Table'!AY23</f>
        <v>0</v>
      </c>
      <c r="AZ23" s="272">
        <f>'Cap Table'!AZ23</f>
        <v>0</v>
      </c>
      <c r="BA23" s="272">
        <f>'Cap Table'!BA23</f>
        <v>0</v>
      </c>
      <c r="BB23" s="288" t="e">
        <f>'Cap Table'!BB23</f>
        <v>#DIV/0!</v>
      </c>
      <c r="BC23" s="288" t="e">
        <f>'Cap Table'!BC23</f>
        <v>#DIV/0!</v>
      </c>
      <c r="BD23" s="238">
        <f>'Cap Table'!BD23</f>
        <v>0</v>
      </c>
      <c r="BE23" s="239"/>
      <c r="BF23" s="272">
        <f t="shared" si="6"/>
        <v>0</v>
      </c>
      <c r="BG23" s="288">
        <f>'Cap Table'!BG23</f>
        <v>0</v>
      </c>
      <c r="BH23" s="272">
        <f>'Cap Table'!BH23</f>
        <v>0</v>
      </c>
      <c r="BI23" s="272">
        <f>'Cap Table'!BI23</f>
        <v>0</v>
      </c>
      <c r="BJ23" s="288" t="e">
        <f>'Cap Table'!BJ23</f>
        <v>#DIV/0!</v>
      </c>
      <c r="BK23" s="288" t="e">
        <f>'Cap Table'!BK23</f>
        <v>#DIV/0!</v>
      </c>
      <c r="BL23" s="238">
        <f>'Cap Table'!BL23</f>
        <v>0</v>
      </c>
      <c r="BM23" s="239"/>
      <c r="BN23" s="272">
        <f t="shared" si="7"/>
        <v>0</v>
      </c>
      <c r="BO23" s="288">
        <f>'Cap Table'!BO23</f>
        <v>0</v>
      </c>
      <c r="BP23" s="272">
        <f>'Cap Table'!BP23</f>
        <v>0</v>
      </c>
      <c r="BQ23" s="272">
        <f>'Cap Table'!BQ23</f>
        <v>0</v>
      </c>
      <c r="BR23" s="288" t="e">
        <f>'Cap Table'!BR23</f>
        <v>#DIV/0!</v>
      </c>
      <c r="BS23" s="288" t="e">
        <f>'Cap Table'!BS23</f>
        <v>#DIV/0!</v>
      </c>
      <c r="BT23" s="238">
        <f>'Cap Table'!BT23</f>
        <v>0</v>
      </c>
      <c r="BU23" s="239"/>
      <c r="BV23" s="272">
        <f t="shared" si="8"/>
        <v>0</v>
      </c>
      <c r="BW23" s="288">
        <f>'Cap Table'!BW23</f>
        <v>0</v>
      </c>
      <c r="BX23" s="272">
        <f>'Cap Table'!BX23</f>
        <v>0</v>
      </c>
      <c r="BY23" s="272">
        <f>'Cap Table'!BY23</f>
        <v>0</v>
      </c>
      <c r="BZ23" s="288" t="e">
        <f>'Cap Table'!BZ23</f>
        <v>#DIV/0!</v>
      </c>
      <c r="CA23" s="288" t="e">
        <f>'Cap Table'!CA23</f>
        <v>#DIV/0!</v>
      </c>
      <c r="CB23" s="180">
        <f>'Cap Table'!CB23</f>
        <v>0</v>
      </c>
      <c r="CC23" s="272" t="e">
        <f t="shared" si="9"/>
        <v>#DIV/0!</v>
      </c>
      <c r="CD23" s="180"/>
      <c r="CE23" s="180"/>
    </row>
    <row r="24" spans="1:85" ht="15.75" customHeight="1" x14ac:dyDescent="0.35">
      <c r="A24" s="180"/>
      <c r="B24" s="180"/>
      <c r="D24" s="241" t="str">
        <f>'Cap Table'!D24</f>
        <v>Investor 4</v>
      </c>
      <c r="E24" s="239">
        <f>'Cap Table'!E24</f>
        <v>0</v>
      </c>
      <c r="F24" s="239">
        <f>'Cap Table'!F24</f>
        <v>0</v>
      </c>
      <c r="G24" s="239">
        <f>'Cap Table'!G24</f>
        <v>0</v>
      </c>
      <c r="H24" s="238">
        <f>'Cap Table'!H24</f>
        <v>0</v>
      </c>
      <c r="I24" s="239"/>
      <c r="J24" s="272" t="e">
        <f t="shared" si="0"/>
        <v>#DIV/0!</v>
      </c>
      <c r="K24" s="288">
        <f>'Cap Table'!K24</f>
        <v>0</v>
      </c>
      <c r="L24" s="272">
        <f>'Cap Table'!L24</f>
        <v>0</v>
      </c>
      <c r="M24" s="272">
        <f>'Cap Table'!M24</f>
        <v>0</v>
      </c>
      <c r="N24" s="288" t="e">
        <f>'Cap Table'!N24</f>
        <v>#DIV/0!</v>
      </c>
      <c r="O24" s="288" t="e">
        <f>'Cap Table'!O24</f>
        <v>#DIV/0!</v>
      </c>
      <c r="P24" s="238">
        <f>'Cap Table'!P24</f>
        <v>0</v>
      </c>
      <c r="Q24" s="239"/>
      <c r="R24" s="272">
        <f t="shared" si="1"/>
        <v>0</v>
      </c>
      <c r="S24" s="288">
        <f>'Cap Table'!S24</f>
        <v>0</v>
      </c>
      <c r="T24" s="272">
        <f>'Cap Table'!T24</f>
        <v>0</v>
      </c>
      <c r="U24" s="272">
        <f>'Cap Table'!U24</f>
        <v>0</v>
      </c>
      <c r="V24" s="288" t="e">
        <f>'Cap Table'!V24</f>
        <v>#DIV/0!</v>
      </c>
      <c r="W24" s="288" t="e">
        <f>'Cap Table'!W24</f>
        <v>#DIV/0!</v>
      </c>
      <c r="X24" s="238">
        <f>'Cap Table'!X24</f>
        <v>0</v>
      </c>
      <c r="Y24" s="239"/>
      <c r="Z24" s="272">
        <f t="shared" si="2"/>
        <v>0</v>
      </c>
      <c r="AA24" s="288">
        <f>'Cap Table'!AA24</f>
        <v>0</v>
      </c>
      <c r="AB24" s="272">
        <f>'Cap Table'!AB24</f>
        <v>0</v>
      </c>
      <c r="AC24" s="272">
        <f>'Cap Table'!AC24</f>
        <v>0</v>
      </c>
      <c r="AD24" s="288" t="e">
        <f>'Cap Table'!AD24</f>
        <v>#DIV/0!</v>
      </c>
      <c r="AE24" s="288" t="e">
        <f>'Cap Table'!AE24</f>
        <v>#DIV/0!</v>
      </c>
      <c r="AF24" s="238">
        <f>'Cap Table'!AF24</f>
        <v>0</v>
      </c>
      <c r="AG24" s="239"/>
      <c r="AH24" s="272">
        <f t="shared" si="3"/>
        <v>0</v>
      </c>
      <c r="AI24" s="288">
        <f>'Cap Table'!AI24</f>
        <v>0</v>
      </c>
      <c r="AJ24" s="272">
        <f>'Cap Table'!AJ24</f>
        <v>0</v>
      </c>
      <c r="AK24" s="272">
        <f>'Cap Table'!AK24</f>
        <v>0</v>
      </c>
      <c r="AL24" s="288" t="e">
        <f>'Cap Table'!AL24</f>
        <v>#DIV/0!</v>
      </c>
      <c r="AM24" s="288" t="e">
        <f>'Cap Table'!AM24</f>
        <v>#DIV/0!</v>
      </c>
      <c r="AN24" s="238">
        <f>'Cap Table'!AN24</f>
        <v>0</v>
      </c>
      <c r="AO24" s="239"/>
      <c r="AP24" s="272">
        <f t="shared" si="4"/>
        <v>0</v>
      </c>
      <c r="AQ24" s="288">
        <f>'Cap Table'!AQ24</f>
        <v>0</v>
      </c>
      <c r="AR24" s="272">
        <f>'Cap Table'!AR24</f>
        <v>0</v>
      </c>
      <c r="AS24" s="272">
        <f>'Cap Table'!AS24</f>
        <v>0</v>
      </c>
      <c r="AT24" s="288" t="e">
        <f>'Cap Table'!AT24</f>
        <v>#DIV/0!</v>
      </c>
      <c r="AU24" s="288" t="e">
        <f>'Cap Table'!AU24</f>
        <v>#DIV/0!</v>
      </c>
      <c r="AV24" s="238">
        <f>'Cap Table'!AV24</f>
        <v>0</v>
      </c>
      <c r="AW24" s="239"/>
      <c r="AX24" s="272">
        <f t="shared" si="5"/>
        <v>0</v>
      </c>
      <c r="AY24" s="288">
        <f>'Cap Table'!AY24</f>
        <v>0</v>
      </c>
      <c r="AZ24" s="272">
        <f>'Cap Table'!AZ24</f>
        <v>0</v>
      </c>
      <c r="BA24" s="272">
        <f>'Cap Table'!BA24</f>
        <v>0</v>
      </c>
      <c r="BB24" s="288" t="e">
        <f>'Cap Table'!BB24</f>
        <v>#DIV/0!</v>
      </c>
      <c r="BC24" s="288" t="e">
        <f>'Cap Table'!BC24</f>
        <v>#DIV/0!</v>
      </c>
      <c r="BD24" s="238">
        <f>'Cap Table'!BD24</f>
        <v>0</v>
      </c>
      <c r="BE24" s="239"/>
      <c r="BF24" s="272">
        <f t="shared" si="6"/>
        <v>0</v>
      </c>
      <c r="BG24" s="288">
        <f>'Cap Table'!BG24</f>
        <v>0</v>
      </c>
      <c r="BH24" s="272">
        <f>'Cap Table'!BH24</f>
        <v>0</v>
      </c>
      <c r="BI24" s="272">
        <f>'Cap Table'!BI24</f>
        <v>0</v>
      </c>
      <c r="BJ24" s="288" t="e">
        <f>'Cap Table'!BJ24</f>
        <v>#DIV/0!</v>
      </c>
      <c r="BK24" s="288" t="e">
        <f>'Cap Table'!BK24</f>
        <v>#DIV/0!</v>
      </c>
      <c r="BL24" s="238">
        <f>'Cap Table'!BL24</f>
        <v>0</v>
      </c>
      <c r="BM24" s="239"/>
      <c r="BN24" s="272">
        <f t="shared" si="7"/>
        <v>0</v>
      </c>
      <c r="BO24" s="288">
        <f>'Cap Table'!BO24</f>
        <v>0</v>
      </c>
      <c r="BP24" s="272">
        <f>'Cap Table'!BP24</f>
        <v>0</v>
      </c>
      <c r="BQ24" s="272">
        <f>'Cap Table'!BQ24</f>
        <v>0</v>
      </c>
      <c r="BR24" s="288" t="e">
        <f>'Cap Table'!BR24</f>
        <v>#DIV/0!</v>
      </c>
      <c r="BS24" s="288" t="e">
        <f>'Cap Table'!BS24</f>
        <v>#DIV/0!</v>
      </c>
      <c r="BT24" s="238">
        <f>'Cap Table'!BT24</f>
        <v>0</v>
      </c>
      <c r="BU24" s="239"/>
      <c r="BV24" s="272">
        <f t="shared" si="8"/>
        <v>0</v>
      </c>
      <c r="BW24" s="288">
        <f>'Cap Table'!BW24</f>
        <v>0</v>
      </c>
      <c r="BX24" s="272">
        <f>'Cap Table'!BX24</f>
        <v>0</v>
      </c>
      <c r="BY24" s="272">
        <f>'Cap Table'!BY24</f>
        <v>0</v>
      </c>
      <c r="BZ24" s="288" t="e">
        <f>'Cap Table'!BZ24</f>
        <v>#DIV/0!</v>
      </c>
      <c r="CA24" s="288" t="e">
        <f>'Cap Table'!CA24</f>
        <v>#DIV/0!</v>
      </c>
      <c r="CB24" s="180">
        <f>'Cap Table'!CB24</f>
        <v>0</v>
      </c>
      <c r="CC24" s="272" t="e">
        <f t="shared" si="9"/>
        <v>#DIV/0!</v>
      </c>
      <c r="CD24" s="180"/>
      <c r="CE24" s="180"/>
    </row>
    <row r="25" spans="1:85" ht="15.75" customHeight="1" x14ac:dyDescent="0.35">
      <c r="A25" s="180"/>
      <c r="B25" s="180"/>
      <c r="D25" s="241" t="str">
        <f>'Cap Table'!D25</f>
        <v>Investor 5</v>
      </c>
      <c r="E25" s="239">
        <f>'Cap Table'!E25</f>
        <v>0</v>
      </c>
      <c r="F25" s="239">
        <f>'Cap Table'!F25</f>
        <v>0</v>
      </c>
      <c r="G25" s="239">
        <f>'Cap Table'!G25</f>
        <v>0</v>
      </c>
      <c r="H25" s="238">
        <f>'Cap Table'!H25</f>
        <v>0</v>
      </c>
      <c r="I25" s="239"/>
      <c r="J25" s="272" t="e">
        <f t="shared" si="0"/>
        <v>#DIV/0!</v>
      </c>
      <c r="K25" s="288">
        <f>'Cap Table'!K25</f>
        <v>0</v>
      </c>
      <c r="L25" s="272">
        <f>'Cap Table'!L25</f>
        <v>0</v>
      </c>
      <c r="M25" s="272">
        <f>'Cap Table'!M25</f>
        <v>0</v>
      </c>
      <c r="N25" s="288" t="e">
        <f>'Cap Table'!N25</f>
        <v>#DIV/0!</v>
      </c>
      <c r="O25" s="288" t="e">
        <f>'Cap Table'!O25</f>
        <v>#DIV/0!</v>
      </c>
      <c r="P25" s="238">
        <f>'Cap Table'!P25</f>
        <v>0</v>
      </c>
      <c r="Q25" s="239"/>
      <c r="R25" s="272">
        <f t="shared" si="1"/>
        <v>0</v>
      </c>
      <c r="S25" s="288">
        <f>'Cap Table'!S25</f>
        <v>0</v>
      </c>
      <c r="T25" s="272">
        <f>'Cap Table'!T25</f>
        <v>0</v>
      </c>
      <c r="U25" s="272">
        <f>'Cap Table'!U25</f>
        <v>0</v>
      </c>
      <c r="V25" s="288" t="e">
        <f>'Cap Table'!V25</f>
        <v>#DIV/0!</v>
      </c>
      <c r="W25" s="288" t="e">
        <f>'Cap Table'!W25</f>
        <v>#DIV/0!</v>
      </c>
      <c r="X25" s="238">
        <f>'Cap Table'!X25</f>
        <v>0</v>
      </c>
      <c r="Y25" s="239"/>
      <c r="Z25" s="272">
        <f t="shared" si="2"/>
        <v>0</v>
      </c>
      <c r="AA25" s="288">
        <f>'Cap Table'!AA25</f>
        <v>0</v>
      </c>
      <c r="AB25" s="272">
        <f>'Cap Table'!AB25</f>
        <v>0</v>
      </c>
      <c r="AC25" s="272">
        <f>'Cap Table'!AC25</f>
        <v>0</v>
      </c>
      <c r="AD25" s="288" t="e">
        <f>'Cap Table'!AD25</f>
        <v>#DIV/0!</v>
      </c>
      <c r="AE25" s="288" t="e">
        <f>'Cap Table'!AE25</f>
        <v>#DIV/0!</v>
      </c>
      <c r="AF25" s="238">
        <f>'Cap Table'!AF25</f>
        <v>0</v>
      </c>
      <c r="AG25" s="239"/>
      <c r="AH25" s="272">
        <f t="shared" si="3"/>
        <v>0</v>
      </c>
      <c r="AI25" s="288">
        <f>'Cap Table'!AI25</f>
        <v>0</v>
      </c>
      <c r="AJ25" s="272">
        <f>'Cap Table'!AJ25</f>
        <v>0</v>
      </c>
      <c r="AK25" s="272">
        <f>'Cap Table'!AK25</f>
        <v>0</v>
      </c>
      <c r="AL25" s="288" t="e">
        <f>'Cap Table'!AL25</f>
        <v>#DIV/0!</v>
      </c>
      <c r="AM25" s="288" t="e">
        <f>'Cap Table'!AM25</f>
        <v>#DIV/0!</v>
      </c>
      <c r="AN25" s="238">
        <f>'Cap Table'!AN25</f>
        <v>0</v>
      </c>
      <c r="AO25" s="239"/>
      <c r="AP25" s="272">
        <f t="shared" si="4"/>
        <v>0</v>
      </c>
      <c r="AQ25" s="288">
        <f>'Cap Table'!AQ25</f>
        <v>0</v>
      </c>
      <c r="AR25" s="272">
        <f>'Cap Table'!AR25</f>
        <v>0</v>
      </c>
      <c r="AS25" s="272">
        <f>'Cap Table'!AS25</f>
        <v>0</v>
      </c>
      <c r="AT25" s="288" t="e">
        <f>'Cap Table'!AT25</f>
        <v>#DIV/0!</v>
      </c>
      <c r="AU25" s="288" t="e">
        <f>'Cap Table'!AU25</f>
        <v>#DIV/0!</v>
      </c>
      <c r="AV25" s="238">
        <f>'Cap Table'!AV25</f>
        <v>0</v>
      </c>
      <c r="AW25" s="239"/>
      <c r="AX25" s="272">
        <f t="shared" si="5"/>
        <v>0</v>
      </c>
      <c r="AY25" s="288">
        <f>'Cap Table'!AY25</f>
        <v>0</v>
      </c>
      <c r="AZ25" s="272">
        <f>'Cap Table'!AZ25</f>
        <v>0</v>
      </c>
      <c r="BA25" s="272">
        <f>'Cap Table'!BA25</f>
        <v>0</v>
      </c>
      <c r="BB25" s="288" t="e">
        <f>'Cap Table'!BB25</f>
        <v>#DIV/0!</v>
      </c>
      <c r="BC25" s="288" t="e">
        <f>'Cap Table'!BC25</f>
        <v>#DIV/0!</v>
      </c>
      <c r="BD25" s="238">
        <f>'Cap Table'!BD25</f>
        <v>0</v>
      </c>
      <c r="BE25" s="239"/>
      <c r="BF25" s="272">
        <f t="shared" si="6"/>
        <v>0</v>
      </c>
      <c r="BG25" s="288">
        <f>'Cap Table'!BG25</f>
        <v>0</v>
      </c>
      <c r="BH25" s="272">
        <f>'Cap Table'!BH25</f>
        <v>0</v>
      </c>
      <c r="BI25" s="272">
        <f>'Cap Table'!BI25</f>
        <v>0</v>
      </c>
      <c r="BJ25" s="288" t="e">
        <f>'Cap Table'!BJ25</f>
        <v>#DIV/0!</v>
      </c>
      <c r="BK25" s="288" t="e">
        <f>'Cap Table'!BK25</f>
        <v>#DIV/0!</v>
      </c>
      <c r="BL25" s="238">
        <f>'Cap Table'!BL25</f>
        <v>0</v>
      </c>
      <c r="BM25" s="239"/>
      <c r="BN25" s="272">
        <f t="shared" si="7"/>
        <v>0</v>
      </c>
      <c r="BO25" s="288">
        <f>'Cap Table'!BO25</f>
        <v>0</v>
      </c>
      <c r="BP25" s="272">
        <f>'Cap Table'!BP25</f>
        <v>0</v>
      </c>
      <c r="BQ25" s="272">
        <f>'Cap Table'!BQ25</f>
        <v>0</v>
      </c>
      <c r="BR25" s="288" t="e">
        <f>'Cap Table'!BR25</f>
        <v>#DIV/0!</v>
      </c>
      <c r="BS25" s="288" t="e">
        <f>'Cap Table'!BS25</f>
        <v>#DIV/0!</v>
      </c>
      <c r="BT25" s="238">
        <f>'Cap Table'!BT25</f>
        <v>0</v>
      </c>
      <c r="BU25" s="239"/>
      <c r="BV25" s="272">
        <f t="shared" si="8"/>
        <v>0</v>
      </c>
      <c r="BW25" s="288">
        <f>'Cap Table'!BW25</f>
        <v>0</v>
      </c>
      <c r="BX25" s="272">
        <f>'Cap Table'!BX25</f>
        <v>0</v>
      </c>
      <c r="BY25" s="272">
        <f>'Cap Table'!BY25</f>
        <v>0</v>
      </c>
      <c r="BZ25" s="288" t="e">
        <f>'Cap Table'!BZ25</f>
        <v>#DIV/0!</v>
      </c>
      <c r="CA25" s="288" t="e">
        <f>'Cap Table'!CA25</f>
        <v>#DIV/0!</v>
      </c>
      <c r="CB25" s="180">
        <f>'Cap Table'!CB25</f>
        <v>0</v>
      </c>
      <c r="CC25" s="272" t="e">
        <f t="shared" si="9"/>
        <v>#DIV/0!</v>
      </c>
      <c r="CD25" s="180"/>
      <c r="CE25" s="180"/>
    </row>
    <row r="26" spans="1:85" ht="15.75" customHeight="1" x14ac:dyDescent="0.35">
      <c r="A26" s="180"/>
      <c r="B26" s="180"/>
      <c r="D26" s="241" t="str">
        <f>'Cap Table'!D41</f>
        <v>Investor 6</v>
      </c>
      <c r="E26" s="239">
        <f>'Cap Table'!E41</f>
        <v>0</v>
      </c>
      <c r="F26" s="239">
        <f>'Cap Table'!F41</f>
        <v>0</v>
      </c>
      <c r="G26" s="239">
        <f>'Cap Table'!G41</f>
        <v>0</v>
      </c>
      <c r="H26" s="238">
        <f>'Cap Table'!H41</f>
        <v>0</v>
      </c>
      <c r="I26" s="239"/>
      <c r="J26" s="272" t="e">
        <f t="shared" si="0"/>
        <v>#DIV/0!</v>
      </c>
      <c r="K26" s="288">
        <f>'Cap Table'!K41</f>
        <v>0</v>
      </c>
      <c r="L26" s="272">
        <f>'Cap Table'!L41</f>
        <v>0</v>
      </c>
      <c r="M26" s="272">
        <f>'Cap Table'!M41</f>
        <v>0</v>
      </c>
      <c r="N26" s="288" t="e">
        <f>'Cap Table'!N41</f>
        <v>#DIV/0!</v>
      </c>
      <c r="O26" s="288" t="e">
        <f>'Cap Table'!O41</f>
        <v>#DIV/0!</v>
      </c>
      <c r="P26" s="238">
        <f>'Cap Table'!P41</f>
        <v>0</v>
      </c>
      <c r="Q26" s="239"/>
      <c r="R26" s="272">
        <f t="shared" si="1"/>
        <v>0</v>
      </c>
      <c r="S26" s="288">
        <f>'Cap Table'!S41</f>
        <v>0</v>
      </c>
      <c r="T26" s="272">
        <f>'Cap Table'!T41</f>
        <v>0</v>
      </c>
      <c r="U26" s="272">
        <f>'Cap Table'!U41</f>
        <v>0</v>
      </c>
      <c r="V26" s="288" t="e">
        <f>'Cap Table'!V41</f>
        <v>#DIV/0!</v>
      </c>
      <c r="W26" s="288" t="e">
        <f>'Cap Table'!W41</f>
        <v>#DIV/0!</v>
      </c>
      <c r="X26" s="238">
        <f>'Cap Table'!X41</f>
        <v>0</v>
      </c>
      <c r="Y26" s="239"/>
      <c r="Z26" s="272">
        <f t="shared" si="2"/>
        <v>0</v>
      </c>
      <c r="AA26" s="288">
        <f>'Cap Table'!AA41</f>
        <v>0</v>
      </c>
      <c r="AB26" s="272">
        <f>'Cap Table'!AB41</f>
        <v>0</v>
      </c>
      <c r="AC26" s="272">
        <f>'Cap Table'!AC41</f>
        <v>0</v>
      </c>
      <c r="AD26" s="288" t="e">
        <f>'Cap Table'!AD41</f>
        <v>#DIV/0!</v>
      </c>
      <c r="AE26" s="288" t="e">
        <f>'Cap Table'!AE41</f>
        <v>#DIV/0!</v>
      </c>
      <c r="AF26" s="238">
        <f>'Cap Table'!AF41</f>
        <v>0</v>
      </c>
      <c r="AG26" s="239"/>
      <c r="AH26" s="272">
        <f t="shared" si="3"/>
        <v>0</v>
      </c>
      <c r="AI26" s="288">
        <f>'Cap Table'!AI41</f>
        <v>0</v>
      </c>
      <c r="AJ26" s="272">
        <f>'Cap Table'!AJ41</f>
        <v>0</v>
      </c>
      <c r="AK26" s="272">
        <f>'Cap Table'!AK41</f>
        <v>0</v>
      </c>
      <c r="AL26" s="288" t="e">
        <f>'Cap Table'!AL41</f>
        <v>#DIV/0!</v>
      </c>
      <c r="AM26" s="288" t="e">
        <f>'Cap Table'!AM41</f>
        <v>#DIV/0!</v>
      </c>
      <c r="AN26" s="238">
        <f>'Cap Table'!AN41</f>
        <v>0</v>
      </c>
      <c r="AO26" s="239"/>
      <c r="AP26" s="272">
        <f t="shared" si="4"/>
        <v>0</v>
      </c>
      <c r="AQ26" s="288">
        <f>'Cap Table'!AQ41</f>
        <v>0</v>
      </c>
      <c r="AR26" s="272">
        <f>'Cap Table'!AR41</f>
        <v>0</v>
      </c>
      <c r="AS26" s="272">
        <f>'Cap Table'!AS41</f>
        <v>0</v>
      </c>
      <c r="AT26" s="288" t="e">
        <f>'Cap Table'!AT41</f>
        <v>#DIV/0!</v>
      </c>
      <c r="AU26" s="288" t="e">
        <f>'Cap Table'!AU41</f>
        <v>#DIV/0!</v>
      </c>
      <c r="AV26" s="238">
        <f>'Cap Table'!AV41</f>
        <v>0</v>
      </c>
      <c r="AW26" s="239"/>
      <c r="AX26" s="272">
        <f t="shared" si="5"/>
        <v>0</v>
      </c>
      <c r="AY26" s="288">
        <f>'Cap Table'!AY41</f>
        <v>0</v>
      </c>
      <c r="AZ26" s="272">
        <f>'Cap Table'!AZ41</f>
        <v>0</v>
      </c>
      <c r="BA26" s="272">
        <f>'Cap Table'!BA41</f>
        <v>0</v>
      </c>
      <c r="BB26" s="288" t="e">
        <f>'Cap Table'!BB41</f>
        <v>#DIV/0!</v>
      </c>
      <c r="BC26" s="288" t="e">
        <f>'Cap Table'!BC41</f>
        <v>#DIV/0!</v>
      </c>
      <c r="BD26" s="238">
        <f>'Cap Table'!BD41</f>
        <v>0</v>
      </c>
      <c r="BE26" s="239"/>
      <c r="BF26" s="272">
        <f t="shared" si="6"/>
        <v>0</v>
      </c>
      <c r="BG26" s="288">
        <f>'Cap Table'!BG41</f>
        <v>0</v>
      </c>
      <c r="BH26" s="272">
        <f>'Cap Table'!BH41</f>
        <v>0</v>
      </c>
      <c r="BI26" s="272">
        <f>'Cap Table'!BI41</f>
        <v>0</v>
      </c>
      <c r="BJ26" s="288" t="e">
        <f>'Cap Table'!BJ41</f>
        <v>#DIV/0!</v>
      </c>
      <c r="BK26" s="288" t="e">
        <f>'Cap Table'!BK41</f>
        <v>#DIV/0!</v>
      </c>
      <c r="BL26" s="238">
        <f>'Cap Table'!BL41</f>
        <v>0</v>
      </c>
      <c r="BM26" s="239"/>
      <c r="BN26" s="272">
        <f t="shared" si="7"/>
        <v>0</v>
      </c>
      <c r="BO26" s="288">
        <f>'Cap Table'!BO41</f>
        <v>0</v>
      </c>
      <c r="BP26" s="272">
        <f>'Cap Table'!BP41</f>
        <v>0</v>
      </c>
      <c r="BQ26" s="272">
        <f>'Cap Table'!BQ41</f>
        <v>0</v>
      </c>
      <c r="BR26" s="288" t="e">
        <f>'Cap Table'!BR41</f>
        <v>#DIV/0!</v>
      </c>
      <c r="BS26" s="288" t="e">
        <f>'Cap Table'!BS41</f>
        <v>#DIV/0!</v>
      </c>
      <c r="BT26" s="238">
        <f>'Cap Table'!BT41</f>
        <v>0</v>
      </c>
      <c r="BU26" s="239"/>
      <c r="BV26" s="272">
        <f t="shared" si="8"/>
        <v>0</v>
      </c>
      <c r="BW26" s="288">
        <f>'Cap Table'!BW41</f>
        <v>0</v>
      </c>
      <c r="BX26" s="272">
        <f>'Cap Table'!BX41</f>
        <v>0</v>
      </c>
      <c r="BY26" s="272">
        <f>'Cap Table'!BY41</f>
        <v>0</v>
      </c>
      <c r="BZ26" s="288" t="e">
        <f>'Cap Table'!BZ41</f>
        <v>#DIV/0!</v>
      </c>
      <c r="CA26" s="288" t="e">
        <f>'Cap Table'!CA41</f>
        <v>#DIV/0!</v>
      </c>
      <c r="CB26" s="180">
        <f>'Cap Table'!CB41</f>
        <v>0</v>
      </c>
      <c r="CC26" s="272" t="e">
        <f t="shared" si="9"/>
        <v>#DIV/0!</v>
      </c>
      <c r="CD26" s="180"/>
      <c r="CE26" s="180"/>
    </row>
    <row r="27" spans="1:85" ht="15.75" customHeight="1" x14ac:dyDescent="0.35">
      <c r="A27" s="180"/>
      <c r="B27" s="180"/>
      <c r="D27" s="241">
        <f>'Cap Table'!D42</f>
        <v>0</v>
      </c>
      <c r="E27" s="239">
        <f>'Cap Table'!E42</f>
        <v>0</v>
      </c>
      <c r="F27" s="239">
        <f>'Cap Table'!F42</f>
        <v>0</v>
      </c>
      <c r="G27" s="239">
        <f>'Cap Table'!G42</f>
        <v>0</v>
      </c>
      <c r="H27" s="238">
        <f>'Cap Table'!H42</f>
        <v>0</v>
      </c>
      <c r="I27" s="239"/>
      <c r="J27" s="272" t="e">
        <f t="shared" si="0"/>
        <v>#DIV/0!</v>
      </c>
      <c r="K27" s="288">
        <f>'Cap Table'!K42</f>
        <v>0</v>
      </c>
      <c r="L27" s="272">
        <f>'Cap Table'!L42</f>
        <v>0</v>
      </c>
      <c r="M27" s="272">
        <f>'Cap Table'!M42</f>
        <v>0</v>
      </c>
      <c r="N27" s="288" t="e">
        <f>'Cap Table'!N42</f>
        <v>#DIV/0!</v>
      </c>
      <c r="O27" s="288" t="e">
        <f>'Cap Table'!O42</f>
        <v>#DIV/0!</v>
      </c>
      <c r="P27" s="238">
        <f>'Cap Table'!P42</f>
        <v>0</v>
      </c>
      <c r="Q27" s="239"/>
      <c r="R27" s="272">
        <f t="shared" si="1"/>
        <v>0</v>
      </c>
      <c r="S27" s="288">
        <f>'Cap Table'!S42</f>
        <v>0</v>
      </c>
      <c r="T27" s="272">
        <f>'Cap Table'!T42</f>
        <v>0</v>
      </c>
      <c r="U27" s="272">
        <f>'Cap Table'!U42</f>
        <v>0</v>
      </c>
      <c r="V27" s="288" t="e">
        <f>'Cap Table'!V42</f>
        <v>#DIV/0!</v>
      </c>
      <c r="W27" s="288" t="e">
        <f>'Cap Table'!W42</f>
        <v>#DIV/0!</v>
      </c>
      <c r="X27" s="238">
        <f>'Cap Table'!X42</f>
        <v>0</v>
      </c>
      <c r="Y27" s="239"/>
      <c r="Z27" s="272">
        <f t="shared" si="2"/>
        <v>0</v>
      </c>
      <c r="AA27" s="288">
        <f>'Cap Table'!AA42</f>
        <v>0</v>
      </c>
      <c r="AB27" s="272">
        <f>'Cap Table'!AB42</f>
        <v>0</v>
      </c>
      <c r="AC27" s="272">
        <f>'Cap Table'!AC42</f>
        <v>0</v>
      </c>
      <c r="AD27" s="288" t="e">
        <f>'Cap Table'!AD42</f>
        <v>#DIV/0!</v>
      </c>
      <c r="AE27" s="288" t="e">
        <f>'Cap Table'!AE42</f>
        <v>#DIV/0!</v>
      </c>
      <c r="AF27" s="238">
        <f>'Cap Table'!AF42</f>
        <v>0</v>
      </c>
      <c r="AG27" s="239"/>
      <c r="AH27" s="272">
        <f t="shared" si="3"/>
        <v>0</v>
      </c>
      <c r="AI27" s="288">
        <f>'Cap Table'!AI42</f>
        <v>0</v>
      </c>
      <c r="AJ27" s="272">
        <f>'Cap Table'!AJ42</f>
        <v>0</v>
      </c>
      <c r="AK27" s="272">
        <f>'Cap Table'!AK42</f>
        <v>0</v>
      </c>
      <c r="AL27" s="288" t="e">
        <f>'Cap Table'!AL42</f>
        <v>#DIV/0!</v>
      </c>
      <c r="AM27" s="288" t="e">
        <f>'Cap Table'!AM42</f>
        <v>#DIV/0!</v>
      </c>
      <c r="AN27" s="238">
        <f>'Cap Table'!AN42</f>
        <v>0</v>
      </c>
      <c r="AO27" s="239"/>
      <c r="AP27" s="272">
        <f t="shared" si="4"/>
        <v>0</v>
      </c>
      <c r="AQ27" s="288">
        <f>'Cap Table'!AQ42</f>
        <v>0</v>
      </c>
      <c r="AR27" s="272">
        <f>'Cap Table'!AR42</f>
        <v>0</v>
      </c>
      <c r="AS27" s="272">
        <f>'Cap Table'!AS42</f>
        <v>0</v>
      </c>
      <c r="AT27" s="288" t="e">
        <f>'Cap Table'!AT42</f>
        <v>#DIV/0!</v>
      </c>
      <c r="AU27" s="288" t="e">
        <f>'Cap Table'!AU42</f>
        <v>#DIV/0!</v>
      </c>
      <c r="AV27" s="238">
        <f>'Cap Table'!AV42</f>
        <v>0</v>
      </c>
      <c r="AW27" s="239"/>
      <c r="AX27" s="272">
        <f t="shared" si="5"/>
        <v>0</v>
      </c>
      <c r="AY27" s="288">
        <f>'Cap Table'!AY42</f>
        <v>0</v>
      </c>
      <c r="AZ27" s="272">
        <f>'Cap Table'!AZ42</f>
        <v>0</v>
      </c>
      <c r="BA27" s="272">
        <f>'Cap Table'!BA42</f>
        <v>0</v>
      </c>
      <c r="BB27" s="288" t="e">
        <f>'Cap Table'!BB42</f>
        <v>#DIV/0!</v>
      </c>
      <c r="BC27" s="288" t="e">
        <f>'Cap Table'!BC42</f>
        <v>#DIV/0!</v>
      </c>
      <c r="BD27" s="238">
        <f>'Cap Table'!BD42</f>
        <v>0</v>
      </c>
      <c r="BE27" s="239"/>
      <c r="BF27" s="272">
        <f t="shared" si="6"/>
        <v>0</v>
      </c>
      <c r="BG27" s="288">
        <f>'Cap Table'!BG42</f>
        <v>0</v>
      </c>
      <c r="BH27" s="272">
        <f>'Cap Table'!BH42</f>
        <v>0</v>
      </c>
      <c r="BI27" s="272">
        <f>'Cap Table'!BI42</f>
        <v>0</v>
      </c>
      <c r="BJ27" s="288" t="e">
        <f>'Cap Table'!BJ42</f>
        <v>#DIV/0!</v>
      </c>
      <c r="BK27" s="288" t="e">
        <f>'Cap Table'!BK42</f>
        <v>#DIV/0!</v>
      </c>
      <c r="BL27" s="238">
        <f>'Cap Table'!BL42</f>
        <v>0</v>
      </c>
      <c r="BM27" s="239"/>
      <c r="BN27" s="272">
        <f t="shared" si="7"/>
        <v>0</v>
      </c>
      <c r="BO27" s="288">
        <f>'Cap Table'!BO42</f>
        <v>0</v>
      </c>
      <c r="BP27" s="272">
        <f>'Cap Table'!BP42</f>
        <v>0</v>
      </c>
      <c r="BQ27" s="272">
        <f>'Cap Table'!BQ42</f>
        <v>0</v>
      </c>
      <c r="BR27" s="288" t="e">
        <f>'Cap Table'!BR42</f>
        <v>#DIV/0!</v>
      </c>
      <c r="BS27" s="288" t="e">
        <f>'Cap Table'!BS42</f>
        <v>#DIV/0!</v>
      </c>
      <c r="BT27" s="238">
        <f>'Cap Table'!BT42</f>
        <v>0</v>
      </c>
      <c r="BU27" s="239"/>
      <c r="BV27" s="272">
        <f t="shared" si="8"/>
        <v>0</v>
      </c>
      <c r="BW27" s="288">
        <f>'Cap Table'!BW42</f>
        <v>0</v>
      </c>
      <c r="BX27" s="272">
        <f>'Cap Table'!BX42</f>
        <v>0</v>
      </c>
      <c r="BY27" s="272">
        <f>'Cap Table'!BY42</f>
        <v>0</v>
      </c>
      <c r="BZ27" s="288" t="e">
        <f>'Cap Table'!BZ42</f>
        <v>#DIV/0!</v>
      </c>
      <c r="CA27" s="288" t="e">
        <f>'Cap Table'!CA42</f>
        <v>#DIV/0!</v>
      </c>
      <c r="CB27" s="180">
        <f>'Cap Table'!CB42</f>
        <v>0</v>
      </c>
      <c r="CC27" s="272" t="e">
        <f t="shared" si="9"/>
        <v>#DIV/0!</v>
      </c>
      <c r="CD27" s="180"/>
      <c r="CE27" s="180"/>
    </row>
    <row r="28" spans="1:85" ht="15.75" customHeight="1" x14ac:dyDescent="0.35">
      <c r="A28" s="180"/>
      <c r="B28" s="180"/>
      <c r="D28" s="241" t="str">
        <f>'Cap Table'!D43</f>
        <v>Founders/Leadership</v>
      </c>
      <c r="E28" s="239">
        <f>'Cap Table'!E43</f>
        <v>0</v>
      </c>
      <c r="F28" s="239">
        <f>'Cap Table'!F43</f>
        <v>0</v>
      </c>
      <c r="G28" s="239">
        <f>'Cap Table'!G43</f>
        <v>0</v>
      </c>
      <c r="H28" s="238">
        <f>'Cap Table'!H43</f>
        <v>0</v>
      </c>
      <c r="I28" s="239"/>
      <c r="J28" s="272" t="e">
        <f t="shared" si="0"/>
        <v>#DIV/0!</v>
      </c>
      <c r="K28" s="288">
        <f>'Cap Table'!K43</f>
        <v>0</v>
      </c>
      <c r="L28" s="272">
        <f>'Cap Table'!L43</f>
        <v>0</v>
      </c>
      <c r="M28" s="272">
        <f>'Cap Table'!M43</f>
        <v>0</v>
      </c>
      <c r="N28" s="288" t="e">
        <f>'Cap Table'!N43</f>
        <v>#DIV/0!</v>
      </c>
      <c r="O28" s="288" t="e">
        <f>'Cap Table'!O43</f>
        <v>#DIV/0!</v>
      </c>
      <c r="P28" s="238">
        <f>'Cap Table'!P43</f>
        <v>0</v>
      </c>
      <c r="Q28" s="239"/>
      <c r="R28" s="272">
        <f t="shared" si="1"/>
        <v>0</v>
      </c>
      <c r="S28" s="288">
        <f>'Cap Table'!S43</f>
        <v>0</v>
      </c>
      <c r="T28" s="272">
        <f>'Cap Table'!T43</f>
        <v>0</v>
      </c>
      <c r="U28" s="272">
        <f>'Cap Table'!U43</f>
        <v>0</v>
      </c>
      <c r="V28" s="288" t="e">
        <f>'Cap Table'!V43</f>
        <v>#DIV/0!</v>
      </c>
      <c r="W28" s="288" t="e">
        <f>'Cap Table'!W43</f>
        <v>#DIV/0!</v>
      </c>
      <c r="X28" s="238">
        <f>'Cap Table'!X43</f>
        <v>0</v>
      </c>
      <c r="Y28" s="239"/>
      <c r="Z28" s="272">
        <f t="shared" si="2"/>
        <v>0</v>
      </c>
      <c r="AA28" s="288">
        <f>'Cap Table'!AA43</f>
        <v>0</v>
      </c>
      <c r="AB28" s="272">
        <f>'Cap Table'!AB43</f>
        <v>0</v>
      </c>
      <c r="AC28" s="272">
        <f>'Cap Table'!AC43</f>
        <v>0</v>
      </c>
      <c r="AD28" s="288" t="e">
        <f>'Cap Table'!AD43</f>
        <v>#DIV/0!</v>
      </c>
      <c r="AE28" s="288" t="e">
        <f>'Cap Table'!AE43</f>
        <v>#DIV/0!</v>
      </c>
      <c r="AF28" s="238">
        <f>'Cap Table'!AF43</f>
        <v>0</v>
      </c>
      <c r="AG28" s="239"/>
      <c r="AH28" s="272">
        <f t="shared" si="3"/>
        <v>0</v>
      </c>
      <c r="AI28" s="288">
        <f>'Cap Table'!AI43</f>
        <v>0</v>
      </c>
      <c r="AJ28" s="272">
        <f>'Cap Table'!AJ43</f>
        <v>0</v>
      </c>
      <c r="AK28" s="272">
        <f>'Cap Table'!AK43</f>
        <v>0</v>
      </c>
      <c r="AL28" s="288" t="e">
        <f>'Cap Table'!AL43</f>
        <v>#DIV/0!</v>
      </c>
      <c r="AM28" s="288" t="e">
        <f>'Cap Table'!AM43</f>
        <v>#DIV/0!</v>
      </c>
      <c r="AN28" s="238">
        <f>'Cap Table'!AN43</f>
        <v>0</v>
      </c>
      <c r="AO28" s="239"/>
      <c r="AP28" s="272">
        <f t="shared" si="4"/>
        <v>0</v>
      </c>
      <c r="AQ28" s="288">
        <f>'Cap Table'!AQ43</f>
        <v>0</v>
      </c>
      <c r="AR28" s="272">
        <f>'Cap Table'!AR43</f>
        <v>0</v>
      </c>
      <c r="AS28" s="272">
        <f>'Cap Table'!AS43</f>
        <v>0</v>
      </c>
      <c r="AT28" s="288" t="e">
        <f>'Cap Table'!AT43</f>
        <v>#DIV/0!</v>
      </c>
      <c r="AU28" s="288" t="e">
        <f>'Cap Table'!AU43</f>
        <v>#DIV/0!</v>
      </c>
      <c r="AV28" s="238">
        <f>'Cap Table'!AV43</f>
        <v>0</v>
      </c>
      <c r="AW28" s="239"/>
      <c r="AX28" s="272">
        <f t="shared" si="5"/>
        <v>0</v>
      </c>
      <c r="AY28" s="288">
        <f>'Cap Table'!AY43</f>
        <v>0</v>
      </c>
      <c r="AZ28" s="272">
        <f>'Cap Table'!AZ43</f>
        <v>0</v>
      </c>
      <c r="BA28" s="272">
        <f>'Cap Table'!BA43</f>
        <v>0</v>
      </c>
      <c r="BB28" s="288" t="e">
        <f>'Cap Table'!BB43</f>
        <v>#DIV/0!</v>
      </c>
      <c r="BC28" s="288" t="e">
        <f>'Cap Table'!BC43</f>
        <v>#DIV/0!</v>
      </c>
      <c r="BD28" s="238">
        <f>'Cap Table'!BD43</f>
        <v>0</v>
      </c>
      <c r="BE28" s="239"/>
      <c r="BF28" s="272">
        <f t="shared" si="6"/>
        <v>0</v>
      </c>
      <c r="BG28" s="288">
        <f>'Cap Table'!BG43</f>
        <v>0</v>
      </c>
      <c r="BH28" s="272">
        <f>'Cap Table'!BH43</f>
        <v>0</v>
      </c>
      <c r="BI28" s="272">
        <f>'Cap Table'!BI43</f>
        <v>0</v>
      </c>
      <c r="BJ28" s="288" t="e">
        <f>'Cap Table'!BJ43</f>
        <v>#DIV/0!</v>
      </c>
      <c r="BK28" s="288" t="e">
        <f>'Cap Table'!BK43</f>
        <v>#DIV/0!</v>
      </c>
      <c r="BL28" s="238">
        <f>'Cap Table'!BL43</f>
        <v>0</v>
      </c>
      <c r="BM28" s="239"/>
      <c r="BN28" s="272">
        <f t="shared" si="7"/>
        <v>0</v>
      </c>
      <c r="BO28" s="288">
        <f>'Cap Table'!BO43</f>
        <v>0</v>
      </c>
      <c r="BP28" s="272">
        <f>'Cap Table'!BP43</f>
        <v>0</v>
      </c>
      <c r="BQ28" s="272">
        <f>'Cap Table'!BQ43</f>
        <v>0</v>
      </c>
      <c r="BR28" s="288" t="e">
        <f>'Cap Table'!BR43</f>
        <v>#DIV/0!</v>
      </c>
      <c r="BS28" s="288" t="e">
        <f>'Cap Table'!BS43</f>
        <v>#DIV/0!</v>
      </c>
      <c r="BT28" s="238">
        <f>'Cap Table'!BT43</f>
        <v>0</v>
      </c>
      <c r="BU28" s="239"/>
      <c r="BV28" s="272">
        <f t="shared" si="8"/>
        <v>0</v>
      </c>
      <c r="BW28" s="288">
        <f>'Cap Table'!BW43</f>
        <v>0</v>
      </c>
      <c r="BX28" s="272">
        <f>'Cap Table'!BX43</f>
        <v>0</v>
      </c>
      <c r="BY28" s="272">
        <f>'Cap Table'!BY43</f>
        <v>0</v>
      </c>
      <c r="BZ28" s="288" t="e">
        <f>'Cap Table'!BZ43</f>
        <v>#DIV/0!</v>
      </c>
      <c r="CA28" s="288" t="e">
        <f>'Cap Table'!CA43</f>
        <v>#DIV/0!</v>
      </c>
      <c r="CB28" s="180">
        <f>'Cap Table'!CB43</f>
        <v>0</v>
      </c>
      <c r="CC28" s="272" t="e">
        <f t="shared" si="9"/>
        <v>#DIV/0!</v>
      </c>
      <c r="CD28" s="180"/>
      <c r="CE28" s="180"/>
    </row>
    <row r="29" spans="1:85" ht="15.75" customHeight="1" x14ac:dyDescent="0.35">
      <c r="A29" s="180"/>
      <c r="B29" s="180"/>
      <c r="D29" s="241" t="str">
        <f>'Cap Table'!D44</f>
        <v>Others 1</v>
      </c>
      <c r="E29" s="239">
        <f>'Cap Table'!E44</f>
        <v>0</v>
      </c>
      <c r="F29" s="239">
        <f>'Cap Table'!F44</f>
        <v>0</v>
      </c>
      <c r="G29" s="239">
        <f>'Cap Table'!G44</f>
        <v>0</v>
      </c>
      <c r="H29" s="238">
        <f>'Cap Table'!H44</f>
        <v>0</v>
      </c>
      <c r="I29" s="239"/>
      <c r="J29" s="272" t="e">
        <f t="shared" si="0"/>
        <v>#DIV/0!</v>
      </c>
      <c r="K29" s="288">
        <f>'Cap Table'!K44</f>
        <v>0</v>
      </c>
      <c r="L29" s="272">
        <f>'Cap Table'!L44</f>
        <v>0</v>
      </c>
      <c r="M29" s="272">
        <f>'Cap Table'!M44</f>
        <v>0</v>
      </c>
      <c r="N29" s="288" t="e">
        <f>'Cap Table'!N44</f>
        <v>#DIV/0!</v>
      </c>
      <c r="O29" s="288" t="e">
        <f>'Cap Table'!O44</f>
        <v>#DIV/0!</v>
      </c>
      <c r="P29" s="238">
        <f>'Cap Table'!P44</f>
        <v>0</v>
      </c>
      <c r="Q29" s="239"/>
      <c r="R29" s="272">
        <f t="shared" si="1"/>
        <v>0</v>
      </c>
      <c r="S29" s="288">
        <f>'Cap Table'!S44</f>
        <v>0</v>
      </c>
      <c r="T29" s="272">
        <f>'Cap Table'!T44</f>
        <v>0</v>
      </c>
      <c r="U29" s="272">
        <f>'Cap Table'!U44</f>
        <v>0</v>
      </c>
      <c r="V29" s="288" t="e">
        <f>'Cap Table'!V44</f>
        <v>#DIV/0!</v>
      </c>
      <c r="W29" s="288" t="e">
        <f>'Cap Table'!W44</f>
        <v>#DIV/0!</v>
      </c>
      <c r="X29" s="238">
        <f>'Cap Table'!X44</f>
        <v>0</v>
      </c>
      <c r="Y29" s="239"/>
      <c r="Z29" s="272">
        <f t="shared" si="2"/>
        <v>0</v>
      </c>
      <c r="AA29" s="288">
        <f>'Cap Table'!AA44</f>
        <v>0</v>
      </c>
      <c r="AB29" s="272">
        <f>'Cap Table'!AB44</f>
        <v>0</v>
      </c>
      <c r="AC29" s="272">
        <f>'Cap Table'!AC44</f>
        <v>0</v>
      </c>
      <c r="AD29" s="288" t="e">
        <f>'Cap Table'!AD44</f>
        <v>#DIV/0!</v>
      </c>
      <c r="AE29" s="288" t="e">
        <f>'Cap Table'!AE44</f>
        <v>#DIV/0!</v>
      </c>
      <c r="AF29" s="238">
        <f>'Cap Table'!AF44</f>
        <v>0</v>
      </c>
      <c r="AG29" s="239"/>
      <c r="AH29" s="272">
        <f t="shared" si="3"/>
        <v>0</v>
      </c>
      <c r="AI29" s="288">
        <f>'Cap Table'!AI44</f>
        <v>0</v>
      </c>
      <c r="AJ29" s="272">
        <f>'Cap Table'!AJ44</f>
        <v>0</v>
      </c>
      <c r="AK29" s="272">
        <f>'Cap Table'!AK44</f>
        <v>0</v>
      </c>
      <c r="AL29" s="288" t="e">
        <f>'Cap Table'!AL44</f>
        <v>#DIV/0!</v>
      </c>
      <c r="AM29" s="288" t="e">
        <f>'Cap Table'!AM44</f>
        <v>#DIV/0!</v>
      </c>
      <c r="AN29" s="238">
        <f>'Cap Table'!AN44</f>
        <v>0</v>
      </c>
      <c r="AO29" s="239"/>
      <c r="AP29" s="272">
        <f t="shared" si="4"/>
        <v>0</v>
      </c>
      <c r="AQ29" s="288">
        <f>'Cap Table'!AQ44</f>
        <v>0</v>
      </c>
      <c r="AR29" s="272">
        <f>'Cap Table'!AR44</f>
        <v>0</v>
      </c>
      <c r="AS29" s="272">
        <f>'Cap Table'!AS44</f>
        <v>0</v>
      </c>
      <c r="AT29" s="288" t="e">
        <f>'Cap Table'!AT44</f>
        <v>#DIV/0!</v>
      </c>
      <c r="AU29" s="288" t="e">
        <f>'Cap Table'!AU44</f>
        <v>#DIV/0!</v>
      </c>
      <c r="AV29" s="238">
        <f>'Cap Table'!AV44</f>
        <v>0</v>
      </c>
      <c r="AW29" s="239"/>
      <c r="AX29" s="272">
        <f t="shared" si="5"/>
        <v>0</v>
      </c>
      <c r="AY29" s="288">
        <f>'Cap Table'!AY44</f>
        <v>0</v>
      </c>
      <c r="AZ29" s="272">
        <f>'Cap Table'!AZ44</f>
        <v>0</v>
      </c>
      <c r="BA29" s="272">
        <f>'Cap Table'!BA44</f>
        <v>0</v>
      </c>
      <c r="BB29" s="288" t="e">
        <f>'Cap Table'!BB44</f>
        <v>#DIV/0!</v>
      </c>
      <c r="BC29" s="288" t="e">
        <f>'Cap Table'!BC44</f>
        <v>#DIV/0!</v>
      </c>
      <c r="BD29" s="238">
        <f>'Cap Table'!BD44</f>
        <v>0</v>
      </c>
      <c r="BE29" s="239"/>
      <c r="BF29" s="272">
        <f t="shared" si="6"/>
        <v>0</v>
      </c>
      <c r="BG29" s="288">
        <f>'Cap Table'!BG44</f>
        <v>0</v>
      </c>
      <c r="BH29" s="272">
        <f>'Cap Table'!BH44</f>
        <v>0</v>
      </c>
      <c r="BI29" s="272">
        <f>'Cap Table'!BI44</f>
        <v>0</v>
      </c>
      <c r="BJ29" s="288" t="e">
        <f>'Cap Table'!BJ44</f>
        <v>#DIV/0!</v>
      </c>
      <c r="BK29" s="288" t="e">
        <f>'Cap Table'!BK44</f>
        <v>#DIV/0!</v>
      </c>
      <c r="BL29" s="238">
        <f>'Cap Table'!BL44</f>
        <v>0</v>
      </c>
      <c r="BM29" s="239"/>
      <c r="BN29" s="272">
        <f t="shared" si="7"/>
        <v>0</v>
      </c>
      <c r="BO29" s="288">
        <f>'Cap Table'!BO44</f>
        <v>0</v>
      </c>
      <c r="BP29" s="272">
        <f>'Cap Table'!BP44</f>
        <v>0</v>
      </c>
      <c r="BQ29" s="272">
        <f>'Cap Table'!BQ44</f>
        <v>0</v>
      </c>
      <c r="BR29" s="288" t="e">
        <f>'Cap Table'!BR44</f>
        <v>#DIV/0!</v>
      </c>
      <c r="BS29" s="288" t="e">
        <f>'Cap Table'!BS44</f>
        <v>#DIV/0!</v>
      </c>
      <c r="BT29" s="238">
        <f>'Cap Table'!BT44</f>
        <v>0</v>
      </c>
      <c r="BU29" s="239"/>
      <c r="BV29" s="272">
        <f t="shared" si="8"/>
        <v>0</v>
      </c>
      <c r="BW29" s="288">
        <f>'Cap Table'!BW44</f>
        <v>0</v>
      </c>
      <c r="BX29" s="272">
        <f>'Cap Table'!BX44</f>
        <v>0</v>
      </c>
      <c r="BY29" s="272">
        <f>'Cap Table'!BY44</f>
        <v>0</v>
      </c>
      <c r="BZ29" s="288" t="e">
        <f>'Cap Table'!BZ44</f>
        <v>#DIV/0!</v>
      </c>
      <c r="CA29" s="288" t="e">
        <f>'Cap Table'!CA44</f>
        <v>#DIV/0!</v>
      </c>
      <c r="CB29" s="180">
        <f>'Cap Table'!CB44</f>
        <v>0</v>
      </c>
      <c r="CC29" s="272" t="e">
        <f t="shared" si="9"/>
        <v>#DIV/0!</v>
      </c>
      <c r="CD29" s="180"/>
      <c r="CE29" s="180"/>
    </row>
    <row r="30" spans="1:85" ht="15.75" customHeight="1" x14ac:dyDescent="0.35">
      <c r="A30" s="180"/>
      <c r="B30" s="180"/>
      <c r="D30" s="241" t="str">
        <f>'Cap Table'!D45</f>
        <v>Others 2</v>
      </c>
      <c r="E30" s="239">
        <f>'Cap Table'!E45</f>
        <v>0</v>
      </c>
      <c r="F30" s="239">
        <f>'Cap Table'!F45</f>
        <v>0</v>
      </c>
      <c r="G30" s="239">
        <f>'Cap Table'!G45</f>
        <v>0</v>
      </c>
      <c r="H30" s="238">
        <f>'Cap Table'!H45</f>
        <v>0</v>
      </c>
      <c r="I30" s="239"/>
      <c r="J30" s="272" t="e">
        <f t="shared" si="0"/>
        <v>#DIV/0!</v>
      </c>
      <c r="K30" s="288">
        <f>'Cap Table'!K45</f>
        <v>0</v>
      </c>
      <c r="L30" s="272">
        <f>'Cap Table'!L45</f>
        <v>0</v>
      </c>
      <c r="M30" s="272">
        <f>'Cap Table'!M45</f>
        <v>0</v>
      </c>
      <c r="N30" s="288" t="e">
        <f>'Cap Table'!N45</f>
        <v>#DIV/0!</v>
      </c>
      <c r="O30" s="288" t="e">
        <f>'Cap Table'!O45</f>
        <v>#DIV/0!</v>
      </c>
      <c r="P30" s="238">
        <f>'Cap Table'!P45</f>
        <v>0</v>
      </c>
      <c r="Q30" s="239"/>
      <c r="R30" s="272">
        <f t="shared" si="1"/>
        <v>0</v>
      </c>
      <c r="S30" s="288">
        <f>'Cap Table'!S45</f>
        <v>0</v>
      </c>
      <c r="T30" s="272">
        <f>'Cap Table'!T45</f>
        <v>0</v>
      </c>
      <c r="U30" s="272">
        <f>'Cap Table'!U45</f>
        <v>0</v>
      </c>
      <c r="V30" s="288" t="e">
        <f>'Cap Table'!V45</f>
        <v>#DIV/0!</v>
      </c>
      <c r="W30" s="288" t="e">
        <f>'Cap Table'!W45</f>
        <v>#DIV/0!</v>
      </c>
      <c r="X30" s="238">
        <f>'Cap Table'!X45</f>
        <v>0</v>
      </c>
      <c r="Y30" s="239"/>
      <c r="Z30" s="272">
        <f t="shared" si="2"/>
        <v>0</v>
      </c>
      <c r="AA30" s="288">
        <f>'Cap Table'!AA45</f>
        <v>0</v>
      </c>
      <c r="AB30" s="272">
        <f>'Cap Table'!AB45</f>
        <v>0</v>
      </c>
      <c r="AC30" s="272">
        <f>'Cap Table'!AC45</f>
        <v>0</v>
      </c>
      <c r="AD30" s="288" t="e">
        <f>'Cap Table'!AD45</f>
        <v>#DIV/0!</v>
      </c>
      <c r="AE30" s="288" t="e">
        <f>'Cap Table'!AE45</f>
        <v>#DIV/0!</v>
      </c>
      <c r="AF30" s="238">
        <f>'Cap Table'!AF45</f>
        <v>0</v>
      </c>
      <c r="AG30" s="239"/>
      <c r="AH30" s="272">
        <f t="shared" si="3"/>
        <v>0</v>
      </c>
      <c r="AI30" s="288">
        <f>'Cap Table'!AI45</f>
        <v>0</v>
      </c>
      <c r="AJ30" s="272">
        <f>'Cap Table'!AJ45</f>
        <v>0</v>
      </c>
      <c r="AK30" s="272">
        <f>'Cap Table'!AK45</f>
        <v>0</v>
      </c>
      <c r="AL30" s="288" t="e">
        <f>'Cap Table'!AL45</f>
        <v>#DIV/0!</v>
      </c>
      <c r="AM30" s="288" t="e">
        <f>'Cap Table'!AM45</f>
        <v>#DIV/0!</v>
      </c>
      <c r="AN30" s="238">
        <f>'Cap Table'!AN45</f>
        <v>0</v>
      </c>
      <c r="AO30" s="239"/>
      <c r="AP30" s="272">
        <f t="shared" si="4"/>
        <v>0</v>
      </c>
      <c r="AQ30" s="288">
        <f>'Cap Table'!AQ45</f>
        <v>0</v>
      </c>
      <c r="AR30" s="272">
        <f>'Cap Table'!AR45</f>
        <v>0</v>
      </c>
      <c r="AS30" s="272">
        <f>'Cap Table'!AS45</f>
        <v>0</v>
      </c>
      <c r="AT30" s="288" t="e">
        <f>'Cap Table'!AT45</f>
        <v>#DIV/0!</v>
      </c>
      <c r="AU30" s="288" t="e">
        <f>'Cap Table'!AU45</f>
        <v>#DIV/0!</v>
      </c>
      <c r="AV30" s="238">
        <f>'Cap Table'!AV45</f>
        <v>0</v>
      </c>
      <c r="AW30" s="239"/>
      <c r="AX30" s="272">
        <f t="shared" si="5"/>
        <v>0</v>
      </c>
      <c r="AY30" s="288">
        <f>'Cap Table'!AY45</f>
        <v>0</v>
      </c>
      <c r="AZ30" s="272">
        <f>'Cap Table'!AZ45</f>
        <v>0</v>
      </c>
      <c r="BA30" s="272">
        <f>'Cap Table'!BA45</f>
        <v>0</v>
      </c>
      <c r="BB30" s="288" t="e">
        <f>'Cap Table'!BB45</f>
        <v>#DIV/0!</v>
      </c>
      <c r="BC30" s="288" t="e">
        <f>'Cap Table'!BC45</f>
        <v>#DIV/0!</v>
      </c>
      <c r="BD30" s="238">
        <f>'Cap Table'!BD45</f>
        <v>0</v>
      </c>
      <c r="BE30" s="239"/>
      <c r="BF30" s="272">
        <f t="shared" si="6"/>
        <v>0</v>
      </c>
      <c r="BG30" s="288">
        <f>'Cap Table'!BG45</f>
        <v>0</v>
      </c>
      <c r="BH30" s="272">
        <f>'Cap Table'!BH45</f>
        <v>0</v>
      </c>
      <c r="BI30" s="272">
        <f>'Cap Table'!BI45</f>
        <v>0</v>
      </c>
      <c r="BJ30" s="288" t="e">
        <f>'Cap Table'!BJ45</f>
        <v>#DIV/0!</v>
      </c>
      <c r="BK30" s="288" t="e">
        <f>'Cap Table'!BK45</f>
        <v>#DIV/0!</v>
      </c>
      <c r="BL30" s="238">
        <f>'Cap Table'!BL45</f>
        <v>0</v>
      </c>
      <c r="BM30" s="239"/>
      <c r="BN30" s="272">
        <f t="shared" si="7"/>
        <v>0</v>
      </c>
      <c r="BO30" s="288">
        <f>'Cap Table'!BO45</f>
        <v>0</v>
      </c>
      <c r="BP30" s="272">
        <f>'Cap Table'!BP45</f>
        <v>0</v>
      </c>
      <c r="BQ30" s="272">
        <f>'Cap Table'!BQ45</f>
        <v>0</v>
      </c>
      <c r="BR30" s="288" t="e">
        <f>'Cap Table'!BR45</f>
        <v>#DIV/0!</v>
      </c>
      <c r="BS30" s="288" t="e">
        <f>'Cap Table'!BS45</f>
        <v>#DIV/0!</v>
      </c>
      <c r="BT30" s="238">
        <f>'Cap Table'!BT45</f>
        <v>0</v>
      </c>
      <c r="BU30" s="239"/>
      <c r="BV30" s="272">
        <f t="shared" si="8"/>
        <v>0</v>
      </c>
      <c r="BW30" s="288">
        <f>'Cap Table'!BW45</f>
        <v>0</v>
      </c>
      <c r="BX30" s="272">
        <f>'Cap Table'!BX45</f>
        <v>0</v>
      </c>
      <c r="BY30" s="272">
        <f>'Cap Table'!BY45</f>
        <v>0</v>
      </c>
      <c r="BZ30" s="288" t="e">
        <f>'Cap Table'!BZ45</f>
        <v>#DIV/0!</v>
      </c>
      <c r="CA30" s="288" t="e">
        <f>'Cap Table'!CA45</f>
        <v>#DIV/0!</v>
      </c>
      <c r="CB30" s="180">
        <f>'Cap Table'!CB45</f>
        <v>0</v>
      </c>
      <c r="CC30" s="272" t="e">
        <f t="shared" si="9"/>
        <v>#DIV/0!</v>
      </c>
      <c r="CD30" s="180"/>
      <c r="CE30" s="180"/>
    </row>
    <row r="31" spans="1:85" ht="15.75" customHeight="1" x14ac:dyDescent="0.35">
      <c r="A31" s="180"/>
      <c r="B31" s="180"/>
      <c r="D31" s="241" t="str">
        <f>'Cap Table'!D46</f>
        <v>Others 3</v>
      </c>
      <c r="E31" s="239">
        <f>'Cap Table'!E46</f>
        <v>0</v>
      </c>
      <c r="F31" s="239">
        <f>'Cap Table'!F46</f>
        <v>0</v>
      </c>
      <c r="G31" s="239">
        <f>'Cap Table'!G46</f>
        <v>0</v>
      </c>
      <c r="H31" s="238">
        <f>'Cap Table'!H46</f>
        <v>0</v>
      </c>
      <c r="I31" s="239"/>
      <c r="J31" s="272" t="e">
        <f t="shared" si="0"/>
        <v>#DIV/0!</v>
      </c>
      <c r="K31" s="288">
        <f>'Cap Table'!K46</f>
        <v>0</v>
      </c>
      <c r="L31" s="272">
        <f>'Cap Table'!L46</f>
        <v>0</v>
      </c>
      <c r="M31" s="272">
        <f>'Cap Table'!M46</f>
        <v>0</v>
      </c>
      <c r="N31" s="288" t="e">
        <f>'Cap Table'!N46</f>
        <v>#DIV/0!</v>
      </c>
      <c r="O31" s="288" t="e">
        <f>'Cap Table'!O46</f>
        <v>#DIV/0!</v>
      </c>
      <c r="P31" s="238">
        <f>'Cap Table'!P46</f>
        <v>0</v>
      </c>
      <c r="Q31" s="239"/>
      <c r="R31" s="272">
        <f t="shared" si="1"/>
        <v>0</v>
      </c>
      <c r="S31" s="288">
        <f>'Cap Table'!S46</f>
        <v>0</v>
      </c>
      <c r="T31" s="272">
        <f>'Cap Table'!T46</f>
        <v>0</v>
      </c>
      <c r="U31" s="272">
        <f>'Cap Table'!U46</f>
        <v>0</v>
      </c>
      <c r="V31" s="288" t="e">
        <f>'Cap Table'!V46</f>
        <v>#DIV/0!</v>
      </c>
      <c r="W31" s="288" t="e">
        <f>'Cap Table'!W46</f>
        <v>#DIV/0!</v>
      </c>
      <c r="X31" s="238">
        <f>'Cap Table'!X46</f>
        <v>0</v>
      </c>
      <c r="Y31" s="239"/>
      <c r="Z31" s="272">
        <f t="shared" si="2"/>
        <v>0</v>
      </c>
      <c r="AA31" s="288">
        <f>'Cap Table'!AA46</f>
        <v>0</v>
      </c>
      <c r="AB31" s="272">
        <f>'Cap Table'!AB46</f>
        <v>0</v>
      </c>
      <c r="AC31" s="272">
        <f>'Cap Table'!AC46</f>
        <v>0</v>
      </c>
      <c r="AD31" s="288" t="e">
        <f>'Cap Table'!AD46</f>
        <v>#DIV/0!</v>
      </c>
      <c r="AE31" s="288" t="e">
        <f>'Cap Table'!AE46</f>
        <v>#DIV/0!</v>
      </c>
      <c r="AF31" s="238">
        <f>'Cap Table'!AF46</f>
        <v>0</v>
      </c>
      <c r="AG31" s="239"/>
      <c r="AH31" s="272">
        <f t="shared" si="3"/>
        <v>0</v>
      </c>
      <c r="AI31" s="288">
        <f>'Cap Table'!AI46</f>
        <v>0</v>
      </c>
      <c r="AJ31" s="272">
        <f>'Cap Table'!AJ46</f>
        <v>0</v>
      </c>
      <c r="AK31" s="272">
        <f>'Cap Table'!AK46</f>
        <v>0</v>
      </c>
      <c r="AL31" s="288" t="e">
        <f>'Cap Table'!AL46</f>
        <v>#DIV/0!</v>
      </c>
      <c r="AM31" s="288" t="e">
        <f>'Cap Table'!AM46</f>
        <v>#DIV/0!</v>
      </c>
      <c r="AN31" s="238">
        <f>'Cap Table'!AN46</f>
        <v>0</v>
      </c>
      <c r="AO31" s="239"/>
      <c r="AP31" s="272">
        <f t="shared" si="4"/>
        <v>0</v>
      </c>
      <c r="AQ31" s="288">
        <f>'Cap Table'!AQ46</f>
        <v>0</v>
      </c>
      <c r="AR31" s="272">
        <f>'Cap Table'!AR46</f>
        <v>0</v>
      </c>
      <c r="AS31" s="272">
        <f>'Cap Table'!AS46</f>
        <v>0</v>
      </c>
      <c r="AT31" s="288" t="e">
        <f>'Cap Table'!AT46</f>
        <v>#DIV/0!</v>
      </c>
      <c r="AU31" s="288" t="e">
        <f>'Cap Table'!AU46</f>
        <v>#DIV/0!</v>
      </c>
      <c r="AV31" s="238">
        <f>'Cap Table'!AV46</f>
        <v>0</v>
      </c>
      <c r="AW31" s="239"/>
      <c r="AX31" s="272">
        <f t="shared" si="5"/>
        <v>0</v>
      </c>
      <c r="AY31" s="288">
        <f>'Cap Table'!AY46</f>
        <v>0</v>
      </c>
      <c r="AZ31" s="272">
        <f>'Cap Table'!AZ46</f>
        <v>0</v>
      </c>
      <c r="BA31" s="272">
        <f>'Cap Table'!BA46</f>
        <v>0</v>
      </c>
      <c r="BB31" s="288" t="e">
        <f>'Cap Table'!BB46</f>
        <v>#DIV/0!</v>
      </c>
      <c r="BC31" s="288" t="e">
        <f>'Cap Table'!BC46</f>
        <v>#DIV/0!</v>
      </c>
      <c r="BD31" s="238">
        <f>'Cap Table'!BD46</f>
        <v>0</v>
      </c>
      <c r="BE31" s="239"/>
      <c r="BF31" s="272">
        <f t="shared" si="6"/>
        <v>0</v>
      </c>
      <c r="BG31" s="288">
        <f>'Cap Table'!BG46</f>
        <v>0</v>
      </c>
      <c r="BH31" s="272">
        <f>'Cap Table'!BH46</f>
        <v>0</v>
      </c>
      <c r="BI31" s="272">
        <f>'Cap Table'!BI46</f>
        <v>0</v>
      </c>
      <c r="BJ31" s="288" t="e">
        <f>'Cap Table'!BJ46</f>
        <v>#DIV/0!</v>
      </c>
      <c r="BK31" s="288" t="e">
        <f>'Cap Table'!BK46</f>
        <v>#DIV/0!</v>
      </c>
      <c r="BL31" s="238">
        <f>'Cap Table'!BL46</f>
        <v>0</v>
      </c>
      <c r="BM31" s="239"/>
      <c r="BN31" s="272">
        <f t="shared" si="7"/>
        <v>0</v>
      </c>
      <c r="BO31" s="288">
        <f>'Cap Table'!BO46</f>
        <v>0</v>
      </c>
      <c r="BP31" s="272">
        <f>'Cap Table'!BP46</f>
        <v>0</v>
      </c>
      <c r="BQ31" s="272">
        <f>'Cap Table'!BQ46</f>
        <v>0</v>
      </c>
      <c r="BR31" s="288" t="e">
        <f>'Cap Table'!BR46</f>
        <v>#DIV/0!</v>
      </c>
      <c r="BS31" s="288" t="e">
        <f>'Cap Table'!BS46</f>
        <v>#DIV/0!</v>
      </c>
      <c r="BT31" s="238">
        <f>'Cap Table'!BT46</f>
        <v>0</v>
      </c>
      <c r="BU31" s="239"/>
      <c r="BV31" s="272">
        <f t="shared" si="8"/>
        <v>0</v>
      </c>
      <c r="BW31" s="288">
        <f>'Cap Table'!BW46</f>
        <v>0</v>
      </c>
      <c r="BX31" s="272">
        <f>'Cap Table'!BX46</f>
        <v>0</v>
      </c>
      <c r="BY31" s="272">
        <f>'Cap Table'!BY46</f>
        <v>0</v>
      </c>
      <c r="BZ31" s="288" t="e">
        <f>'Cap Table'!BZ46</f>
        <v>#DIV/0!</v>
      </c>
      <c r="CA31" s="288" t="e">
        <f>'Cap Table'!CA46</f>
        <v>#DIV/0!</v>
      </c>
      <c r="CB31" s="180">
        <f>'Cap Table'!CB46</f>
        <v>0</v>
      </c>
      <c r="CC31" s="272" t="e">
        <f t="shared" si="9"/>
        <v>#DIV/0!</v>
      </c>
      <c r="CD31" s="180"/>
      <c r="CE31" s="180"/>
    </row>
    <row r="32" spans="1:85" ht="15.75" customHeight="1" x14ac:dyDescent="0.35">
      <c r="A32" s="180"/>
      <c r="B32" s="180"/>
      <c r="D32" s="241" t="str">
        <f>'Cap Table'!D47</f>
        <v>Others 4</v>
      </c>
      <c r="E32" s="239">
        <f>'Cap Table'!E47</f>
        <v>0</v>
      </c>
      <c r="F32" s="239">
        <f>'Cap Table'!F47</f>
        <v>0</v>
      </c>
      <c r="G32" s="239">
        <f>'Cap Table'!G47</f>
        <v>0</v>
      </c>
      <c r="H32" s="238">
        <f>'Cap Table'!H47</f>
        <v>0</v>
      </c>
      <c r="I32" s="239"/>
      <c r="J32" s="272" t="e">
        <f t="shared" si="0"/>
        <v>#DIV/0!</v>
      </c>
      <c r="K32" s="288">
        <f>'Cap Table'!K47</f>
        <v>0</v>
      </c>
      <c r="L32" s="272">
        <f>'Cap Table'!L47</f>
        <v>0</v>
      </c>
      <c r="M32" s="272">
        <f>'Cap Table'!M47</f>
        <v>0</v>
      </c>
      <c r="N32" s="288" t="e">
        <f>'Cap Table'!N47</f>
        <v>#DIV/0!</v>
      </c>
      <c r="O32" s="288" t="e">
        <f>'Cap Table'!O47</f>
        <v>#DIV/0!</v>
      </c>
      <c r="P32" s="238">
        <f>'Cap Table'!P47</f>
        <v>0</v>
      </c>
      <c r="Q32" s="239"/>
      <c r="R32" s="272">
        <f t="shared" si="1"/>
        <v>0</v>
      </c>
      <c r="S32" s="288">
        <f>'Cap Table'!S47</f>
        <v>0</v>
      </c>
      <c r="T32" s="272">
        <f>'Cap Table'!T47</f>
        <v>0</v>
      </c>
      <c r="U32" s="272">
        <f>'Cap Table'!U47</f>
        <v>0</v>
      </c>
      <c r="V32" s="288" t="e">
        <f>'Cap Table'!V47</f>
        <v>#DIV/0!</v>
      </c>
      <c r="W32" s="288" t="e">
        <f>'Cap Table'!W47</f>
        <v>#DIV/0!</v>
      </c>
      <c r="X32" s="238">
        <f>'Cap Table'!X47</f>
        <v>0</v>
      </c>
      <c r="Y32" s="239"/>
      <c r="Z32" s="272">
        <f t="shared" si="2"/>
        <v>0</v>
      </c>
      <c r="AA32" s="288">
        <f>'Cap Table'!AA47</f>
        <v>0</v>
      </c>
      <c r="AB32" s="272">
        <f>'Cap Table'!AB47</f>
        <v>0</v>
      </c>
      <c r="AC32" s="272">
        <f>'Cap Table'!AC47</f>
        <v>0</v>
      </c>
      <c r="AD32" s="288" t="e">
        <f>'Cap Table'!AD47</f>
        <v>#DIV/0!</v>
      </c>
      <c r="AE32" s="288" t="e">
        <f>'Cap Table'!AE47</f>
        <v>#DIV/0!</v>
      </c>
      <c r="AF32" s="238">
        <f>'Cap Table'!AF47</f>
        <v>0</v>
      </c>
      <c r="AG32" s="239"/>
      <c r="AH32" s="272">
        <f t="shared" si="3"/>
        <v>0</v>
      </c>
      <c r="AI32" s="288">
        <f>'Cap Table'!AI47</f>
        <v>0</v>
      </c>
      <c r="AJ32" s="272">
        <f>'Cap Table'!AJ47</f>
        <v>0</v>
      </c>
      <c r="AK32" s="272">
        <f>'Cap Table'!AK47</f>
        <v>0</v>
      </c>
      <c r="AL32" s="288" t="e">
        <f>'Cap Table'!AL47</f>
        <v>#DIV/0!</v>
      </c>
      <c r="AM32" s="288" t="e">
        <f>'Cap Table'!AM47</f>
        <v>#DIV/0!</v>
      </c>
      <c r="AN32" s="238">
        <f>'Cap Table'!AN47</f>
        <v>0</v>
      </c>
      <c r="AO32" s="239"/>
      <c r="AP32" s="272">
        <f t="shared" si="4"/>
        <v>0</v>
      </c>
      <c r="AQ32" s="288">
        <f>'Cap Table'!AQ47</f>
        <v>0</v>
      </c>
      <c r="AR32" s="272">
        <f>'Cap Table'!AR47</f>
        <v>0</v>
      </c>
      <c r="AS32" s="272">
        <f>'Cap Table'!AS47</f>
        <v>0</v>
      </c>
      <c r="AT32" s="288" t="e">
        <f>'Cap Table'!AT47</f>
        <v>#DIV/0!</v>
      </c>
      <c r="AU32" s="288" t="e">
        <f>'Cap Table'!AU47</f>
        <v>#DIV/0!</v>
      </c>
      <c r="AV32" s="238">
        <f>'Cap Table'!AV47</f>
        <v>0</v>
      </c>
      <c r="AW32" s="239"/>
      <c r="AX32" s="272">
        <f t="shared" si="5"/>
        <v>0</v>
      </c>
      <c r="AY32" s="288">
        <f>'Cap Table'!AY47</f>
        <v>0</v>
      </c>
      <c r="AZ32" s="272">
        <f>'Cap Table'!AZ47</f>
        <v>0</v>
      </c>
      <c r="BA32" s="272">
        <f>'Cap Table'!BA47</f>
        <v>0</v>
      </c>
      <c r="BB32" s="288" t="e">
        <f>'Cap Table'!BB47</f>
        <v>#DIV/0!</v>
      </c>
      <c r="BC32" s="288" t="e">
        <f>'Cap Table'!BC47</f>
        <v>#DIV/0!</v>
      </c>
      <c r="BD32" s="238">
        <f>'Cap Table'!BD47</f>
        <v>0</v>
      </c>
      <c r="BE32" s="239"/>
      <c r="BF32" s="272">
        <f t="shared" si="6"/>
        <v>0</v>
      </c>
      <c r="BG32" s="288">
        <f>'Cap Table'!BG47</f>
        <v>0</v>
      </c>
      <c r="BH32" s="272">
        <f>'Cap Table'!BH47</f>
        <v>0</v>
      </c>
      <c r="BI32" s="272">
        <f>'Cap Table'!BI47</f>
        <v>0</v>
      </c>
      <c r="BJ32" s="288" t="e">
        <f>'Cap Table'!BJ47</f>
        <v>#DIV/0!</v>
      </c>
      <c r="BK32" s="288" t="e">
        <f>'Cap Table'!BK47</f>
        <v>#DIV/0!</v>
      </c>
      <c r="BL32" s="238">
        <f>'Cap Table'!BL47</f>
        <v>0</v>
      </c>
      <c r="BM32" s="239"/>
      <c r="BN32" s="272">
        <f t="shared" si="7"/>
        <v>0</v>
      </c>
      <c r="BO32" s="288">
        <f>'Cap Table'!BO47</f>
        <v>0</v>
      </c>
      <c r="BP32" s="272">
        <f>'Cap Table'!BP47</f>
        <v>0</v>
      </c>
      <c r="BQ32" s="272">
        <f>'Cap Table'!BQ47</f>
        <v>0</v>
      </c>
      <c r="BR32" s="288" t="e">
        <f>'Cap Table'!BR47</f>
        <v>#DIV/0!</v>
      </c>
      <c r="BS32" s="288" t="e">
        <f>'Cap Table'!BS47</f>
        <v>#DIV/0!</v>
      </c>
      <c r="BT32" s="238">
        <f>'Cap Table'!BT47</f>
        <v>0</v>
      </c>
      <c r="BU32" s="239"/>
      <c r="BV32" s="272">
        <f t="shared" si="8"/>
        <v>0</v>
      </c>
      <c r="BW32" s="288">
        <f>'Cap Table'!BW47</f>
        <v>0</v>
      </c>
      <c r="BX32" s="272">
        <f>'Cap Table'!BX47</f>
        <v>0</v>
      </c>
      <c r="BY32" s="272">
        <f>'Cap Table'!BY47</f>
        <v>0</v>
      </c>
      <c r="BZ32" s="288" t="e">
        <f>'Cap Table'!BZ47</f>
        <v>#DIV/0!</v>
      </c>
      <c r="CA32" s="288" t="e">
        <f>'Cap Table'!CA47</f>
        <v>#DIV/0!</v>
      </c>
      <c r="CB32" s="180">
        <f>'Cap Table'!CB47</f>
        <v>0</v>
      </c>
      <c r="CC32" s="272" t="e">
        <f t="shared" si="9"/>
        <v>#DIV/0!</v>
      </c>
      <c r="CD32" s="180"/>
      <c r="CE32" s="180"/>
    </row>
    <row r="33" spans="1:83" ht="15.75" customHeight="1" x14ac:dyDescent="0.35">
      <c r="A33" s="180"/>
      <c r="B33" s="180"/>
      <c r="D33" s="241" t="str">
        <f>'Cap Table'!D48</f>
        <v>Others 1</v>
      </c>
      <c r="E33" s="239">
        <f>'Cap Table'!E48</f>
        <v>0</v>
      </c>
      <c r="F33" s="239">
        <f>'Cap Table'!F48</f>
        <v>0</v>
      </c>
      <c r="G33" s="239">
        <f>'Cap Table'!G48</f>
        <v>0</v>
      </c>
      <c r="H33" s="238">
        <f>'Cap Table'!H48</f>
        <v>0</v>
      </c>
      <c r="I33" s="239"/>
      <c r="J33" s="272" t="e">
        <f t="shared" si="0"/>
        <v>#DIV/0!</v>
      </c>
      <c r="K33" s="288">
        <f>'Cap Table'!K48</f>
        <v>0</v>
      </c>
      <c r="L33" s="272">
        <f>'Cap Table'!L48</f>
        <v>0</v>
      </c>
      <c r="M33" s="272">
        <f>'Cap Table'!M48</f>
        <v>0</v>
      </c>
      <c r="N33" s="288" t="e">
        <f>'Cap Table'!N48</f>
        <v>#DIV/0!</v>
      </c>
      <c r="O33" s="288" t="e">
        <f>'Cap Table'!O48</f>
        <v>#DIV/0!</v>
      </c>
      <c r="P33" s="238">
        <f>'Cap Table'!P48</f>
        <v>0</v>
      </c>
      <c r="Q33" s="239"/>
      <c r="R33" s="272">
        <f t="shared" si="1"/>
        <v>0</v>
      </c>
      <c r="S33" s="288">
        <f>'Cap Table'!S48</f>
        <v>0</v>
      </c>
      <c r="T33" s="272">
        <f>'Cap Table'!T48</f>
        <v>0</v>
      </c>
      <c r="U33" s="272">
        <f>'Cap Table'!U48</f>
        <v>0</v>
      </c>
      <c r="V33" s="288" t="e">
        <f>'Cap Table'!V48</f>
        <v>#DIV/0!</v>
      </c>
      <c r="W33" s="288" t="e">
        <f>'Cap Table'!W48</f>
        <v>#DIV/0!</v>
      </c>
      <c r="X33" s="238">
        <f>'Cap Table'!X48</f>
        <v>0</v>
      </c>
      <c r="Y33" s="239"/>
      <c r="Z33" s="272">
        <f t="shared" si="2"/>
        <v>0</v>
      </c>
      <c r="AA33" s="288">
        <f>'Cap Table'!AA48</f>
        <v>0</v>
      </c>
      <c r="AB33" s="272">
        <f>'Cap Table'!AB48</f>
        <v>0</v>
      </c>
      <c r="AC33" s="272">
        <f>'Cap Table'!AC48</f>
        <v>0</v>
      </c>
      <c r="AD33" s="288" t="e">
        <f>'Cap Table'!AD48</f>
        <v>#DIV/0!</v>
      </c>
      <c r="AE33" s="288" t="e">
        <f>'Cap Table'!AE48</f>
        <v>#DIV/0!</v>
      </c>
      <c r="AF33" s="238">
        <f>'Cap Table'!AF48</f>
        <v>0</v>
      </c>
      <c r="AG33" s="239"/>
      <c r="AH33" s="272">
        <f t="shared" si="3"/>
        <v>0</v>
      </c>
      <c r="AI33" s="288">
        <f>'Cap Table'!AI48</f>
        <v>0</v>
      </c>
      <c r="AJ33" s="272">
        <f>'Cap Table'!AJ48</f>
        <v>0</v>
      </c>
      <c r="AK33" s="272">
        <f>'Cap Table'!AK48</f>
        <v>0</v>
      </c>
      <c r="AL33" s="288" t="e">
        <f>'Cap Table'!AL48</f>
        <v>#DIV/0!</v>
      </c>
      <c r="AM33" s="288" t="e">
        <f>'Cap Table'!AM48</f>
        <v>#DIV/0!</v>
      </c>
      <c r="AN33" s="238">
        <f>'Cap Table'!AN48</f>
        <v>0</v>
      </c>
      <c r="AO33" s="239"/>
      <c r="AP33" s="272">
        <f t="shared" si="4"/>
        <v>0</v>
      </c>
      <c r="AQ33" s="288">
        <f>'Cap Table'!AQ48</f>
        <v>0</v>
      </c>
      <c r="AR33" s="272">
        <f>'Cap Table'!AR48</f>
        <v>0</v>
      </c>
      <c r="AS33" s="272">
        <f>'Cap Table'!AS48</f>
        <v>0</v>
      </c>
      <c r="AT33" s="288" t="e">
        <f>'Cap Table'!AT48</f>
        <v>#DIV/0!</v>
      </c>
      <c r="AU33" s="288" t="e">
        <f>'Cap Table'!AU48</f>
        <v>#DIV/0!</v>
      </c>
      <c r="AV33" s="238">
        <f>'Cap Table'!AV48</f>
        <v>0</v>
      </c>
      <c r="AW33" s="239"/>
      <c r="AX33" s="272">
        <f t="shared" si="5"/>
        <v>0</v>
      </c>
      <c r="AY33" s="288">
        <f>'Cap Table'!AY48</f>
        <v>0</v>
      </c>
      <c r="AZ33" s="272">
        <f>'Cap Table'!AZ48</f>
        <v>0</v>
      </c>
      <c r="BA33" s="272">
        <f>'Cap Table'!BA48</f>
        <v>0</v>
      </c>
      <c r="BB33" s="288" t="e">
        <f>'Cap Table'!BB48</f>
        <v>#DIV/0!</v>
      </c>
      <c r="BC33" s="288" t="e">
        <f>'Cap Table'!BC48</f>
        <v>#DIV/0!</v>
      </c>
      <c r="BD33" s="238">
        <f>'Cap Table'!BD48</f>
        <v>0</v>
      </c>
      <c r="BE33" s="239"/>
      <c r="BF33" s="272">
        <f t="shared" si="6"/>
        <v>0</v>
      </c>
      <c r="BG33" s="288">
        <f>'Cap Table'!BG48</f>
        <v>0</v>
      </c>
      <c r="BH33" s="272">
        <f>'Cap Table'!BH48</f>
        <v>0</v>
      </c>
      <c r="BI33" s="272">
        <f>'Cap Table'!BI48</f>
        <v>0</v>
      </c>
      <c r="BJ33" s="288" t="e">
        <f>'Cap Table'!BJ48</f>
        <v>#DIV/0!</v>
      </c>
      <c r="BK33" s="288" t="e">
        <f>'Cap Table'!BK48</f>
        <v>#DIV/0!</v>
      </c>
      <c r="BL33" s="238">
        <f>'Cap Table'!BL48</f>
        <v>0</v>
      </c>
      <c r="BM33" s="239"/>
      <c r="BN33" s="272">
        <f t="shared" si="7"/>
        <v>0</v>
      </c>
      <c r="BO33" s="288">
        <f>'Cap Table'!BO48</f>
        <v>0</v>
      </c>
      <c r="BP33" s="272">
        <f>'Cap Table'!BP48</f>
        <v>0</v>
      </c>
      <c r="BQ33" s="272">
        <f>'Cap Table'!BQ48</f>
        <v>0</v>
      </c>
      <c r="BR33" s="288" t="e">
        <f>'Cap Table'!BR48</f>
        <v>#DIV/0!</v>
      </c>
      <c r="BS33" s="288" t="e">
        <f>'Cap Table'!BS48</f>
        <v>#DIV/0!</v>
      </c>
      <c r="BT33" s="238">
        <f>'Cap Table'!BT48</f>
        <v>0</v>
      </c>
      <c r="BU33" s="239"/>
      <c r="BV33" s="272">
        <f t="shared" si="8"/>
        <v>0</v>
      </c>
      <c r="BW33" s="288">
        <f>'Cap Table'!BW48</f>
        <v>0</v>
      </c>
      <c r="BX33" s="272">
        <f>'Cap Table'!BX48</f>
        <v>0</v>
      </c>
      <c r="BY33" s="272">
        <f>'Cap Table'!BY48</f>
        <v>0</v>
      </c>
      <c r="BZ33" s="288" t="e">
        <f>'Cap Table'!BZ48</f>
        <v>#DIV/0!</v>
      </c>
      <c r="CA33" s="288" t="e">
        <f>'Cap Table'!CA48</f>
        <v>#DIV/0!</v>
      </c>
      <c r="CB33" s="180">
        <f>'Cap Table'!CB48</f>
        <v>0</v>
      </c>
      <c r="CC33" s="272" t="e">
        <f t="shared" si="9"/>
        <v>#DIV/0!</v>
      </c>
      <c r="CD33" s="180"/>
      <c r="CE33" s="180"/>
    </row>
    <row r="34" spans="1:83" ht="15.75" customHeight="1" x14ac:dyDescent="0.35">
      <c r="A34" s="180"/>
      <c r="B34" s="180"/>
      <c r="D34" s="241">
        <f>'Cap Table'!D49</f>
        <v>0</v>
      </c>
      <c r="E34" s="239">
        <f>'Cap Table'!E49</f>
        <v>0</v>
      </c>
      <c r="F34" s="239">
        <f>'Cap Table'!F49</f>
        <v>0</v>
      </c>
      <c r="G34" s="239">
        <f>'Cap Table'!G49</f>
        <v>0</v>
      </c>
      <c r="H34" s="238">
        <f>'Cap Table'!H49</f>
        <v>0</v>
      </c>
      <c r="I34" s="239"/>
      <c r="J34" s="272" t="e">
        <f t="shared" si="0"/>
        <v>#DIV/0!</v>
      </c>
      <c r="K34" s="288">
        <f>'Cap Table'!K49</f>
        <v>0</v>
      </c>
      <c r="L34" s="272">
        <f>'Cap Table'!L49</f>
        <v>0</v>
      </c>
      <c r="M34" s="272">
        <f>'Cap Table'!M49</f>
        <v>0</v>
      </c>
      <c r="N34" s="288" t="e">
        <f>'Cap Table'!N49</f>
        <v>#DIV/0!</v>
      </c>
      <c r="O34" s="288" t="e">
        <f>'Cap Table'!O49</f>
        <v>#DIV/0!</v>
      </c>
      <c r="P34" s="238">
        <f>'Cap Table'!P49</f>
        <v>0</v>
      </c>
      <c r="Q34" s="239"/>
      <c r="R34" s="272">
        <f t="shared" si="1"/>
        <v>0</v>
      </c>
      <c r="S34" s="288">
        <f>'Cap Table'!S49</f>
        <v>0</v>
      </c>
      <c r="T34" s="272">
        <f>'Cap Table'!T49</f>
        <v>0</v>
      </c>
      <c r="U34" s="272">
        <f>'Cap Table'!U49</f>
        <v>0</v>
      </c>
      <c r="V34" s="288" t="e">
        <f>'Cap Table'!V49</f>
        <v>#DIV/0!</v>
      </c>
      <c r="W34" s="288" t="e">
        <f>'Cap Table'!W49</f>
        <v>#DIV/0!</v>
      </c>
      <c r="X34" s="238">
        <f>'Cap Table'!X49</f>
        <v>0</v>
      </c>
      <c r="Y34" s="239"/>
      <c r="Z34" s="272">
        <f t="shared" si="2"/>
        <v>0</v>
      </c>
      <c r="AA34" s="288">
        <f>'Cap Table'!AA49</f>
        <v>0</v>
      </c>
      <c r="AB34" s="272">
        <f>'Cap Table'!AB49</f>
        <v>0</v>
      </c>
      <c r="AC34" s="272">
        <f>'Cap Table'!AC49</f>
        <v>0</v>
      </c>
      <c r="AD34" s="288" t="e">
        <f>'Cap Table'!AD49</f>
        <v>#DIV/0!</v>
      </c>
      <c r="AE34" s="288" t="e">
        <f>'Cap Table'!AE49</f>
        <v>#DIV/0!</v>
      </c>
      <c r="AF34" s="238">
        <f>'Cap Table'!AF49</f>
        <v>0</v>
      </c>
      <c r="AG34" s="239"/>
      <c r="AH34" s="272">
        <f t="shared" si="3"/>
        <v>0</v>
      </c>
      <c r="AI34" s="288">
        <f>'Cap Table'!AI49</f>
        <v>0</v>
      </c>
      <c r="AJ34" s="272">
        <f>'Cap Table'!AJ49</f>
        <v>0</v>
      </c>
      <c r="AK34" s="272">
        <f>'Cap Table'!AK49</f>
        <v>0</v>
      </c>
      <c r="AL34" s="288" t="e">
        <f>'Cap Table'!AL49</f>
        <v>#DIV/0!</v>
      </c>
      <c r="AM34" s="288" t="e">
        <f>'Cap Table'!AM49</f>
        <v>#DIV/0!</v>
      </c>
      <c r="AN34" s="238">
        <f>'Cap Table'!AN49</f>
        <v>0</v>
      </c>
      <c r="AO34" s="239"/>
      <c r="AP34" s="272">
        <f t="shared" si="4"/>
        <v>0</v>
      </c>
      <c r="AQ34" s="288">
        <f>'Cap Table'!AQ49</f>
        <v>0</v>
      </c>
      <c r="AR34" s="272">
        <f>'Cap Table'!AR49</f>
        <v>0</v>
      </c>
      <c r="AS34" s="272">
        <f>'Cap Table'!AS49</f>
        <v>0</v>
      </c>
      <c r="AT34" s="288" t="e">
        <f>'Cap Table'!AT49</f>
        <v>#DIV/0!</v>
      </c>
      <c r="AU34" s="288" t="e">
        <f>'Cap Table'!AU49</f>
        <v>#DIV/0!</v>
      </c>
      <c r="AV34" s="238">
        <f>'Cap Table'!AV49</f>
        <v>0</v>
      </c>
      <c r="AW34" s="239"/>
      <c r="AX34" s="272">
        <f t="shared" si="5"/>
        <v>0</v>
      </c>
      <c r="AY34" s="288">
        <f>'Cap Table'!AY49</f>
        <v>0</v>
      </c>
      <c r="AZ34" s="272">
        <f>'Cap Table'!AZ49</f>
        <v>0</v>
      </c>
      <c r="BA34" s="272">
        <f>'Cap Table'!BA49</f>
        <v>0</v>
      </c>
      <c r="BB34" s="288" t="e">
        <f>'Cap Table'!BB49</f>
        <v>#DIV/0!</v>
      </c>
      <c r="BC34" s="288" t="e">
        <f>'Cap Table'!BC49</f>
        <v>#DIV/0!</v>
      </c>
      <c r="BD34" s="238">
        <f>'Cap Table'!BD49</f>
        <v>0</v>
      </c>
      <c r="BE34" s="239"/>
      <c r="BF34" s="272">
        <f t="shared" si="6"/>
        <v>0</v>
      </c>
      <c r="BG34" s="288">
        <f>'Cap Table'!BG49</f>
        <v>0</v>
      </c>
      <c r="BH34" s="272">
        <f>'Cap Table'!BH49</f>
        <v>0</v>
      </c>
      <c r="BI34" s="272">
        <f>'Cap Table'!BI49</f>
        <v>0</v>
      </c>
      <c r="BJ34" s="288" t="e">
        <f>'Cap Table'!BJ49</f>
        <v>#DIV/0!</v>
      </c>
      <c r="BK34" s="288" t="e">
        <f>'Cap Table'!BK49</f>
        <v>#DIV/0!</v>
      </c>
      <c r="BL34" s="238">
        <f>'Cap Table'!BL49</f>
        <v>0</v>
      </c>
      <c r="BM34" s="239"/>
      <c r="BN34" s="272">
        <f t="shared" si="7"/>
        <v>0</v>
      </c>
      <c r="BO34" s="288">
        <f>'Cap Table'!BO49</f>
        <v>0</v>
      </c>
      <c r="BP34" s="272">
        <f>'Cap Table'!BP49</f>
        <v>0</v>
      </c>
      <c r="BQ34" s="272">
        <f>'Cap Table'!BQ49</f>
        <v>0</v>
      </c>
      <c r="BR34" s="288" t="e">
        <f>'Cap Table'!BR49</f>
        <v>#DIV/0!</v>
      </c>
      <c r="BS34" s="288" t="e">
        <f>'Cap Table'!BS49</f>
        <v>#DIV/0!</v>
      </c>
      <c r="BT34" s="238">
        <f>'Cap Table'!BT49</f>
        <v>0</v>
      </c>
      <c r="BU34" s="239"/>
      <c r="BV34" s="272">
        <f t="shared" si="8"/>
        <v>0</v>
      </c>
      <c r="BW34" s="288">
        <f>'Cap Table'!BW49</f>
        <v>0</v>
      </c>
      <c r="BX34" s="272">
        <f>'Cap Table'!BX49</f>
        <v>0</v>
      </c>
      <c r="BY34" s="272">
        <f>'Cap Table'!BY49</f>
        <v>0</v>
      </c>
      <c r="BZ34" s="288" t="e">
        <f>'Cap Table'!BZ49</f>
        <v>#DIV/0!</v>
      </c>
      <c r="CA34" s="288" t="e">
        <f>'Cap Table'!CA49</f>
        <v>#DIV/0!</v>
      </c>
      <c r="CB34" s="180">
        <f>'Cap Table'!CB49</f>
        <v>0</v>
      </c>
      <c r="CC34" s="272" t="e">
        <f t="shared" si="9"/>
        <v>#DIV/0!</v>
      </c>
      <c r="CD34" s="180"/>
      <c r="CE34" s="180"/>
    </row>
    <row r="35" spans="1:83" s="181" customFormat="1" ht="7.5" customHeight="1" x14ac:dyDescent="0.35">
      <c r="A35" s="180"/>
      <c r="B35" s="180"/>
      <c r="C35" s="179"/>
      <c r="D35" s="180">
        <f>'Cap Table'!D50</f>
        <v>0</v>
      </c>
      <c r="E35" s="180">
        <f>'Cap Table'!E50</f>
        <v>0</v>
      </c>
      <c r="F35" s="180">
        <f>'Cap Table'!F50</f>
        <v>0</v>
      </c>
      <c r="G35" s="235">
        <f>'Cap Table'!G50</f>
        <v>0</v>
      </c>
      <c r="H35" s="180">
        <f>'Cap Table'!H50</f>
        <v>0</v>
      </c>
      <c r="I35" s="180">
        <f>'Cap Table'!I50</f>
        <v>0</v>
      </c>
      <c r="J35" s="765">
        <f>'Cap Table'!J50</f>
        <v>0</v>
      </c>
      <c r="K35" s="180">
        <f>'Cap Table'!K50</f>
        <v>0</v>
      </c>
      <c r="L35" s="180">
        <f>'Cap Table'!L50</f>
        <v>0</v>
      </c>
      <c r="M35" s="181">
        <f>'Cap Table'!M50</f>
        <v>0</v>
      </c>
      <c r="N35" s="180">
        <f>'Cap Table'!N50</f>
        <v>0</v>
      </c>
      <c r="O35" s="235">
        <f>'Cap Table'!O50</f>
        <v>0</v>
      </c>
      <c r="P35" s="180">
        <f>'Cap Table'!P50</f>
        <v>0</v>
      </c>
      <c r="Q35" s="180">
        <f>'Cap Table'!Q50</f>
        <v>0</v>
      </c>
      <c r="R35" s="765">
        <f>'Cap Table'!R50</f>
        <v>0</v>
      </c>
      <c r="S35" s="180">
        <f>'Cap Table'!S50</f>
        <v>0</v>
      </c>
      <c r="T35" s="180">
        <f>'Cap Table'!T50</f>
        <v>0</v>
      </c>
      <c r="U35" s="181">
        <f>'Cap Table'!U50</f>
        <v>0</v>
      </c>
      <c r="V35" s="180">
        <f>'Cap Table'!V50</f>
        <v>0</v>
      </c>
      <c r="W35" s="235">
        <f>'Cap Table'!W50</f>
        <v>0</v>
      </c>
      <c r="X35" s="180">
        <f>'Cap Table'!X50</f>
        <v>0</v>
      </c>
      <c r="Y35" s="180">
        <f>'Cap Table'!Y50</f>
        <v>0</v>
      </c>
      <c r="Z35" s="765">
        <f>'Cap Table'!Z50</f>
        <v>0</v>
      </c>
      <c r="AA35" s="180">
        <f>'Cap Table'!AA50</f>
        <v>0</v>
      </c>
      <c r="AB35" s="180">
        <f>'Cap Table'!AB50</f>
        <v>0</v>
      </c>
      <c r="AC35" s="181">
        <f>'Cap Table'!AC50</f>
        <v>0</v>
      </c>
      <c r="AD35" s="180">
        <f>'Cap Table'!AD50</f>
        <v>0</v>
      </c>
      <c r="AE35" s="235">
        <f>'Cap Table'!AE50</f>
        <v>0</v>
      </c>
      <c r="AF35" s="180">
        <f>'Cap Table'!AF50</f>
        <v>0</v>
      </c>
      <c r="AG35" s="180">
        <f>'Cap Table'!AG50</f>
        <v>0</v>
      </c>
      <c r="AH35" s="765">
        <f>'Cap Table'!AH50</f>
        <v>0</v>
      </c>
      <c r="AI35" s="180">
        <f>'Cap Table'!AI50</f>
        <v>0</v>
      </c>
      <c r="AJ35" s="180">
        <f>'Cap Table'!AJ50</f>
        <v>0</v>
      </c>
      <c r="AK35" s="181">
        <f>'Cap Table'!AK50</f>
        <v>0</v>
      </c>
      <c r="AL35" s="180">
        <f>'Cap Table'!AL50</f>
        <v>0</v>
      </c>
      <c r="AM35" s="235">
        <f>'Cap Table'!AM50</f>
        <v>0</v>
      </c>
      <c r="AN35" s="180">
        <f>'Cap Table'!AN50</f>
        <v>0</v>
      </c>
      <c r="AO35" s="180">
        <f>'Cap Table'!AO50</f>
        <v>0</v>
      </c>
      <c r="AP35" s="765">
        <f>'Cap Table'!AP50</f>
        <v>0</v>
      </c>
      <c r="AQ35" s="180">
        <f>'Cap Table'!AQ50</f>
        <v>0</v>
      </c>
      <c r="AR35" s="180">
        <f>'Cap Table'!AR50</f>
        <v>0</v>
      </c>
      <c r="AS35" s="181">
        <f>'Cap Table'!AS50</f>
        <v>0</v>
      </c>
      <c r="AT35" s="180">
        <f>'Cap Table'!AT50</f>
        <v>0</v>
      </c>
      <c r="AU35" s="235">
        <f>'Cap Table'!AU50</f>
        <v>0</v>
      </c>
      <c r="AV35" s="180">
        <f>'Cap Table'!AV50</f>
        <v>0</v>
      </c>
      <c r="AW35" s="180">
        <f>'Cap Table'!AW50</f>
        <v>0</v>
      </c>
      <c r="AX35" s="765">
        <f>'Cap Table'!AX50</f>
        <v>0</v>
      </c>
      <c r="AY35" s="180">
        <f>'Cap Table'!AY50</f>
        <v>0</v>
      </c>
      <c r="AZ35" s="180">
        <f>'Cap Table'!AZ50</f>
        <v>0</v>
      </c>
      <c r="BA35" s="181">
        <f>'Cap Table'!BA50</f>
        <v>0</v>
      </c>
      <c r="BB35" s="180">
        <f>'Cap Table'!BB50</f>
        <v>0</v>
      </c>
      <c r="BC35" s="235">
        <f>'Cap Table'!BC50</f>
        <v>0</v>
      </c>
      <c r="BD35" s="180">
        <f>'Cap Table'!BD50</f>
        <v>0</v>
      </c>
      <c r="BE35" s="180">
        <f>'Cap Table'!BE50</f>
        <v>0</v>
      </c>
      <c r="BF35" s="765">
        <f>'Cap Table'!BF50</f>
        <v>0</v>
      </c>
      <c r="BG35" s="180">
        <f>'Cap Table'!BG50</f>
        <v>0</v>
      </c>
      <c r="BH35" s="180">
        <f>'Cap Table'!BH50</f>
        <v>0</v>
      </c>
      <c r="BI35" s="181">
        <f>'Cap Table'!BI50</f>
        <v>0</v>
      </c>
      <c r="BJ35" s="180">
        <f>'Cap Table'!BJ50</f>
        <v>0</v>
      </c>
      <c r="BK35" s="235">
        <f>'Cap Table'!BK50</f>
        <v>0</v>
      </c>
      <c r="BL35" s="180">
        <f>'Cap Table'!BL50</f>
        <v>0</v>
      </c>
      <c r="BM35" s="180">
        <f>'Cap Table'!BM50</f>
        <v>0</v>
      </c>
      <c r="BN35" s="765">
        <f>'Cap Table'!BN50</f>
        <v>0</v>
      </c>
      <c r="BO35" s="180">
        <f>'Cap Table'!BO50</f>
        <v>0</v>
      </c>
      <c r="BP35" s="180">
        <f>'Cap Table'!BP50</f>
        <v>0</v>
      </c>
      <c r="BQ35" s="181">
        <f>'Cap Table'!BQ50</f>
        <v>0</v>
      </c>
      <c r="BR35" s="180">
        <f>'Cap Table'!BR50</f>
        <v>0</v>
      </c>
      <c r="BS35" s="235">
        <f>'Cap Table'!BS50</f>
        <v>0</v>
      </c>
      <c r="BT35" s="180">
        <f>'Cap Table'!BT50</f>
        <v>0</v>
      </c>
      <c r="BU35" s="180">
        <f>'Cap Table'!BU50</f>
        <v>0</v>
      </c>
      <c r="BV35" s="765">
        <f>'Cap Table'!BV50</f>
        <v>0</v>
      </c>
      <c r="BW35" s="180">
        <f>'Cap Table'!BW50</f>
        <v>0</v>
      </c>
      <c r="BX35" s="180">
        <f>'Cap Table'!BX50</f>
        <v>0</v>
      </c>
      <c r="BY35" s="181">
        <f>'Cap Table'!BY50</f>
        <v>0</v>
      </c>
      <c r="BZ35" s="180">
        <f>'Cap Table'!BZ50</f>
        <v>0</v>
      </c>
      <c r="CA35" s="235">
        <f>'Cap Table'!CA50</f>
        <v>0</v>
      </c>
      <c r="CB35" s="180">
        <f>'Cap Table'!CB50</f>
        <v>0</v>
      </c>
      <c r="CC35" s="765">
        <f>'Cap Table'!CC50</f>
        <v>0</v>
      </c>
      <c r="CD35" s="180"/>
      <c r="CE35" s="180"/>
    </row>
    <row r="36" spans="1:83" ht="15.75" customHeight="1" x14ac:dyDescent="0.35">
      <c r="A36" s="180"/>
      <c r="B36" s="180"/>
      <c r="D36" s="236" t="str">
        <f>'Cap Table'!D51</f>
        <v>ESOP - allocated</v>
      </c>
      <c r="E36" s="243">
        <f>'Cap Table'!E51</f>
        <v>0</v>
      </c>
      <c r="F36" s="244">
        <f>'Cap Table'!F51</f>
        <v>0</v>
      </c>
      <c r="G36" s="245">
        <f>'Cap Table'!G51</f>
        <v>0</v>
      </c>
      <c r="H36" s="243">
        <f>'Cap Table'!H51</f>
        <v>0</v>
      </c>
      <c r="I36" s="246">
        <f>'Cap Table'!I51</f>
        <v>0</v>
      </c>
      <c r="J36" s="327">
        <f>'Cap Table'!J51</f>
        <v>0</v>
      </c>
      <c r="K36" s="327">
        <f>'Cap Table'!K51</f>
        <v>0</v>
      </c>
      <c r="L36" s="224">
        <f>'Cap Table'!L51</f>
        <v>0</v>
      </c>
      <c r="M36" s="293">
        <f>'Cap Table'!M51</f>
        <v>0</v>
      </c>
      <c r="N36" s="328">
        <f>'Cap Table'!N51</f>
        <v>0</v>
      </c>
      <c r="O36" s="295" t="e">
        <f>'Cap Table'!O51</f>
        <v>#DIV/0!</v>
      </c>
      <c r="P36" s="243">
        <f>'Cap Table'!P51</f>
        <v>0</v>
      </c>
      <c r="Q36" s="246">
        <f>'Cap Table'!Q51</f>
        <v>0</v>
      </c>
      <c r="R36" s="327">
        <f>'Cap Table'!R51</f>
        <v>0</v>
      </c>
      <c r="S36" s="327">
        <f>'Cap Table'!S51</f>
        <v>0</v>
      </c>
      <c r="T36" s="224">
        <f>'Cap Table'!T51</f>
        <v>0</v>
      </c>
      <c r="U36" s="293">
        <f>'Cap Table'!U51</f>
        <v>0</v>
      </c>
      <c r="V36" s="328">
        <f>'Cap Table'!V51</f>
        <v>0</v>
      </c>
      <c r="W36" s="295" t="e">
        <f>'Cap Table'!W51</f>
        <v>#DIV/0!</v>
      </c>
      <c r="X36" s="243">
        <f>'Cap Table'!X51</f>
        <v>0</v>
      </c>
      <c r="Y36" s="246">
        <f>'Cap Table'!Y51</f>
        <v>0</v>
      </c>
      <c r="Z36" s="327">
        <f>'Cap Table'!Z51</f>
        <v>0</v>
      </c>
      <c r="AA36" s="327">
        <f>'Cap Table'!AA51</f>
        <v>0</v>
      </c>
      <c r="AB36" s="224">
        <f>'Cap Table'!AB51</f>
        <v>0</v>
      </c>
      <c r="AC36" s="293">
        <f>'Cap Table'!AC51</f>
        <v>0</v>
      </c>
      <c r="AD36" s="328">
        <f>'Cap Table'!AD51</f>
        <v>0</v>
      </c>
      <c r="AE36" s="295" t="e">
        <f>'Cap Table'!AE51</f>
        <v>#DIV/0!</v>
      </c>
      <c r="AF36" s="243">
        <f>'Cap Table'!AF51</f>
        <v>0</v>
      </c>
      <c r="AG36" s="246">
        <f>'Cap Table'!AG51</f>
        <v>0</v>
      </c>
      <c r="AH36" s="327">
        <f>'Cap Table'!AH51</f>
        <v>0</v>
      </c>
      <c r="AI36" s="327">
        <f>'Cap Table'!AI51</f>
        <v>0</v>
      </c>
      <c r="AJ36" s="224">
        <f>'Cap Table'!AJ51</f>
        <v>0</v>
      </c>
      <c r="AK36" s="293">
        <f>'Cap Table'!AK51</f>
        <v>0</v>
      </c>
      <c r="AL36" s="328">
        <f>'Cap Table'!AL51</f>
        <v>0</v>
      </c>
      <c r="AM36" s="295" t="e">
        <f>'Cap Table'!AM51</f>
        <v>#DIV/0!</v>
      </c>
      <c r="AN36" s="243">
        <f>'Cap Table'!AN51</f>
        <v>0</v>
      </c>
      <c r="AO36" s="246">
        <f>'Cap Table'!AO51</f>
        <v>0</v>
      </c>
      <c r="AP36" s="327">
        <f>'Cap Table'!AP51</f>
        <v>0</v>
      </c>
      <c r="AQ36" s="327">
        <f>'Cap Table'!AQ51</f>
        <v>0</v>
      </c>
      <c r="AR36" s="224">
        <f>'Cap Table'!AR51</f>
        <v>0</v>
      </c>
      <c r="AS36" s="293">
        <f>'Cap Table'!AS51</f>
        <v>0</v>
      </c>
      <c r="AT36" s="328">
        <f>'Cap Table'!AT51</f>
        <v>0</v>
      </c>
      <c r="AU36" s="295" t="e">
        <f>'Cap Table'!AU51</f>
        <v>#DIV/0!</v>
      </c>
      <c r="AV36" s="243">
        <f>'Cap Table'!AV51</f>
        <v>0</v>
      </c>
      <c r="AW36" s="246">
        <f>'Cap Table'!AW51</f>
        <v>0</v>
      </c>
      <c r="AX36" s="327">
        <f>'Cap Table'!AX51</f>
        <v>0</v>
      </c>
      <c r="AY36" s="327">
        <f>'Cap Table'!AY51</f>
        <v>0</v>
      </c>
      <c r="AZ36" s="224">
        <f>'Cap Table'!AZ51</f>
        <v>0</v>
      </c>
      <c r="BA36" s="293">
        <f>'Cap Table'!BA51</f>
        <v>0</v>
      </c>
      <c r="BB36" s="328">
        <f>'Cap Table'!BB51</f>
        <v>0</v>
      </c>
      <c r="BC36" s="295" t="e">
        <f>'Cap Table'!BC51</f>
        <v>#DIV/0!</v>
      </c>
      <c r="BD36" s="243">
        <f>'Cap Table'!BD51</f>
        <v>0</v>
      </c>
      <c r="BE36" s="246">
        <f>'Cap Table'!BE51</f>
        <v>0</v>
      </c>
      <c r="BF36" s="327">
        <f>'Cap Table'!BF51</f>
        <v>0</v>
      </c>
      <c r="BG36" s="327">
        <f>'Cap Table'!BG51</f>
        <v>0</v>
      </c>
      <c r="BH36" s="224">
        <f>'Cap Table'!BH51</f>
        <v>0</v>
      </c>
      <c r="BI36" s="293">
        <f>'Cap Table'!BI51</f>
        <v>0</v>
      </c>
      <c r="BJ36" s="328">
        <f>'Cap Table'!BJ51</f>
        <v>0</v>
      </c>
      <c r="BK36" s="295" t="e">
        <f>'Cap Table'!BK51</f>
        <v>#DIV/0!</v>
      </c>
      <c r="BL36" s="243">
        <f>'Cap Table'!BL51</f>
        <v>0</v>
      </c>
      <c r="BM36" s="246">
        <f>'Cap Table'!BM51</f>
        <v>0</v>
      </c>
      <c r="BN36" s="327">
        <f>'Cap Table'!BN51</f>
        <v>0</v>
      </c>
      <c r="BO36" s="327">
        <f>'Cap Table'!BO51</f>
        <v>0</v>
      </c>
      <c r="BP36" s="224">
        <f>'Cap Table'!BP51</f>
        <v>0</v>
      </c>
      <c r="BQ36" s="293">
        <f>'Cap Table'!BQ51</f>
        <v>0</v>
      </c>
      <c r="BR36" s="328">
        <f>'Cap Table'!BR51</f>
        <v>0</v>
      </c>
      <c r="BS36" s="295" t="e">
        <f>'Cap Table'!BS51</f>
        <v>#DIV/0!</v>
      </c>
      <c r="BT36" s="243">
        <f>'Cap Table'!BT51</f>
        <v>0</v>
      </c>
      <c r="BU36" s="246">
        <f>'Cap Table'!BU51</f>
        <v>0</v>
      </c>
      <c r="BV36" s="327">
        <f>'Cap Table'!BV51</f>
        <v>0</v>
      </c>
      <c r="BW36" s="327">
        <f>'Cap Table'!BW51</f>
        <v>0</v>
      </c>
      <c r="BX36" s="224">
        <f>'Cap Table'!BX51</f>
        <v>0</v>
      </c>
      <c r="BY36" s="293">
        <f>'Cap Table'!BY51</f>
        <v>0</v>
      </c>
      <c r="BZ36" s="328">
        <f>'Cap Table'!BZ51</f>
        <v>0</v>
      </c>
      <c r="CA36" s="295" t="e">
        <f>'Cap Table'!CA51</f>
        <v>#DIV/0!</v>
      </c>
      <c r="CB36" s="180">
        <f>'Cap Table'!CB51</f>
        <v>0</v>
      </c>
      <c r="CC36" s="328">
        <f>'Cap Table'!CC51</f>
        <v>0</v>
      </c>
      <c r="CD36" s="180"/>
      <c r="CE36" s="180"/>
    </row>
    <row r="37" spans="1:83" ht="15.75" customHeight="1" x14ac:dyDescent="0.35">
      <c r="A37" s="180"/>
      <c r="B37" s="180"/>
      <c r="C37" s="247" t="s">
        <v>74</v>
      </c>
      <c r="D37" s="236" t="str">
        <f>'Cap Table'!D52</f>
        <v>Available ESOP</v>
      </c>
      <c r="E37" s="248">
        <f>'Cap Table'!E52</f>
        <v>0</v>
      </c>
      <c r="F37" s="249">
        <f>'Cap Table'!F52</f>
        <v>0</v>
      </c>
      <c r="G37" s="245">
        <f>'Cap Table'!G52</f>
        <v>0</v>
      </c>
      <c r="H37" s="248">
        <f>'Cap Table'!H52</f>
        <v>0</v>
      </c>
      <c r="I37" s="250">
        <f>'Cap Table'!I52</f>
        <v>0</v>
      </c>
      <c r="J37" s="222">
        <f>'Cap Table'!J52</f>
        <v>0</v>
      </c>
      <c r="K37" s="222">
        <f>'Cap Table'!K52</f>
        <v>0</v>
      </c>
      <c r="L37" s="228">
        <f>'Cap Table'!L52</f>
        <v>0</v>
      </c>
      <c r="M37" s="293">
        <f>'Cap Table'!M52</f>
        <v>0</v>
      </c>
      <c r="N37" s="329">
        <f>'Cap Table'!N52</f>
        <v>0</v>
      </c>
      <c r="O37" s="295" t="e">
        <f>'Cap Table'!O52</f>
        <v>#DIV/0!</v>
      </c>
      <c r="P37" s="248">
        <f>'Cap Table'!P52</f>
        <v>0</v>
      </c>
      <c r="Q37" s="250">
        <f>'Cap Table'!Q52</f>
        <v>0</v>
      </c>
      <c r="R37" s="222">
        <f>'Cap Table'!R52</f>
        <v>0</v>
      </c>
      <c r="S37" s="222">
        <f>'Cap Table'!S52</f>
        <v>0</v>
      </c>
      <c r="T37" s="228">
        <f>'Cap Table'!T52</f>
        <v>0</v>
      </c>
      <c r="U37" s="293">
        <f>'Cap Table'!U52</f>
        <v>0</v>
      </c>
      <c r="V37" s="329">
        <f>'Cap Table'!V52</f>
        <v>0</v>
      </c>
      <c r="W37" s="295" t="e">
        <f>'Cap Table'!W52</f>
        <v>#DIV/0!</v>
      </c>
      <c r="X37" s="248">
        <f>'Cap Table'!X52</f>
        <v>0</v>
      </c>
      <c r="Y37" s="250">
        <f>'Cap Table'!Y52</f>
        <v>0</v>
      </c>
      <c r="Z37" s="222">
        <f>'Cap Table'!Z52</f>
        <v>0</v>
      </c>
      <c r="AA37" s="222">
        <f>'Cap Table'!AA52</f>
        <v>0</v>
      </c>
      <c r="AB37" s="228">
        <f>'Cap Table'!AB52</f>
        <v>0</v>
      </c>
      <c r="AC37" s="293">
        <f>'Cap Table'!AC52</f>
        <v>0</v>
      </c>
      <c r="AD37" s="329">
        <f>'Cap Table'!AD52</f>
        <v>0</v>
      </c>
      <c r="AE37" s="295" t="e">
        <f>'Cap Table'!AE52</f>
        <v>#DIV/0!</v>
      </c>
      <c r="AF37" s="248">
        <f>'Cap Table'!AF52</f>
        <v>0</v>
      </c>
      <c r="AG37" s="250">
        <f>'Cap Table'!AG52</f>
        <v>0</v>
      </c>
      <c r="AH37" s="222">
        <f>'Cap Table'!AH52</f>
        <v>0</v>
      </c>
      <c r="AI37" s="222">
        <f>'Cap Table'!AI52</f>
        <v>0</v>
      </c>
      <c r="AJ37" s="228">
        <f>'Cap Table'!AJ52</f>
        <v>0</v>
      </c>
      <c r="AK37" s="293">
        <f>'Cap Table'!AK52</f>
        <v>0</v>
      </c>
      <c r="AL37" s="329">
        <f>'Cap Table'!AL52</f>
        <v>0</v>
      </c>
      <c r="AM37" s="295" t="e">
        <f>'Cap Table'!AM52</f>
        <v>#DIV/0!</v>
      </c>
      <c r="AN37" s="248">
        <f>'Cap Table'!AN52</f>
        <v>0</v>
      </c>
      <c r="AO37" s="250">
        <f>'Cap Table'!AO52</f>
        <v>0</v>
      </c>
      <c r="AP37" s="222">
        <f>'Cap Table'!AP52</f>
        <v>0</v>
      </c>
      <c r="AQ37" s="222">
        <f>'Cap Table'!AQ52</f>
        <v>0</v>
      </c>
      <c r="AR37" s="228">
        <f>'Cap Table'!AR52</f>
        <v>0</v>
      </c>
      <c r="AS37" s="293">
        <f>'Cap Table'!AS52</f>
        <v>0</v>
      </c>
      <c r="AT37" s="329">
        <f>'Cap Table'!AT52</f>
        <v>0</v>
      </c>
      <c r="AU37" s="295" t="e">
        <f>'Cap Table'!AU52</f>
        <v>#DIV/0!</v>
      </c>
      <c r="AV37" s="248">
        <f>'Cap Table'!AV52</f>
        <v>0</v>
      </c>
      <c r="AW37" s="250">
        <f>'Cap Table'!AW52</f>
        <v>0</v>
      </c>
      <c r="AX37" s="222">
        <f>'Cap Table'!AX52</f>
        <v>0</v>
      </c>
      <c r="AY37" s="222">
        <f>'Cap Table'!AY52</f>
        <v>0</v>
      </c>
      <c r="AZ37" s="228">
        <f>'Cap Table'!AZ52</f>
        <v>0</v>
      </c>
      <c r="BA37" s="293">
        <f>'Cap Table'!BA52</f>
        <v>0</v>
      </c>
      <c r="BB37" s="329">
        <f>'Cap Table'!BB52</f>
        <v>0</v>
      </c>
      <c r="BC37" s="295" t="e">
        <f>'Cap Table'!BC52</f>
        <v>#DIV/0!</v>
      </c>
      <c r="BD37" s="248">
        <f>'Cap Table'!BD52</f>
        <v>0</v>
      </c>
      <c r="BE37" s="250">
        <f>'Cap Table'!BE52</f>
        <v>0</v>
      </c>
      <c r="BF37" s="222">
        <f>'Cap Table'!BF52</f>
        <v>0</v>
      </c>
      <c r="BG37" s="222">
        <f>'Cap Table'!BG52</f>
        <v>0</v>
      </c>
      <c r="BH37" s="228">
        <f>'Cap Table'!BH52</f>
        <v>0</v>
      </c>
      <c r="BI37" s="293">
        <f>'Cap Table'!BI52</f>
        <v>0</v>
      </c>
      <c r="BJ37" s="329">
        <f>'Cap Table'!BJ52</f>
        <v>0</v>
      </c>
      <c r="BK37" s="295" t="e">
        <f>'Cap Table'!BK52</f>
        <v>#DIV/0!</v>
      </c>
      <c r="BL37" s="248">
        <f>'Cap Table'!BL52</f>
        <v>0</v>
      </c>
      <c r="BM37" s="250">
        <f>'Cap Table'!BM52</f>
        <v>0</v>
      </c>
      <c r="BN37" s="222">
        <f>'Cap Table'!BN52</f>
        <v>0</v>
      </c>
      <c r="BO37" s="222">
        <f>'Cap Table'!BO52</f>
        <v>0</v>
      </c>
      <c r="BP37" s="228">
        <f>'Cap Table'!BP52</f>
        <v>0</v>
      </c>
      <c r="BQ37" s="293">
        <f>'Cap Table'!BQ52</f>
        <v>0</v>
      </c>
      <c r="BR37" s="329">
        <f>'Cap Table'!BR52</f>
        <v>0</v>
      </c>
      <c r="BS37" s="295" t="e">
        <f>'Cap Table'!BS52</f>
        <v>#DIV/0!</v>
      </c>
      <c r="BT37" s="248">
        <f>'Cap Table'!BT52</f>
        <v>0</v>
      </c>
      <c r="BU37" s="250">
        <f>'Cap Table'!BU52</f>
        <v>0</v>
      </c>
      <c r="BV37" s="222">
        <f>'Cap Table'!BV52</f>
        <v>0</v>
      </c>
      <c r="BW37" s="222">
        <f>'Cap Table'!BW52</f>
        <v>0</v>
      </c>
      <c r="BX37" s="228">
        <f>'Cap Table'!BX52</f>
        <v>0</v>
      </c>
      <c r="BY37" s="293">
        <f>'Cap Table'!BY52</f>
        <v>0</v>
      </c>
      <c r="BZ37" s="329">
        <f>'Cap Table'!BZ52</f>
        <v>0</v>
      </c>
      <c r="CA37" s="295" t="e">
        <f>'Cap Table'!CA52</f>
        <v>#DIV/0!</v>
      </c>
      <c r="CB37" s="180">
        <f>'Cap Table'!CB52</f>
        <v>0</v>
      </c>
      <c r="CC37" s="329">
        <f>'Cap Table'!CC52</f>
        <v>0</v>
      </c>
      <c r="CD37" s="180"/>
      <c r="CE37" s="180"/>
    </row>
    <row r="38" spans="1:83" ht="15.75" customHeight="1" x14ac:dyDescent="0.35">
      <c r="A38" s="180"/>
      <c r="B38" s="180"/>
      <c r="C38" s="247" t="s">
        <v>76</v>
      </c>
      <c r="D38" s="236" t="str">
        <f>'Cap Table'!D53</f>
        <v>New ESOP</v>
      </c>
      <c r="E38" s="245" t="str">
        <f>'Cap Table'!E53</f>
        <v>Pre-Money</v>
      </c>
      <c r="F38" s="251">
        <f>'Cap Table'!F53</f>
        <v>0</v>
      </c>
      <c r="G38" s="245">
        <f>'Cap Table'!G53</f>
        <v>0</v>
      </c>
      <c r="H38" s="251">
        <f>'Cap Table'!H53</f>
        <v>0</v>
      </c>
      <c r="I38" s="252">
        <f>'Cap Table'!I53</f>
        <v>0</v>
      </c>
      <c r="J38" s="231">
        <f>'Cap Table'!J53</f>
        <v>0</v>
      </c>
      <c r="K38" s="231">
        <f>'Cap Table'!K53</f>
        <v>0</v>
      </c>
      <c r="L38" s="232">
        <f>'Cap Table'!L53</f>
        <v>0</v>
      </c>
      <c r="M38" s="293">
        <f>'Cap Table'!M53</f>
        <v>0</v>
      </c>
      <c r="N38" s="330">
        <f>'Cap Table'!N53</f>
        <v>0</v>
      </c>
      <c r="O38" s="295" t="e">
        <f>'Cap Table'!O53</f>
        <v>#DIV/0!</v>
      </c>
      <c r="P38" s="251">
        <f>'Cap Table'!P53</f>
        <v>0</v>
      </c>
      <c r="Q38" s="252">
        <f>'Cap Table'!Q53</f>
        <v>0</v>
      </c>
      <c r="R38" s="231">
        <f>'Cap Table'!R53</f>
        <v>0</v>
      </c>
      <c r="S38" s="231">
        <f>'Cap Table'!S53</f>
        <v>0</v>
      </c>
      <c r="T38" s="232">
        <f>'Cap Table'!T53</f>
        <v>0</v>
      </c>
      <c r="U38" s="293">
        <f>'Cap Table'!U53</f>
        <v>0</v>
      </c>
      <c r="V38" s="330">
        <f>'Cap Table'!V53</f>
        <v>0</v>
      </c>
      <c r="W38" s="295" t="e">
        <f>'Cap Table'!W53</f>
        <v>#DIV/0!</v>
      </c>
      <c r="X38" s="251">
        <f>'Cap Table'!X53</f>
        <v>0</v>
      </c>
      <c r="Y38" s="252">
        <f>'Cap Table'!Y53</f>
        <v>0</v>
      </c>
      <c r="Z38" s="231">
        <f>'Cap Table'!Z53</f>
        <v>0</v>
      </c>
      <c r="AA38" s="231">
        <f>'Cap Table'!AA53</f>
        <v>0</v>
      </c>
      <c r="AB38" s="232">
        <f>'Cap Table'!AB53</f>
        <v>0</v>
      </c>
      <c r="AC38" s="293">
        <f>'Cap Table'!AC53</f>
        <v>0</v>
      </c>
      <c r="AD38" s="330">
        <f>'Cap Table'!AD53</f>
        <v>0</v>
      </c>
      <c r="AE38" s="295" t="e">
        <f>'Cap Table'!AE53</f>
        <v>#DIV/0!</v>
      </c>
      <c r="AF38" s="251">
        <f>'Cap Table'!AF53</f>
        <v>0</v>
      </c>
      <c r="AG38" s="252">
        <f>'Cap Table'!AG53</f>
        <v>0</v>
      </c>
      <c r="AH38" s="231">
        <f>'Cap Table'!AH53</f>
        <v>0</v>
      </c>
      <c r="AI38" s="231">
        <f>'Cap Table'!AI53</f>
        <v>0</v>
      </c>
      <c r="AJ38" s="232">
        <f>'Cap Table'!AJ53</f>
        <v>0</v>
      </c>
      <c r="AK38" s="293">
        <f>'Cap Table'!AK53</f>
        <v>0</v>
      </c>
      <c r="AL38" s="330">
        <f>'Cap Table'!AL53</f>
        <v>0</v>
      </c>
      <c r="AM38" s="295" t="e">
        <f>'Cap Table'!AM53</f>
        <v>#DIV/0!</v>
      </c>
      <c r="AN38" s="251">
        <f>'Cap Table'!AN53</f>
        <v>0</v>
      </c>
      <c r="AO38" s="252">
        <f>'Cap Table'!AO53</f>
        <v>0</v>
      </c>
      <c r="AP38" s="231">
        <f>'Cap Table'!AP53</f>
        <v>0</v>
      </c>
      <c r="AQ38" s="231">
        <f>'Cap Table'!AQ53</f>
        <v>0</v>
      </c>
      <c r="AR38" s="232">
        <f>'Cap Table'!AR53</f>
        <v>0</v>
      </c>
      <c r="AS38" s="293">
        <f>'Cap Table'!AS53</f>
        <v>0</v>
      </c>
      <c r="AT38" s="330">
        <f>'Cap Table'!AT53</f>
        <v>0</v>
      </c>
      <c r="AU38" s="295" t="e">
        <f>'Cap Table'!AU53</f>
        <v>#DIV/0!</v>
      </c>
      <c r="AV38" s="251">
        <f>'Cap Table'!AV53</f>
        <v>0</v>
      </c>
      <c r="AW38" s="252">
        <f>'Cap Table'!AW53</f>
        <v>0</v>
      </c>
      <c r="AX38" s="231">
        <f>'Cap Table'!AX53</f>
        <v>0</v>
      </c>
      <c r="AY38" s="231">
        <f>'Cap Table'!AY53</f>
        <v>0</v>
      </c>
      <c r="AZ38" s="232">
        <f>'Cap Table'!AZ53</f>
        <v>0</v>
      </c>
      <c r="BA38" s="293">
        <f>'Cap Table'!BA53</f>
        <v>0</v>
      </c>
      <c r="BB38" s="330">
        <f>'Cap Table'!BB53</f>
        <v>0</v>
      </c>
      <c r="BC38" s="295" t="e">
        <f>'Cap Table'!BC53</f>
        <v>#DIV/0!</v>
      </c>
      <c r="BD38" s="251">
        <f>'Cap Table'!BD53</f>
        <v>0</v>
      </c>
      <c r="BE38" s="252">
        <f>'Cap Table'!BE53</f>
        <v>0</v>
      </c>
      <c r="BF38" s="231">
        <f>'Cap Table'!BF53</f>
        <v>0</v>
      </c>
      <c r="BG38" s="231">
        <f>'Cap Table'!BG53</f>
        <v>0</v>
      </c>
      <c r="BH38" s="232">
        <f>'Cap Table'!BH53</f>
        <v>0</v>
      </c>
      <c r="BI38" s="293">
        <f>'Cap Table'!BI53</f>
        <v>0</v>
      </c>
      <c r="BJ38" s="330">
        <f>'Cap Table'!BJ53</f>
        <v>0</v>
      </c>
      <c r="BK38" s="295" t="e">
        <f>'Cap Table'!BK53</f>
        <v>#DIV/0!</v>
      </c>
      <c r="BL38" s="251">
        <f>'Cap Table'!BL53</f>
        <v>0</v>
      </c>
      <c r="BM38" s="252">
        <f>'Cap Table'!BM53</f>
        <v>0</v>
      </c>
      <c r="BN38" s="231">
        <f>'Cap Table'!BN53</f>
        <v>0</v>
      </c>
      <c r="BO38" s="231">
        <f>'Cap Table'!BO53</f>
        <v>0</v>
      </c>
      <c r="BP38" s="232">
        <f>'Cap Table'!BP53</f>
        <v>0</v>
      </c>
      <c r="BQ38" s="293">
        <f>'Cap Table'!BQ53</f>
        <v>0</v>
      </c>
      <c r="BR38" s="330">
        <f>'Cap Table'!BR53</f>
        <v>0</v>
      </c>
      <c r="BS38" s="295" t="e">
        <f>'Cap Table'!BS53</f>
        <v>#DIV/0!</v>
      </c>
      <c r="BT38" s="251">
        <f>'Cap Table'!BT53</f>
        <v>0</v>
      </c>
      <c r="BU38" s="252">
        <f>'Cap Table'!BU53</f>
        <v>0</v>
      </c>
      <c r="BV38" s="231">
        <f>'Cap Table'!BV53</f>
        <v>0</v>
      </c>
      <c r="BW38" s="231">
        <f>'Cap Table'!BW53</f>
        <v>0</v>
      </c>
      <c r="BX38" s="232">
        <f>'Cap Table'!BX53</f>
        <v>0</v>
      </c>
      <c r="BY38" s="293">
        <f>'Cap Table'!BY53</f>
        <v>0</v>
      </c>
      <c r="BZ38" s="330">
        <f>'Cap Table'!BZ53</f>
        <v>0</v>
      </c>
      <c r="CA38" s="295" t="e">
        <f>'Cap Table'!CA53</f>
        <v>#DIV/0!</v>
      </c>
      <c r="CB38" s="180">
        <f>'Cap Table'!CB53</f>
        <v>0</v>
      </c>
      <c r="CC38" s="330">
        <f>'Cap Table'!CC53</f>
        <v>0</v>
      </c>
      <c r="CD38" s="180"/>
      <c r="CE38" s="180"/>
    </row>
    <row r="39" spans="1:83" s="181" customFormat="1" ht="7.5" customHeight="1" x14ac:dyDescent="0.35">
      <c r="A39" s="180"/>
      <c r="B39" s="180"/>
      <c r="C39" s="179"/>
      <c r="D39" s="180">
        <f>'Cap Table'!D54</f>
        <v>0</v>
      </c>
      <c r="E39" s="180">
        <f>'Cap Table'!E54</f>
        <v>0</v>
      </c>
      <c r="F39" s="180">
        <f>'Cap Table'!F54</f>
        <v>0</v>
      </c>
      <c r="G39" s="235">
        <f>'Cap Table'!G54</f>
        <v>0</v>
      </c>
      <c r="H39" s="181">
        <f>'Cap Table'!H54</f>
        <v>0</v>
      </c>
      <c r="I39" s="181">
        <f>'Cap Table'!I54</f>
        <v>0</v>
      </c>
      <c r="J39" s="765">
        <f>'Cap Table'!J54</f>
        <v>0</v>
      </c>
      <c r="K39" s="181">
        <f>'Cap Table'!K54</f>
        <v>0</v>
      </c>
      <c r="L39" s="181">
        <f>'Cap Table'!L54</f>
        <v>0</v>
      </c>
      <c r="M39" s="181">
        <f>'Cap Table'!M54</f>
        <v>0</v>
      </c>
      <c r="N39" s="180">
        <f>'Cap Table'!N54</f>
        <v>0</v>
      </c>
      <c r="O39" s="181">
        <f>'Cap Table'!O54</f>
        <v>0</v>
      </c>
      <c r="P39" s="181">
        <f>'Cap Table'!P54</f>
        <v>0</v>
      </c>
      <c r="Q39" s="181">
        <f>'Cap Table'!Q54</f>
        <v>0</v>
      </c>
      <c r="R39" s="765">
        <f>'Cap Table'!R54</f>
        <v>0</v>
      </c>
      <c r="S39" s="181">
        <f>'Cap Table'!S54</f>
        <v>0</v>
      </c>
      <c r="T39" s="181">
        <f>'Cap Table'!T54</f>
        <v>0</v>
      </c>
      <c r="U39" s="181">
        <f>'Cap Table'!U54</f>
        <v>0</v>
      </c>
      <c r="V39" s="180">
        <f>'Cap Table'!V54</f>
        <v>0</v>
      </c>
      <c r="W39" s="181">
        <f>'Cap Table'!W54</f>
        <v>0</v>
      </c>
      <c r="X39" s="181">
        <f>'Cap Table'!X54</f>
        <v>0</v>
      </c>
      <c r="Y39" s="181">
        <f>'Cap Table'!Y54</f>
        <v>0</v>
      </c>
      <c r="Z39" s="765">
        <f>'Cap Table'!Z54</f>
        <v>0</v>
      </c>
      <c r="AA39" s="181">
        <f>'Cap Table'!AA54</f>
        <v>0</v>
      </c>
      <c r="AB39" s="181">
        <f>'Cap Table'!AB54</f>
        <v>0</v>
      </c>
      <c r="AC39" s="181">
        <f>'Cap Table'!AC54</f>
        <v>0</v>
      </c>
      <c r="AD39" s="180">
        <f>'Cap Table'!AD54</f>
        <v>0</v>
      </c>
      <c r="AE39" s="181">
        <f>'Cap Table'!AE54</f>
        <v>0</v>
      </c>
      <c r="AF39" s="181">
        <f>'Cap Table'!AF54</f>
        <v>0</v>
      </c>
      <c r="AG39" s="181">
        <f>'Cap Table'!AG54</f>
        <v>0</v>
      </c>
      <c r="AH39" s="765">
        <f>'Cap Table'!AH54</f>
        <v>0</v>
      </c>
      <c r="AI39" s="181">
        <f>'Cap Table'!AI54</f>
        <v>0</v>
      </c>
      <c r="AJ39" s="181">
        <f>'Cap Table'!AJ54</f>
        <v>0</v>
      </c>
      <c r="AK39" s="181">
        <f>'Cap Table'!AK54</f>
        <v>0</v>
      </c>
      <c r="AL39" s="180">
        <f>'Cap Table'!AL54</f>
        <v>0</v>
      </c>
      <c r="AM39" s="181">
        <f>'Cap Table'!AM54</f>
        <v>0</v>
      </c>
      <c r="AN39" s="181">
        <f>'Cap Table'!AN54</f>
        <v>0</v>
      </c>
      <c r="AO39" s="181">
        <f>'Cap Table'!AO54</f>
        <v>0</v>
      </c>
      <c r="AP39" s="765">
        <f>'Cap Table'!AP54</f>
        <v>0</v>
      </c>
      <c r="AQ39" s="181">
        <f>'Cap Table'!AQ54</f>
        <v>0</v>
      </c>
      <c r="AR39" s="181">
        <f>'Cap Table'!AR54</f>
        <v>0</v>
      </c>
      <c r="AS39" s="181">
        <f>'Cap Table'!AS54</f>
        <v>0</v>
      </c>
      <c r="AT39" s="180">
        <f>'Cap Table'!AT54</f>
        <v>0</v>
      </c>
      <c r="AU39" s="181">
        <f>'Cap Table'!AU54</f>
        <v>0</v>
      </c>
      <c r="AV39" s="181">
        <f>'Cap Table'!AV54</f>
        <v>0</v>
      </c>
      <c r="AW39" s="181">
        <f>'Cap Table'!AW54</f>
        <v>0</v>
      </c>
      <c r="AX39" s="765">
        <f>'Cap Table'!AX54</f>
        <v>0</v>
      </c>
      <c r="AY39" s="181">
        <f>'Cap Table'!AY54</f>
        <v>0</v>
      </c>
      <c r="AZ39" s="181">
        <f>'Cap Table'!AZ54</f>
        <v>0</v>
      </c>
      <c r="BA39" s="181">
        <f>'Cap Table'!BA54</f>
        <v>0</v>
      </c>
      <c r="BB39" s="180">
        <f>'Cap Table'!BB54</f>
        <v>0</v>
      </c>
      <c r="BC39" s="181">
        <f>'Cap Table'!BC54</f>
        <v>0</v>
      </c>
      <c r="BD39" s="181">
        <f>'Cap Table'!BD54</f>
        <v>0</v>
      </c>
      <c r="BE39" s="181">
        <f>'Cap Table'!BE54</f>
        <v>0</v>
      </c>
      <c r="BF39" s="765">
        <f>'Cap Table'!BF54</f>
        <v>0</v>
      </c>
      <c r="BG39" s="181">
        <f>'Cap Table'!BG54</f>
        <v>0</v>
      </c>
      <c r="BH39" s="181">
        <f>'Cap Table'!BH54</f>
        <v>0</v>
      </c>
      <c r="BI39" s="181">
        <f>'Cap Table'!BI54</f>
        <v>0</v>
      </c>
      <c r="BJ39" s="180">
        <f>'Cap Table'!BJ54</f>
        <v>0</v>
      </c>
      <c r="BK39" s="181">
        <f>'Cap Table'!BK54</f>
        <v>0</v>
      </c>
      <c r="BL39" s="181">
        <f>'Cap Table'!BL54</f>
        <v>0</v>
      </c>
      <c r="BM39" s="181">
        <f>'Cap Table'!BM54</f>
        <v>0</v>
      </c>
      <c r="BN39" s="765">
        <f>'Cap Table'!BN54</f>
        <v>0</v>
      </c>
      <c r="BO39" s="181">
        <f>'Cap Table'!BO54</f>
        <v>0</v>
      </c>
      <c r="BP39" s="181">
        <f>'Cap Table'!BP54</f>
        <v>0</v>
      </c>
      <c r="BQ39" s="181">
        <f>'Cap Table'!BQ54</f>
        <v>0</v>
      </c>
      <c r="BR39" s="180">
        <f>'Cap Table'!BR54</f>
        <v>0</v>
      </c>
      <c r="BS39" s="181">
        <f>'Cap Table'!BS54</f>
        <v>0</v>
      </c>
      <c r="BT39" s="181">
        <f>'Cap Table'!BT54</f>
        <v>0</v>
      </c>
      <c r="BU39" s="181">
        <f>'Cap Table'!BU54</f>
        <v>0</v>
      </c>
      <c r="BV39" s="765">
        <f>'Cap Table'!BV54</f>
        <v>0</v>
      </c>
      <c r="BW39" s="181">
        <f>'Cap Table'!BW54</f>
        <v>0</v>
      </c>
      <c r="BX39" s="181">
        <f>'Cap Table'!BX54</f>
        <v>0</v>
      </c>
      <c r="BY39" s="181">
        <f>'Cap Table'!BY54</f>
        <v>0</v>
      </c>
      <c r="BZ39" s="180">
        <f>'Cap Table'!BZ54</f>
        <v>0</v>
      </c>
      <c r="CA39" s="181">
        <f>'Cap Table'!CA54</f>
        <v>0</v>
      </c>
      <c r="CB39" s="181">
        <f>'Cap Table'!CB54</f>
        <v>0</v>
      </c>
      <c r="CC39" s="765">
        <f>'Cap Table'!CC54</f>
        <v>0</v>
      </c>
    </row>
    <row r="40" spans="1:83" s="190" customFormat="1" ht="15.75" customHeight="1" x14ac:dyDescent="0.35">
      <c r="A40" s="180"/>
      <c r="B40" s="180"/>
      <c r="D40" s="303" t="str">
        <f>'Cap Table'!D55</f>
        <v>TOTAL</v>
      </c>
      <c r="E40" s="304">
        <f>'Cap Table'!E55</f>
        <v>0</v>
      </c>
      <c r="F40" s="304">
        <f>'Cap Table'!F55</f>
        <v>0</v>
      </c>
      <c r="G40" s="304">
        <f>'Cap Table'!G55</f>
        <v>0</v>
      </c>
      <c r="H40" s="304">
        <f>'Cap Table'!H55</f>
        <v>0</v>
      </c>
      <c r="I40" s="304">
        <f>'Cap Table'!I55</f>
        <v>0</v>
      </c>
      <c r="J40" s="304" t="e">
        <f>'Cap Table'!J55</f>
        <v>#DIV/0!</v>
      </c>
      <c r="K40" s="305">
        <f>SUM(K20:K34)</f>
        <v>0</v>
      </c>
      <c r="L40" s="304">
        <f>SUM(L20:L34)</f>
        <v>0</v>
      </c>
      <c r="M40" s="304">
        <f>SUM(M20:M38)</f>
        <v>0</v>
      </c>
      <c r="N40" s="305" t="e">
        <f>SUM(N20:N34)</f>
        <v>#DIV/0!</v>
      </c>
      <c r="O40" s="305" t="e">
        <f>SUM(O20:O38)</f>
        <v>#DIV/0!</v>
      </c>
      <c r="P40" s="304">
        <f>'Cap Table'!P55</f>
        <v>0</v>
      </c>
      <c r="Q40" s="304">
        <f>'Cap Table'!Q55</f>
        <v>0</v>
      </c>
      <c r="R40" s="304">
        <f>'Cap Table'!R55</f>
        <v>0</v>
      </c>
      <c r="S40" s="305">
        <f>SUM(S20:S34)</f>
        <v>0</v>
      </c>
      <c r="T40" s="304">
        <f>SUM(T20:T34)</f>
        <v>0</v>
      </c>
      <c r="U40" s="304">
        <f>SUM(U20:U38)</f>
        <v>0</v>
      </c>
      <c r="V40" s="305" t="e">
        <f>SUM(V20:V34)</f>
        <v>#DIV/0!</v>
      </c>
      <c r="W40" s="305" t="e">
        <f>SUM(W20:W38)</f>
        <v>#DIV/0!</v>
      </c>
      <c r="X40" s="304">
        <f>'Cap Table'!X55</f>
        <v>0</v>
      </c>
      <c r="Y40" s="304">
        <f>'Cap Table'!Y55</f>
        <v>0</v>
      </c>
      <c r="Z40" s="304">
        <f>'Cap Table'!Z55</f>
        <v>0</v>
      </c>
      <c r="AA40" s="305">
        <f>SUM(AA20:AA34)</f>
        <v>0</v>
      </c>
      <c r="AB40" s="304">
        <f>SUM(AB20:AB34)</f>
        <v>0</v>
      </c>
      <c r="AC40" s="304">
        <f>SUM(AC20:AC38)</f>
        <v>0</v>
      </c>
      <c r="AD40" s="305" t="e">
        <f>SUM(AD20:AD34)</f>
        <v>#DIV/0!</v>
      </c>
      <c r="AE40" s="305" t="e">
        <f>SUM(AE20:AE38)</f>
        <v>#DIV/0!</v>
      </c>
      <c r="AF40" s="304">
        <f>'Cap Table'!AF55</f>
        <v>0</v>
      </c>
      <c r="AG40" s="304">
        <f>'Cap Table'!AG55</f>
        <v>0</v>
      </c>
      <c r="AH40" s="304">
        <f>'Cap Table'!AH55</f>
        <v>0</v>
      </c>
      <c r="AI40" s="305">
        <f>SUM(AI20:AI34)</f>
        <v>0</v>
      </c>
      <c r="AJ40" s="304">
        <f>SUM(AJ20:AJ34)</f>
        <v>0</v>
      </c>
      <c r="AK40" s="304">
        <f>SUM(AK20:AK38)</f>
        <v>0</v>
      </c>
      <c r="AL40" s="305" t="e">
        <f>SUM(AL20:AL34)</f>
        <v>#DIV/0!</v>
      </c>
      <c r="AM40" s="305" t="e">
        <f>SUM(AM20:AM38)</f>
        <v>#DIV/0!</v>
      </c>
      <c r="AN40" s="304">
        <f>'Cap Table'!AN55</f>
        <v>0</v>
      </c>
      <c r="AO40" s="304">
        <f>'Cap Table'!AO55</f>
        <v>0</v>
      </c>
      <c r="AP40" s="304">
        <f>'Cap Table'!AP55</f>
        <v>0</v>
      </c>
      <c r="AQ40" s="305">
        <f>SUM(AQ20:AQ34)</f>
        <v>0</v>
      </c>
      <c r="AR40" s="304">
        <f>SUM(AR20:AR34)</f>
        <v>0</v>
      </c>
      <c r="AS40" s="304">
        <f>SUM(AS20:AS38)</f>
        <v>0</v>
      </c>
      <c r="AT40" s="305" t="e">
        <f>SUM(AT20:AT34)</f>
        <v>#DIV/0!</v>
      </c>
      <c r="AU40" s="305" t="e">
        <f>SUM(AU20:AU38)</f>
        <v>#DIV/0!</v>
      </c>
      <c r="AV40" s="304">
        <f>'Cap Table'!AV55</f>
        <v>0</v>
      </c>
      <c r="AW40" s="304">
        <f>'Cap Table'!AW55</f>
        <v>0</v>
      </c>
      <c r="AX40" s="304">
        <f>'Cap Table'!AX55</f>
        <v>0</v>
      </c>
      <c r="AY40" s="305">
        <f>SUM(AY20:AY34)</f>
        <v>0</v>
      </c>
      <c r="AZ40" s="304">
        <f>SUM(AZ20:AZ34)</f>
        <v>0</v>
      </c>
      <c r="BA40" s="304">
        <f>SUM(BA20:BA38)</f>
        <v>0</v>
      </c>
      <c r="BB40" s="305" t="e">
        <f>SUM(BB20:BB34)</f>
        <v>#DIV/0!</v>
      </c>
      <c r="BC40" s="305" t="e">
        <f>SUM(BC20:BC38)</f>
        <v>#DIV/0!</v>
      </c>
      <c r="BD40" s="304">
        <f>'Cap Table'!BD55</f>
        <v>0</v>
      </c>
      <c r="BE40" s="304">
        <f>'Cap Table'!BE55</f>
        <v>0</v>
      </c>
      <c r="BF40" s="304">
        <f>'Cap Table'!BF55</f>
        <v>0</v>
      </c>
      <c r="BG40" s="305">
        <f>SUM(BG20:BG34)</f>
        <v>0</v>
      </c>
      <c r="BH40" s="304">
        <f>SUM(BH20:BH34)</f>
        <v>0</v>
      </c>
      <c r="BI40" s="304">
        <f>SUM(BI20:BI38)</f>
        <v>0</v>
      </c>
      <c r="BJ40" s="305" t="e">
        <f>SUM(BJ20:BJ34)</f>
        <v>#DIV/0!</v>
      </c>
      <c r="BK40" s="305" t="e">
        <f>SUM(BK20:BK38)</f>
        <v>#DIV/0!</v>
      </c>
      <c r="BL40" s="304">
        <f>'Cap Table'!BL55</f>
        <v>0</v>
      </c>
      <c r="BM40" s="304">
        <f>'Cap Table'!BM55</f>
        <v>0</v>
      </c>
      <c r="BN40" s="304">
        <f>'Cap Table'!BN55</f>
        <v>0</v>
      </c>
      <c r="BO40" s="305">
        <f>SUM(BO20:BO34)</f>
        <v>0</v>
      </c>
      <c r="BP40" s="304">
        <f>SUM(BP20:BP34)</f>
        <v>0</v>
      </c>
      <c r="BQ40" s="304">
        <f>SUM(BQ20:BQ38)</f>
        <v>0</v>
      </c>
      <c r="BR40" s="305" t="e">
        <f>SUM(BR20:BR34)</f>
        <v>#DIV/0!</v>
      </c>
      <c r="BS40" s="305" t="e">
        <f>SUM(BS20:BS38)</f>
        <v>#DIV/0!</v>
      </c>
      <c r="BT40" s="304">
        <f>'Cap Table'!BT55</f>
        <v>0</v>
      </c>
      <c r="BU40" s="304">
        <f>'Cap Table'!BU55</f>
        <v>0</v>
      </c>
      <c r="BV40" s="304">
        <f>'Cap Table'!BV55</f>
        <v>0</v>
      </c>
      <c r="BW40" s="305">
        <f>SUM(BW20:BW34)</f>
        <v>0</v>
      </c>
      <c r="BX40" s="304">
        <f>SUM(BX20:BX34)</f>
        <v>0</v>
      </c>
      <c r="BY40" s="304">
        <f>SUM(BY20:BY38)</f>
        <v>0</v>
      </c>
      <c r="BZ40" s="305" t="e">
        <f>SUM(BZ20:BZ34)</f>
        <v>#DIV/0!</v>
      </c>
      <c r="CA40" s="305" t="e">
        <f>SUM(CA20:CA38)</f>
        <v>#DIV/0!</v>
      </c>
      <c r="CB40" s="180">
        <f>'Cap Table'!CB55</f>
        <v>0</v>
      </c>
      <c r="CC40" s="304" t="e">
        <f>'Cap Table'!CC55/1000000</f>
        <v>#DIV/0!</v>
      </c>
      <c r="CD40" s="180"/>
      <c r="CE40" s="180"/>
    </row>
    <row r="41" spans="1:83" s="255" customFormat="1" ht="15.75" customHeight="1" x14ac:dyDescent="0.35">
      <c r="A41" s="254"/>
      <c r="B41" s="254"/>
      <c r="D41" s="256" t="str">
        <f>'Cap Table'!D56</f>
        <v>CHECK</v>
      </c>
      <c r="E41" s="257">
        <f>'Cap Table'!E56</f>
        <v>0</v>
      </c>
      <c r="F41" s="257">
        <f>'Cap Table'!F56</f>
        <v>0</v>
      </c>
      <c r="G41" s="257">
        <f>'Cap Table'!G56</f>
        <v>0</v>
      </c>
      <c r="H41" s="1360" t="e">
        <f>'Cap Table'!H56</f>
        <v>#DIV/0!</v>
      </c>
      <c r="I41" s="1361">
        <v>0</v>
      </c>
      <c r="J41" s="1361">
        <v>0</v>
      </c>
      <c r="K41" s="257">
        <f>'Cap Table'!K56</f>
        <v>0</v>
      </c>
      <c r="L41" s="257">
        <f>'Cap Table'!L56</f>
        <v>0</v>
      </c>
      <c r="M41" s="258">
        <f>'Cap Table'!M56</f>
        <v>0</v>
      </c>
      <c r="N41" s="258">
        <f>'Cap Table'!N56</f>
        <v>0</v>
      </c>
      <c r="O41" s="259">
        <f>'Cap Table'!O56</f>
        <v>0</v>
      </c>
      <c r="P41" s="1360" t="str">
        <f>'Cap Table'!P56</f>
        <v>DTCV OK; Investors OK</v>
      </c>
      <c r="Q41" s="1361">
        <v>0</v>
      </c>
      <c r="R41" s="1361">
        <v>0</v>
      </c>
      <c r="S41" s="257">
        <f>'Cap Table'!S56</f>
        <v>0</v>
      </c>
      <c r="T41" s="257">
        <f>'Cap Table'!T56</f>
        <v>0</v>
      </c>
      <c r="U41" s="258">
        <f>'Cap Table'!U56</f>
        <v>0</v>
      </c>
      <c r="V41" s="258">
        <f>'Cap Table'!V56</f>
        <v>0</v>
      </c>
      <c r="W41" s="259">
        <f>'Cap Table'!W56</f>
        <v>0</v>
      </c>
      <c r="X41" s="1360" t="str">
        <f>'Cap Table'!X56</f>
        <v>DTCV OK; Investors OK</v>
      </c>
      <c r="Y41" s="1361">
        <v>0</v>
      </c>
      <c r="Z41" s="1361">
        <v>0</v>
      </c>
      <c r="AA41" s="257">
        <f>'Cap Table'!AA56</f>
        <v>0</v>
      </c>
      <c r="AB41" s="257">
        <f>'Cap Table'!AB56</f>
        <v>0</v>
      </c>
      <c r="AC41" s="258">
        <f>'Cap Table'!AC56</f>
        <v>0</v>
      </c>
      <c r="AD41" s="258">
        <f>'Cap Table'!AD56</f>
        <v>0</v>
      </c>
      <c r="AE41" s="259">
        <f>'Cap Table'!AE56</f>
        <v>0</v>
      </c>
      <c r="AF41" s="1360" t="str">
        <f>'Cap Table'!AF56</f>
        <v>DTCV OK; Investors OK</v>
      </c>
      <c r="AG41" s="1361">
        <v>0</v>
      </c>
      <c r="AH41" s="1361">
        <v>0</v>
      </c>
      <c r="AI41" s="257">
        <f>'Cap Table'!AI56</f>
        <v>0</v>
      </c>
      <c r="AJ41" s="257">
        <f>'Cap Table'!AJ56</f>
        <v>0</v>
      </c>
      <c r="AK41" s="258">
        <f>'Cap Table'!AK56</f>
        <v>0</v>
      </c>
      <c r="AL41" s="258">
        <f>'Cap Table'!AL56</f>
        <v>0</v>
      </c>
      <c r="AM41" s="259">
        <f>'Cap Table'!AM56</f>
        <v>0</v>
      </c>
      <c r="AN41" s="1360" t="str">
        <f>'Cap Table'!AN56</f>
        <v>DTCV OK; Investors OK</v>
      </c>
      <c r="AO41" s="1361">
        <v>0</v>
      </c>
      <c r="AP41" s="1361">
        <v>0</v>
      </c>
      <c r="AQ41" s="257">
        <f>'Cap Table'!AQ56</f>
        <v>0</v>
      </c>
      <c r="AR41" s="257">
        <f>'Cap Table'!AR56</f>
        <v>0</v>
      </c>
      <c r="AS41" s="258">
        <f>'Cap Table'!AS56</f>
        <v>0</v>
      </c>
      <c r="AT41" s="258">
        <f>'Cap Table'!AT56</f>
        <v>0</v>
      </c>
      <c r="AU41" s="259">
        <f>'Cap Table'!AU56</f>
        <v>0</v>
      </c>
      <c r="AV41" s="1360" t="str">
        <f>'Cap Table'!AV56</f>
        <v>DTCV OK; Investors OK</v>
      </c>
      <c r="AW41" s="1361">
        <v>0</v>
      </c>
      <c r="AX41" s="1361">
        <v>0</v>
      </c>
      <c r="AY41" s="257">
        <f>'Cap Table'!AY56</f>
        <v>0</v>
      </c>
      <c r="AZ41" s="257">
        <f>'Cap Table'!AZ56</f>
        <v>0</v>
      </c>
      <c r="BA41" s="258">
        <f>'Cap Table'!BA56</f>
        <v>0</v>
      </c>
      <c r="BB41" s="258">
        <f>'Cap Table'!BB56</f>
        <v>0</v>
      </c>
      <c r="BC41" s="259">
        <f>'Cap Table'!BC56</f>
        <v>0</v>
      </c>
      <c r="BD41" s="1360" t="str">
        <f>'Cap Table'!BD56</f>
        <v>DTCV OK; Investors OK</v>
      </c>
      <c r="BE41" s="1361">
        <v>0</v>
      </c>
      <c r="BF41" s="1361">
        <v>0</v>
      </c>
      <c r="BG41" s="257">
        <f>'Cap Table'!BG56</f>
        <v>0</v>
      </c>
      <c r="BH41" s="257">
        <f>'Cap Table'!BH56</f>
        <v>0</v>
      </c>
      <c r="BI41" s="258">
        <f>'Cap Table'!BI56</f>
        <v>0</v>
      </c>
      <c r="BJ41" s="258">
        <f>'Cap Table'!BJ56</f>
        <v>0</v>
      </c>
      <c r="BK41" s="259">
        <f>'Cap Table'!BK56</f>
        <v>0</v>
      </c>
      <c r="BL41" s="1360" t="str">
        <f>'Cap Table'!BL56</f>
        <v>DTCV OK; Investors OK</v>
      </c>
      <c r="BM41" s="1361">
        <v>0</v>
      </c>
      <c r="BN41" s="1361">
        <v>0</v>
      </c>
      <c r="BO41" s="257">
        <f>'Cap Table'!BO56</f>
        <v>0</v>
      </c>
      <c r="BP41" s="257">
        <f>'Cap Table'!BP56</f>
        <v>0</v>
      </c>
      <c r="BQ41" s="258">
        <f>'Cap Table'!BQ56</f>
        <v>0</v>
      </c>
      <c r="BR41" s="258">
        <f>'Cap Table'!BR56</f>
        <v>0</v>
      </c>
      <c r="BS41" s="259">
        <f>'Cap Table'!BS56</f>
        <v>0</v>
      </c>
      <c r="BT41" s="1360" t="str">
        <f>'Cap Table'!BT56</f>
        <v>DTCV OK; Investors OK</v>
      </c>
      <c r="BU41" s="1361">
        <v>0</v>
      </c>
      <c r="BV41" s="1361">
        <v>0</v>
      </c>
      <c r="BW41" s="257">
        <f>'Cap Table'!BW56</f>
        <v>0</v>
      </c>
      <c r="BX41" s="257">
        <f>'Cap Table'!BX56</f>
        <v>0</v>
      </c>
      <c r="BY41" s="258">
        <f>'Cap Table'!BY56</f>
        <v>0</v>
      </c>
      <c r="BZ41" s="258">
        <f>'Cap Table'!BZ56</f>
        <v>0</v>
      </c>
      <c r="CA41" s="259">
        <f>'Cap Table'!CA56</f>
        <v>0</v>
      </c>
      <c r="CB41" s="180">
        <f>'Cap Table'!CB56</f>
        <v>0</v>
      </c>
      <c r="CC41" s="188">
        <f>'Cap Table'!CC56</f>
        <v>0</v>
      </c>
      <c r="CD41" s="180"/>
      <c r="CE41" s="180"/>
    </row>
    <row r="42" spans="1:83" s="255" customFormat="1" ht="15.75" customHeight="1" x14ac:dyDescent="0.35">
      <c r="A42" s="254"/>
      <c r="B42" s="254"/>
      <c r="D42" s="255">
        <f>'Cap Table'!D57</f>
        <v>0</v>
      </c>
      <c r="E42" s="255">
        <f>'Cap Table'!E57</f>
        <v>0</v>
      </c>
      <c r="F42" s="255">
        <f>'Cap Table'!F57</f>
        <v>0</v>
      </c>
      <c r="G42" s="255">
        <f>'Cap Table'!G57</f>
        <v>0</v>
      </c>
      <c r="H42" s="260">
        <f>'Cap Table'!H57</f>
        <v>0</v>
      </c>
      <c r="I42" s="260">
        <f>'Cap Table'!I57</f>
        <v>0</v>
      </c>
      <c r="J42" s="260">
        <f>'Cap Table'!J57</f>
        <v>0</v>
      </c>
      <c r="K42" s="255">
        <f>'Cap Table'!K57</f>
        <v>0</v>
      </c>
      <c r="L42" s="255">
        <f>'Cap Table'!L57</f>
        <v>0</v>
      </c>
      <c r="M42" s="261">
        <f>'Cap Table'!M57</f>
        <v>0</v>
      </c>
      <c r="N42" s="261">
        <f>'Cap Table'!N57</f>
        <v>0</v>
      </c>
      <c r="O42" s="188">
        <f>'Cap Table'!O57</f>
        <v>0</v>
      </c>
      <c r="P42" s="260">
        <f>'Cap Table'!P57</f>
        <v>0</v>
      </c>
      <c r="Q42" s="260">
        <f>'Cap Table'!Q57</f>
        <v>0</v>
      </c>
      <c r="R42" s="260">
        <f>'Cap Table'!R57</f>
        <v>0</v>
      </c>
      <c r="S42" s="255">
        <f>'Cap Table'!S57</f>
        <v>0</v>
      </c>
      <c r="T42" s="255">
        <f>'Cap Table'!T57</f>
        <v>0</v>
      </c>
      <c r="U42" s="261">
        <f>'Cap Table'!U57</f>
        <v>0</v>
      </c>
      <c r="V42" s="261">
        <f>'Cap Table'!V57</f>
        <v>0</v>
      </c>
      <c r="W42" s="188">
        <f>'Cap Table'!W57</f>
        <v>0</v>
      </c>
      <c r="X42" s="260">
        <f>'Cap Table'!X57</f>
        <v>0</v>
      </c>
      <c r="Y42" s="260">
        <f>'Cap Table'!Y57</f>
        <v>0</v>
      </c>
      <c r="Z42" s="260">
        <f>'Cap Table'!Z57</f>
        <v>0</v>
      </c>
      <c r="AA42" s="255">
        <f>'Cap Table'!AA57</f>
        <v>0</v>
      </c>
      <c r="AB42" s="255">
        <f>'Cap Table'!AB57</f>
        <v>0</v>
      </c>
      <c r="AC42" s="261">
        <f>'Cap Table'!AC57</f>
        <v>0</v>
      </c>
      <c r="AD42" s="261">
        <f>'Cap Table'!AD57</f>
        <v>0</v>
      </c>
      <c r="AE42" s="188">
        <f>'Cap Table'!AE57</f>
        <v>0</v>
      </c>
      <c r="AF42" s="260">
        <f>'Cap Table'!AF57</f>
        <v>0</v>
      </c>
      <c r="AG42" s="260">
        <f>'Cap Table'!AG57</f>
        <v>0</v>
      </c>
      <c r="AH42" s="260">
        <f>'Cap Table'!AH57</f>
        <v>0</v>
      </c>
      <c r="AI42" s="255">
        <f>'Cap Table'!AI57</f>
        <v>0</v>
      </c>
      <c r="AJ42" s="255">
        <f>'Cap Table'!AJ57</f>
        <v>0</v>
      </c>
      <c r="AK42" s="261">
        <f>'Cap Table'!AK57</f>
        <v>0</v>
      </c>
      <c r="AL42" s="261">
        <f>'Cap Table'!AL57</f>
        <v>0</v>
      </c>
      <c r="AM42" s="188">
        <f>'Cap Table'!AM57</f>
        <v>0</v>
      </c>
      <c r="AN42" s="260">
        <f>'Cap Table'!AN57</f>
        <v>0</v>
      </c>
      <c r="AO42" s="260">
        <f>'Cap Table'!AO57</f>
        <v>0</v>
      </c>
      <c r="AP42" s="260">
        <f>'Cap Table'!AP57</f>
        <v>0</v>
      </c>
      <c r="AQ42" s="255">
        <f>'Cap Table'!AQ57</f>
        <v>0</v>
      </c>
      <c r="AR42" s="255">
        <f>'Cap Table'!AR57</f>
        <v>0</v>
      </c>
      <c r="AS42" s="261">
        <f>'Cap Table'!AS57</f>
        <v>0</v>
      </c>
      <c r="AT42" s="261">
        <f>'Cap Table'!AT57</f>
        <v>0</v>
      </c>
      <c r="AU42" s="188">
        <f>'Cap Table'!AU57</f>
        <v>0</v>
      </c>
      <c r="AV42" s="260">
        <f>'Cap Table'!AV57</f>
        <v>0</v>
      </c>
      <c r="AW42" s="260">
        <f>'Cap Table'!AW57</f>
        <v>0</v>
      </c>
      <c r="AX42" s="260">
        <f>'Cap Table'!AX57</f>
        <v>0</v>
      </c>
      <c r="AY42" s="255">
        <f>'Cap Table'!AY57</f>
        <v>0</v>
      </c>
      <c r="AZ42" s="255">
        <f>'Cap Table'!AZ57</f>
        <v>0</v>
      </c>
      <c r="BA42" s="261">
        <f>'Cap Table'!BA57</f>
        <v>0</v>
      </c>
      <c r="BB42" s="261">
        <f>'Cap Table'!BB57</f>
        <v>0</v>
      </c>
      <c r="BC42" s="188">
        <f>'Cap Table'!BC57</f>
        <v>0</v>
      </c>
      <c r="BD42" s="260">
        <f>'Cap Table'!BD57</f>
        <v>0</v>
      </c>
      <c r="BE42" s="260">
        <f>'Cap Table'!BE57</f>
        <v>0</v>
      </c>
      <c r="BF42" s="260">
        <f>'Cap Table'!BF57</f>
        <v>0</v>
      </c>
      <c r="BG42" s="255">
        <f>'Cap Table'!BG57</f>
        <v>0</v>
      </c>
      <c r="BH42" s="255">
        <f>'Cap Table'!BH57</f>
        <v>0</v>
      </c>
      <c r="BI42" s="261">
        <f>'Cap Table'!BI57</f>
        <v>0</v>
      </c>
      <c r="BJ42" s="261">
        <f>'Cap Table'!BJ57</f>
        <v>0</v>
      </c>
      <c r="BK42" s="188">
        <f>'Cap Table'!BK57</f>
        <v>0</v>
      </c>
      <c r="BL42" s="260">
        <f>'Cap Table'!BL57</f>
        <v>0</v>
      </c>
      <c r="BM42" s="260">
        <f>'Cap Table'!BM57</f>
        <v>0</v>
      </c>
      <c r="BN42" s="260">
        <f>'Cap Table'!BN57</f>
        <v>0</v>
      </c>
      <c r="BO42" s="255">
        <f>'Cap Table'!BO57</f>
        <v>0</v>
      </c>
      <c r="BP42" s="255">
        <f>'Cap Table'!BP57</f>
        <v>0</v>
      </c>
      <c r="BQ42" s="261">
        <f>'Cap Table'!BQ57</f>
        <v>0</v>
      </c>
      <c r="BR42" s="261">
        <f>'Cap Table'!BR57</f>
        <v>0</v>
      </c>
      <c r="BS42" s="188">
        <f>'Cap Table'!BS57</f>
        <v>0</v>
      </c>
      <c r="BT42" s="260">
        <f>'Cap Table'!BT57</f>
        <v>0</v>
      </c>
      <c r="BU42" s="260">
        <f>'Cap Table'!BU57</f>
        <v>0</v>
      </c>
      <c r="BV42" s="260">
        <f>'Cap Table'!BV57</f>
        <v>0</v>
      </c>
      <c r="BW42" s="255">
        <f>'Cap Table'!BW57</f>
        <v>0</v>
      </c>
      <c r="BX42" s="255">
        <f>'Cap Table'!BX57</f>
        <v>0</v>
      </c>
      <c r="BY42" s="261">
        <f>'Cap Table'!BY57</f>
        <v>0</v>
      </c>
      <c r="BZ42" s="261">
        <f>'Cap Table'!BZ57</f>
        <v>0</v>
      </c>
      <c r="CA42" s="188">
        <f>'Cap Table'!CA57</f>
        <v>0</v>
      </c>
      <c r="CB42" s="180">
        <f>'Cap Table'!CB57</f>
        <v>0</v>
      </c>
      <c r="CC42" s="188">
        <f>'Cap Table'!CC57</f>
        <v>0</v>
      </c>
      <c r="CD42" s="180"/>
      <c r="CE42" s="180"/>
    </row>
    <row r="43" spans="1:83" s="255" customFormat="1" ht="15.75" customHeight="1" x14ac:dyDescent="0.35">
      <c r="A43" s="254"/>
      <c r="B43" s="254"/>
      <c r="D43" s="255">
        <f>'Cap Table'!D58</f>
        <v>0</v>
      </c>
      <c r="E43" s="255">
        <f>'Cap Table'!E58</f>
        <v>0</v>
      </c>
      <c r="F43" s="255">
        <f>'Cap Table'!F58</f>
        <v>0</v>
      </c>
      <c r="G43" s="255">
        <f>'Cap Table'!G58</f>
        <v>0</v>
      </c>
      <c r="H43" s="262" t="str">
        <f>'Cap Table'!H58</f>
        <v>Seed Round</v>
      </c>
      <c r="I43" s="260">
        <f>'Cap Table'!I58</f>
        <v>0</v>
      </c>
      <c r="J43" s="260">
        <f>'Cap Table'!J58</f>
        <v>0</v>
      </c>
      <c r="K43" s="207">
        <f>'Cap Table'!K58</f>
        <v>0</v>
      </c>
      <c r="L43" s="207">
        <f>'Cap Table'!L58</f>
        <v>0</v>
      </c>
      <c r="M43" s="207">
        <f>'Cap Table'!M58</f>
        <v>0</v>
      </c>
      <c r="N43" s="188">
        <f>'Cap Table'!N58</f>
        <v>0</v>
      </c>
      <c r="O43" s="188">
        <f>'Cap Table'!O58</f>
        <v>0</v>
      </c>
      <c r="P43" s="263" t="str">
        <f>'Cap Table'!P58</f>
        <v>Series A Round</v>
      </c>
      <c r="Q43" s="260">
        <f>'Cap Table'!Q58</f>
        <v>0</v>
      </c>
      <c r="R43" s="260">
        <f>'Cap Table'!R58</f>
        <v>0</v>
      </c>
      <c r="S43" s="207">
        <f>'Cap Table'!S58</f>
        <v>0</v>
      </c>
      <c r="T43" s="207">
        <f>'Cap Table'!T58</f>
        <v>0</v>
      </c>
      <c r="U43" s="207">
        <f>'Cap Table'!U58</f>
        <v>0</v>
      </c>
      <c r="V43" s="261">
        <f>'Cap Table'!V58</f>
        <v>0</v>
      </c>
      <c r="W43" s="188">
        <f>'Cap Table'!W58</f>
        <v>0</v>
      </c>
      <c r="X43" s="263" t="str">
        <f>'Cap Table'!X58</f>
        <v>Series B Round</v>
      </c>
      <c r="Y43" s="260">
        <f>'Cap Table'!Y58</f>
        <v>0</v>
      </c>
      <c r="Z43" s="260">
        <f>'Cap Table'!Z58</f>
        <v>0</v>
      </c>
      <c r="AA43" s="207">
        <f>'Cap Table'!AA58</f>
        <v>0</v>
      </c>
      <c r="AB43" s="207">
        <f>'Cap Table'!AB58</f>
        <v>0</v>
      </c>
      <c r="AC43" s="207">
        <f>'Cap Table'!AC58</f>
        <v>0</v>
      </c>
      <c r="AD43" s="261">
        <f>'Cap Table'!AD58</f>
        <v>0</v>
      </c>
      <c r="AE43" s="188">
        <f>'Cap Table'!AE58</f>
        <v>0</v>
      </c>
      <c r="AF43" s="263" t="str">
        <f>'Cap Table'!AF58</f>
        <v>Series C Round</v>
      </c>
      <c r="AG43" s="255">
        <f>'Cap Table'!AG58</f>
        <v>0</v>
      </c>
      <c r="AH43" s="255">
        <f>'Cap Table'!AH58</f>
        <v>0</v>
      </c>
      <c r="AI43" s="207">
        <f>'Cap Table'!AI58</f>
        <v>0</v>
      </c>
      <c r="AJ43" s="207">
        <f>'Cap Table'!AJ58</f>
        <v>0</v>
      </c>
      <c r="AK43" s="207">
        <f>'Cap Table'!AK58</f>
        <v>0</v>
      </c>
      <c r="AL43" s="261">
        <f>'Cap Table'!AL58</f>
        <v>0</v>
      </c>
      <c r="AM43" s="188">
        <f>'Cap Table'!AM58</f>
        <v>0</v>
      </c>
      <c r="AN43" s="263" t="str">
        <f>'Cap Table'!AN58</f>
        <v>Series D Round</v>
      </c>
      <c r="AO43" s="255">
        <f>'Cap Table'!AO58</f>
        <v>0</v>
      </c>
      <c r="AP43" s="255">
        <f>'Cap Table'!AP58</f>
        <v>0</v>
      </c>
      <c r="AQ43" s="207">
        <f>'Cap Table'!AQ58</f>
        <v>0</v>
      </c>
      <c r="AR43" s="207">
        <f>'Cap Table'!AR58</f>
        <v>0</v>
      </c>
      <c r="AS43" s="207">
        <f>'Cap Table'!AS58</f>
        <v>0</v>
      </c>
      <c r="AT43" s="261">
        <f>'Cap Table'!AT58</f>
        <v>0</v>
      </c>
      <c r="AU43" s="188">
        <f>'Cap Table'!AU58</f>
        <v>0</v>
      </c>
      <c r="AV43" s="263" t="str">
        <f>'Cap Table'!AV58</f>
        <v>Series E Round</v>
      </c>
      <c r="AW43" s="255">
        <f>'Cap Table'!AW58</f>
        <v>0</v>
      </c>
      <c r="AX43" s="255">
        <f>'Cap Table'!AX58</f>
        <v>0</v>
      </c>
      <c r="AY43" s="207">
        <f>'Cap Table'!AY58</f>
        <v>0</v>
      </c>
      <c r="AZ43" s="207">
        <f>'Cap Table'!AZ58</f>
        <v>0</v>
      </c>
      <c r="BA43" s="207">
        <f>'Cap Table'!BA58</f>
        <v>0</v>
      </c>
      <c r="BB43" s="261">
        <f>'Cap Table'!BB58</f>
        <v>0</v>
      </c>
      <c r="BC43" s="188">
        <f>'Cap Table'!BC58</f>
        <v>0</v>
      </c>
      <c r="BD43" s="263" t="str">
        <f>'Cap Table'!BD58</f>
        <v>Series E-1 Round</v>
      </c>
      <c r="BE43" s="255">
        <f>'Cap Table'!BE58</f>
        <v>0</v>
      </c>
      <c r="BF43" s="255">
        <f>'Cap Table'!BF58</f>
        <v>0</v>
      </c>
      <c r="BG43" s="207">
        <f>'Cap Table'!BG58</f>
        <v>0</v>
      </c>
      <c r="BH43" s="207">
        <f>'Cap Table'!BH58</f>
        <v>0</v>
      </c>
      <c r="BI43" s="207">
        <f>'Cap Table'!BI58</f>
        <v>0</v>
      </c>
      <c r="BJ43" s="261">
        <f>'Cap Table'!BJ58</f>
        <v>0</v>
      </c>
      <c r="BK43" s="188">
        <f>'Cap Table'!BK58</f>
        <v>0</v>
      </c>
      <c r="BL43" s="263" t="str">
        <f>'Cap Table'!BL58</f>
        <v>Series F Round</v>
      </c>
      <c r="BM43" s="255">
        <f>'Cap Table'!BM58</f>
        <v>0</v>
      </c>
      <c r="BN43" s="255">
        <f>'Cap Table'!BN58</f>
        <v>0</v>
      </c>
      <c r="BO43" s="207">
        <f>'Cap Table'!BO58</f>
        <v>0</v>
      </c>
      <c r="BP43" s="207">
        <f>'Cap Table'!BP58</f>
        <v>0</v>
      </c>
      <c r="BQ43" s="207">
        <f>'Cap Table'!BQ58</f>
        <v>0</v>
      </c>
      <c r="BR43" s="261">
        <f>'Cap Table'!BR58</f>
        <v>0</v>
      </c>
      <c r="BS43" s="188">
        <f>'Cap Table'!BS58</f>
        <v>0</v>
      </c>
      <c r="BT43" s="263" t="str">
        <f>'Cap Table'!BT58</f>
        <v>Series G Round</v>
      </c>
      <c r="BU43" s="255">
        <f>'Cap Table'!BU58</f>
        <v>0</v>
      </c>
      <c r="BV43" s="255">
        <f>'Cap Table'!BV58</f>
        <v>0</v>
      </c>
      <c r="BW43" s="207">
        <f>'Cap Table'!BW58</f>
        <v>0</v>
      </c>
      <c r="BX43" s="207">
        <f>'Cap Table'!BX58</f>
        <v>0</v>
      </c>
      <c r="BY43" s="207">
        <f>'Cap Table'!BY58</f>
        <v>0</v>
      </c>
      <c r="BZ43" s="261">
        <f>'Cap Table'!BZ58</f>
        <v>0</v>
      </c>
      <c r="CA43" s="188">
        <f>'Cap Table'!CA58</f>
        <v>0</v>
      </c>
      <c r="CB43" s="180">
        <f>'Cap Table'!CB58</f>
        <v>0</v>
      </c>
      <c r="CC43" s="188">
        <f>'Cap Table'!CC58</f>
        <v>0</v>
      </c>
      <c r="CD43" s="180"/>
      <c r="CE43" s="180"/>
    </row>
    <row r="44" spans="1:83" ht="15.75" customHeight="1" x14ac:dyDescent="0.35">
      <c r="D44" s="191">
        <f>'Cap Table'!D59</f>
        <v>0</v>
      </c>
      <c r="E44" s="191">
        <f>'Cap Table'!E59</f>
        <v>0</v>
      </c>
      <c r="F44" s="1362" t="str">
        <f>'Cap Table'!F59</f>
        <v>Pre-Money Valuation</v>
      </c>
      <c r="G44" s="1362">
        <v>0</v>
      </c>
      <c r="H44" s="319" t="e">
        <f>'Cap Table'!H59</f>
        <v>#DIV/0!</v>
      </c>
      <c r="I44" s="192">
        <f>'Cap Table'!I59</f>
        <v>0</v>
      </c>
      <c r="J44" s="192">
        <f>'Cap Table'!J59</f>
        <v>0</v>
      </c>
      <c r="K44" s="191">
        <f>'Cap Table'!K59</f>
        <v>0</v>
      </c>
      <c r="L44" s="191">
        <f>'Cap Table'!L59</f>
        <v>0</v>
      </c>
      <c r="M44" s="191">
        <f>'Cap Table'!M59</f>
        <v>0</v>
      </c>
      <c r="N44" s="192">
        <f>'Cap Table'!N59</f>
        <v>0</v>
      </c>
      <c r="O44" s="192">
        <f>'Cap Table'!O59</f>
        <v>0</v>
      </c>
      <c r="P44" s="319">
        <f>'Cap Table'!P59</f>
        <v>0</v>
      </c>
      <c r="Q44" s="191">
        <f>'Cap Table'!Q59</f>
        <v>0</v>
      </c>
      <c r="R44" s="191">
        <f>'Cap Table'!R59</f>
        <v>0</v>
      </c>
      <c r="S44" s="191">
        <f>'Cap Table'!S59</f>
        <v>0</v>
      </c>
      <c r="T44" s="191">
        <f>'Cap Table'!T59</f>
        <v>0</v>
      </c>
      <c r="U44" s="191">
        <f>'Cap Table'!U59</f>
        <v>0</v>
      </c>
      <c r="V44" s="191">
        <f>'Cap Table'!V59</f>
        <v>0</v>
      </c>
      <c r="W44" s="191">
        <f>'Cap Table'!W59</f>
        <v>0</v>
      </c>
      <c r="X44" s="319">
        <f>'Cap Table'!X59</f>
        <v>0</v>
      </c>
      <c r="Y44" s="191">
        <f>'Cap Table'!Y59</f>
        <v>0</v>
      </c>
      <c r="Z44" s="191">
        <f>'Cap Table'!Z59</f>
        <v>0</v>
      </c>
      <c r="AA44" s="191">
        <f>'Cap Table'!AA59</f>
        <v>0</v>
      </c>
      <c r="AB44" s="191">
        <f>'Cap Table'!AB59</f>
        <v>0</v>
      </c>
      <c r="AC44" s="191">
        <f>'Cap Table'!AC59</f>
        <v>0</v>
      </c>
      <c r="AD44" s="191">
        <f>'Cap Table'!AD59</f>
        <v>0</v>
      </c>
      <c r="AE44" s="191">
        <f>'Cap Table'!AE59</f>
        <v>0</v>
      </c>
      <c r="AF44" s="319">
        <f>'Cap Table'!AF59</f>
        <v>0</v>
      </c>
      <c r="AG44" s="191">
        <f>'Cap Table'!AG59</f>
        <v>0</v>
      </c>
      <c r="AH44" s="191">
        <f>'Cap Table'!AH59</f>
        <v>0</v>
      </c>
      <c r="AI44" s="191">
        <f>'Cap Table'!AI59</f>
        <v>0</v>
      </c>
      <c r="AJ44" s="191">
        <f>'Cap Table'!AJ59</f>
        <v>0</v>
      </c>
      <c r="AK44" s="191">
        <f>'Cap Table'!AK59</f>
        <v>0</v>
      </c>
      <c r="AL44" s="191">
        <f>'Cap Table'!AL59</f>
        <v>0</v>
      </c>
      <c r="AM44" s="191">
        <f>'Cap Table'!AM59</f>
        <v>0</v>
      </c>
      <c r="AN44" s="319">
        <f>'Cap Table'!AN59</f>
        <v>0</v>
      </c>
      <c r="AO44" s="191">
        <f>'Cap Table'!AO59</f>
        <v>0</v>
      </c>
      <c r="AP44" s="191">
        <f>'Cap Table'!AP59</f>
        <v>0</v>
      </c>
      <c r="AQ44" s="191">
        <f>'Cap Table'!AQ59</f>
        <v>0</v>
      </c>
      <c r="AR44" s="191">
        <f>'Cap Table'!AR59</f>
        <v>0</v>
      </c>
      <c r="AS44" s="191">
        <f>'Cap Table'!AS59</f>
        <v>0</v>
      </c>
      <c r="AT44" s="191">
        <f>'Cap Table'!AT59</f>
        <v>0</v>
      </c>
      <c r="AU44" s="191">
        <f>'Cap Table'!AU59</f>
        <v>0</v>
      </c>
      <c r="AV44" s="319">
        <f>'Cap Table'!AV59</f>
        <v>0</v>
      </c>
      <c r="AW44" s="191">
        <f>'Cap Table'!AW59</f>
        <v>0</v>
      </c>
      <c r="AX44" s="191">
        <f>'Cap Table'!AX59</f>
        <v>0</v>
      </c>
      <c r="AY44" s="191">
        <f>'Cap Table'!AY59</f>
        <v>0</v>
      </c>
      <c r="AZ44" s="191">
        <f>'Cap Table'!AZ59</f>
        <v>0</v>
      </c>
      <c r="BA44" s="191">
        <f>'Cap Table'!BA59</f>
        <v>0</v>
      </c>
      <c r="BB44" s="191">
        <f>'Cap Table'!BB59</f>
        <v>0</v>
      </c>
      <c r="BC44" s="191">
        <f>'Cap Table'!BC59</f>
        <v>0</v>
      </c>
      <c r="BD44" s="319">
        <f>'Cap Table'!BD59</f>
        <v>0</v>
      </c>
      <c r="BE44" s="191">
        <f>'Cap Table'!BE59</f>
        <v>0</v>
      </c>
      <c r="BF44" s="191">
        <f>'Cap Table'!BF59</f>
        <v>0</v>
      </c>
      <c r="BG44" s="191">
        <f>'Cap Table'!BG59</f>
        <v>0</v>
      </c>
      <c r="BH44" s="191">
        <f>'Cap Table'!BH59</f>
        <v>0</v>
      </c>
      <c r="BI44" s="191">
        <f>'Cap Table'!BI59</f>
        <v>0</v>
      </c>
      <c r="BJ44" s="191">
        <f>'Cap Table'!BJ59</f>
        <v>0</v>
      </c>
      <c r="BK44" s="191">
        <f>'Cap Table'!BK59</f>
        <v>0</v>
      </c>
      <c r="BL44" s="319">
        <f>'Cap Table'!BL59</f>
        <v>0</v>
      </c>
      <c r="BM44" s="191">
        <f>'Cap Table'!BM59</f>
        <v>0</v>
      </c>
      <c r="BN44" s="191">
        <f>'Cap Table'!BN59</f>
        <v>0</v>
      </c>
      <c r="BO44" s="191">
        <f>'Cap Table'!BO59</f>
        <v>0</v>
      </c>
      <c r="BP44" s="191">
        <f>'Cap Table'!BP59</f>
        <v>0</v>
      </c>
      <c r="BQ44" s="191">
        <f>'Cap Table'!BQ59</f>
        <v>0</v>
      </c>
      <c r="BR44" s="191">
        <f>'Cap Table'!BR59</f>
        <v>0</v>
      </c>
      <c r="BS44" s="191">
        <f>'Cap Table'!BS59</f>
        <v>0</v>
      </c>
      <c r="BT44" s="319">
        <f>'Cap Table'!BT59</f>
        <v>0</v>
      </c>
      <c r="BU44" s="191">
        <f>'Cap Table'!BU59</f>
        <v>0</v>
      </c>
      <c r="BV44" s="191">
        <f>'Cap Table'!BV59</f>
        <v>0</v>
      </c>
      <c r="BW44" s="191">
        <f>'Cap Table'!BW59</f>
        <v>0</v>
      </c>
      <c r="BX44" s="191">
        <f>'Cap Table'!BX59</f>
        <v>0</v>
      </c>
      <c r="BY44" s="191">
        <f>'Cap Table'!BY59</f>
        <v>0</v>
      </c>
      <c r="BZ44" s="191">
        <f>'Cap Table'!BZ59</f>
        <v>0</v>
      </c>
      <c r="CA44" s="191">
        <f>'Cap Table'!CA59</f>
        <v>0</v>
      </c>
      <c r="CB44" s="181">
        <f>'Cap Table'!CB59</f>
        <v>0</v>
      </c>
      <c r="CC44" s="191">
        <f>'Cap Table'!CC59</f>
        <v>0</v>
      </c>
    </row>
    <row r="45" spans="1:83" ht="15.75" customHeight="1" x14ac:dyDescent="0.35">
      <c r="D45" s="191">
        <f>'Cap Table'!D60</f>
        <v>0</v>
      </c>
      <c r="E45" s="191">
        <f>'Cap Table'!E60</f>
        <v>0</v>
      </c>
      <c r="F45" s="1362" t="str">
        <f>'Cap Table'!F60</f>
        <v>Money Raised</v>
      </c>
      <c r="G45" s="1362">
        <v>0</v>
      </c>
      <c r="H45" s="319" t="e">
        <f>'Cap Table'!H60</f>
        <v>#DIV/0!</v>
      </c>
      <c r="I45" s="192">
        <f>'Cap Table'!I60</f>
        <v>0</v>
      </c>
      <c r="J45" s="192">
        <f>'Cap Table'!J60</f>
        <v>0</v>
      </c>
      <c r="K45" s="191">
        <f>'Cap Table'!K60</f>
        <v>0</v>
      </c>
      <c r="L45" s="191">
        <f>'Cap Table'!L60</f>
        <v>0</v>
      </c>
      <c r="M45" s="191">
        <f>'Cap Table'!M60</f>
        <v>0</v>
      </c>
      <c r="N45" s="192">
        <f>'Cap Table'!N60</f>
        <v>0</v>
      </c>
      <c r="O45" s="192">
        <f>'Cap Table'!O60</f>
        <v>0</v>
      </c>
      <c r="P45" s="319">
        <f>'Cap Table'!P60</f>
        <v>0</v>
      </c>
      <c r="Q45" s="191">
        <f>'Cap Table'!Q60</f>
        <v>0</v>
      </c>
      <c r="R45" s="191">
        <f>'Cap Table'!R60</f>
        <v>0</v>
      </c>
      <c r="S45" s="191">
        <f>'Cap Table'!S60</f>
        <v>0</v>
      </c>
      <c r="T45" s="191">
        <f>'Cap Table'!T60</f>
        <v>0</v>
      </c>
      <c r="U45" s="191">
        <f>'Cap Table'!U60</f>
        <v>0</v>
      </c>
      <c r="V45" s="191">
        <f>'Cap Table'!V60</f>
        <v>0</v>
      </c>
      <c r="W45" s="191">
        <f>'Cap Table'!W60</f>
        <v>0</v>
      </c>
      <c r="X45" s="319">
        <f>'Cap Table'!X60</f>
        <v>0</v>
      </c>
      <c r="Y45" s="191">
        <f>'Cap Table'!Y60</f>
        <v>0</v>
      </c>
      <c r="Z45" s="191">
        <f>'Cap Table'!Z60</f>
        <v>0</v>
      </c>
      <c r="AA45" s="191">
        <f>'Cap Table'!AA60</f>
        <v>0</v>
      </c>
      <c r="AB45" s="191">
        <f>'Cap Table'!AB60</f>
        <v>0</v>
      </c>
      <c r="AC45" s="191">
        <f>'Cap Table'!AC60</f>
        <v>0</v>
      </c>
      <c r="AD45" s="191">
        <f>'Cap Table'!AD60</f>
        <v>0</v>
      </c>
      <c r="AE45" s="191">
        <f>'Cap Table'!AE60</f>
        <v>0</v>
      </c>
      <c r="AF45" s="319">
        <f>'Cap Table'!AF60</f>
        <v>0</v>
      </c>
      <c r="AG45" s="191">
        <f>'Cap Table'!AG60</f>
        <v>0</v>
      </c>
      <c r="AH45" s="191">
        <f>'Cap Table'!AH60</f>
        <v>0</v>
      </c>
      <c r="AI45" s="191">
        <f>'Cap Table'!AI60</f>
        <v>0</v>
      </c>
      <c r="AJ45" s="191">
        <f>'Cap Table'!AJ60</f>
        <v>0</v>
      </c>
      <c r="AK45" s="191">
        <f>'Cap Table'!AK60</f>
        <v>0</v>
      </c>
      <c r="AL45" s="191">
        <f>'Cap Table'!AL60</f>
        <v>0</v>
      </c>
      <c r="AM45" s="191">
        <f>'Cap Table'!AM60</f>
        <v>0</v>
      </c>
      <c r="AN45" s="319">
        <f>'Cap Table'!AN60</f>
        <v>0</v>
      </c>
      <c r="AO45" s="191">
        <f>'Cap Table'!AO60</f>
        <v>0</v>
      </c>
      <c r="AP45" s="191">
        <f>'Cap Table'!AP60</f>
        <v>0</v>
      </c>
      <c r="AQ45" s="191">
        <f>'Cap Table'!AQ60</f>
        <v>0</v>
      </c>
      <c r="AR45" s="191">
        <f>'Cap Table'!AR60</f>
        <v>0</v>
      </c>
      <c r="AS45" s="191">
        <f>'Cap Table'!AS60</f>
        <v>0</v>
      </c>
      <c r="AT45" s="191">
        <f>'Cap Table'!AT60</f>
        <v>0</v>
      </c>
      <c r="AU45" s="191">
        <f>'Cap Table'!AU60</f>
        <v>0</v>
      </c>
      <c r="AV45" s="319">
        <f>'Cap Table'!AV60</f>
        <v>0</v>
      </c>
      <c r="AW45" s="191">
        <f>'Cap Table'!AW60</f>
        <v>0</v>
      </c>
      <c r="AX45" s="191">
        <f>'Cap Table'!AX60</f>
        <v>0</v>
      </c>
      <c r="AY45" s="191">
        <f>'Cap Table'!AY60</f>
        <v>0</v>
      </c>
      <c r="AZ45" s="191">
        <f>'Cap Table'!AZ60</f>
        <v>0</v>
      </c>
      <c r="BA45" s="191">
        <f>'Cap Table'!BA60</f>
        <v>0</v>
      </c>
      <c r="BB45" s="191">
        <f>'Cap Table'!BB60</f>
        <v>0</v>
      </c>
      <c r="BC45" s="191">
        <f>'Cap Table'!BC60</f>
        <v>0</v>
      </c>
      <c r="BD45" s="319">
        <f>'Cap Table'!BD60</f>
        <v>0</v>
      </c>
      <c r="BE45" s="191">
        <f>'Cap Table'!BE60</f>
        <v>0</v>
      </c>
      <c r="BF45" s="191">
        <f>'Cap Table'!BF60</f>
        <v>0</v>
      </c>
      <c r="BG45" s="191">
        <f>'Cap Table'!BG60</f>
        <v>0</v>
      </c>
      <c r="BH45" s="191">
        <f>'Cap Table'!BH60</f>
        <v>0</v>
      </c>
      <c r="BI45" s="191">
        <f>'Cap Table'!BI60</f>
        <v>0</v>
      </c>
      <c r="BJ45" s="191">
        <f>'Cap Table'!BJ60</f>
        <v>0</v>
      </c>
      <c r="BK45" s="191">
        <f>'Cap Table'!BK60</f>
        <v>0</v>
      </c>
      <c r="BL45" s="319">
        <f>'Cap Table'!BL60</f>
        <v>0</v>
      </c>
      <c r="BM45" s="191">
        <f>'Cap Table'!BM60</f>
        <v>0</v>
      </c>
      <c r="BN45" s="191">
        <f>'Cap Table'!BN60</f>
        <v>0</v>
      </c>
      <c r="BO45" s="191">
        <f>'Cap Table'!BO60</f>
        <v>0</v>
      </c>
      <c r="BP45" s="191">
        <f>'Cap Table'!BP60</f>
        <v>0</v>
      </c>
      <c r="BQ45" s="191">
        <f>'Cap Table'!BQ60</f>
        <v>0</v>
      </c>
      <c r="BR45" s="191">
        <f>'Cap Table'!BR60</f>
        <v>0</v>
      </c>
      <c r="BS45" s="191">
        <f>'Cap Table'!BS60</f>
        <v>0</v>
      </c>
      <c r="BT45" s="319">
        <f>'Cap Table'!BT60</f>
        <v>0</v>
      </c>
      <c r="BU45" s="191">
        <f>'Cap Table'!BU60</f>
        <v>0</v>
      </c>
      <c r="BV45" s="191">
        <f>'Cap Table'!BV60</f>
        <v>0</v>
      </c>
      <c r="BW45" s="191">
        <f>'Cap Table'!BW60</f>
        <v>0</v>
      </c>
      <c r="BX45" s="191">
        <f>'Cap Table'!BX60</f>
        <v>0</v>
      </c>
      <c r="BY45" s="191">
        <f>'Cap Table'!BY60</f>
        <v>0</v>
      </c>
      <c r="BZ45" s="191">
        <f>'Cap Table'!BZ60</f>
        <v>0</v>
      </c>
      <c r="CA45" s="191">
        <f>'Cap Table'!CA60</f>
        <v>0</v>
      </c>
      <c r="CB45" s="181">
        <f>'Cap Table'!CB60</f>
        <v>0</v>
      </c>
      <c r="CC45" s="191">
        <f>'Cap Table'!CC60</f>
        <v>0</v>
      </c>
    </row>
    <row r="46" spans="1:83" ht="15.75" customHeight="1" x14ac:dyDescent="0.35">
      <c r="D46" s="191">
        <f>'Cap Table'!D61</f>
        <v>0</v>
      </c>
      <c r="E46" s="191">
        <f>'Cap Table'!E61</f>
        <v>0</v>
      </c>
      <c r="F46" s="1362" t="str">
        <f>'Cap Table'!F61</f>
        <v>Post-Money Valuation</v>
      </c>
      <c r="G46" s="1362">
        <v>0</v>
      </c>
      <c r="H46" s="319" t="e">
        <f>'Cap Table'!H61</f>
        <v>#DIV/0!</v>
      </c>
      <c r="I46" s="192">
        <f>'Cap Table'!I61</f>
        <v>0</v>
      </c>
      <c r="J46" s="192">
        <f>'Cap Table'!J61</f>
        <v>0</v>
      </c>
      <c r="K46" s="192">
        <f>'Cap Table'!K61</f>
        <v>0</v>
      </c>
      <c r="L46" s="192">
        <f>'Cap Table'!L61</f>
        <v>0</v>
      </c>
      <c r="M46" s="192">
        <f>'Cap Table'!M61</f>
        <v>0</v>
      </c>
      <c r="N46" s="192">
        <f>'Cap Table'!N61</f>
        <v>0</v>
      </c>
      <c r="O46" s="192">
        <f>'Cap Table'!O61</f>
        <v>0</v>
      </c>
      <c r="P46" s="319">
        <f>'Cap Table'!P61</f>
        <v>0</v>
      </c>
      <c r="Q46" s="191">
        <f>'Cap Table'!Q61</f>
        <v>0</v>
      </c>
      <c r="R46" s="191">
        <f>'Cap Table'!R61</f>
        <v>0</v>
      </c>
      <c r="S46" s="192">
        <f>'Cap Table'!S61</f>
        <v>0</v>
      </c>
      <c r="T46" s="192">
        <f>'Cap Table'!T61</f>
        <v>0</v>
      </c>
      <c r="U46" s="192">
        <f>'Cap Table'!U61</f>
        <v>0</v>
      </c>
      <c r="V46" s="191">
        <f>'Cap Table'!V61</f>
        <v>0</v>
      </c>
      <c r="W46" s="191">
        <f>'Cap Table'!W61</f>
        <v>0</v>
      </c>
      <c r="X46" s="319">
        <f>'Cap Table'!X61</f>
        <v>0</v>
      </c>
      <c r="Y46" s="191">
        <f>'Cap Table'!Y61</f>
        <v>0</v>
      </c>
      <c r="Z46" s="191">
        <f>'Cap Table'!Z61</f>
        <v>0</v>
      </c>
      <c r="AA46" s="192">
        <f>'Cap Table'!AA61</f>
        <v>0</v>
      </c>
      <c r="AB46" s="192">
        <f>'Cap Table'!AB61</f>
        <v>0</v>
      </c>
      <c r="AC46" s="192">
        <f>'Cap Table'!AC61</f>
        <v>0</v>
      </c>
      <c r="AD46" s="191">
        <f>'Cap Table'!AD61</f>
        <v>0</v>
      </c>
      <c r="AE46" s="191">
        <f>'Cap Table'!AE61</f>
        <v>0</v>
      </c>
      <c r="AF46" s="319">
        <f>'Cap Table'!AF61</f>
        <v>0</v>
      </c>
      <c r="AG46" s="191">
        <f>'Cap Table'!AG61</f>
        <v>0</v>
      </c>
      <c r="AH46" s="191">
        <f>'Cap Table'!AH61</f>
        <v>0</v>
      </c>
      <c r="AI46" s="192">
        <f>'Cap Table'!AI61</f>
        <v>0</v>
      </c>
      <c r="AJ46" s="192">
        <f>'Cap Table'!AJ61</f>
        <v>0</v>
      </c>
      <c r="AK46" s="192">
        <f>'Cap Table'!AK61</f>
        <v>0</v>
      </c>
      <c r="AL46" s="191">
        <f>'Cap Table'!AL61</f>
        <v>0</v>
      </c>
      <c r="AM46" s="191">
        <f>'Cap Table'!AM61</f>
        <v>0</v>
      </c>
      <c r="AN46" s="319">
        <f>'Cap Table'!AN61</f>
        <v>0</v>
      </c>
      <c r="AO46" s="191">
        <f>'Cap Table'!AO61</f>
        <v>0</v>
      </c>
      <c r="AP46" s="191">
        <f>'Cap Table'!AP61</f>
        <v>0</v>
      </c>
      <c r="AQ46" s="192">
        <f>'Cap Table'!AQ61</f>
        <v>0</v>
      </c>
      <c r="AR46" s="192">
        <f>'Cap Table'!AR61</f>
        <v>0</v>
      </c>
      <c r="AS46" s="192">
        <f>'Cap Table'!AS61</f>
        <v>0</v>
      </c>
      <c r="AT46" s="191">
        <f>'Cap Table'!AT61</f>
        <v>0</v>
      </c>
      <c r="AU46" s="191">
        <f>'Cap Table'!AU61</f>
        <v>0</v>
      </c>
      <c r="AV46" s="319">
        <f>'Cap Table'!AV61</f>
        <v>0</v>
      </c>
      <c r="AW46" s="191">
        <f>'Cap Table'!AW61</f>
        <v>0</v>
      </c>
      <c r="AX46" s="191">
        <f>'Cap Table'!AX61</f>
        <v>0</v>
      </c>
      <c r="AY46" s="192">
        <f>'Cap Table'!AY61</f>
        <v>0</v>
      </c>
      <c r="AZ46" s="192">
        <f>'Cap Table'!AZ61</f>
        <v>0</v>
      </c>
      <c r="BA46" s="192">
        <f>'Cap Table'!BA61</f>
        <v>0</v>
      </c>
      <c r="BB46" s="191">
        <f>'Cap Table'!BB61</f>
        <v>0</v>
      </c>
      <c r="BC46" s="191">
        <f>'Cap Table'!BC61</f>
        <v>0</v>
      </c>
      <c r="BD46" s="319">
        <f>'Cap Table'!BD61</f>
        <v>0</v>
      </c>
      <c r="BE46" s="191">
        <f>'Cap Table'!BE61</f>
        <v>0</v>
      </c>
      <c r="BF46" s="191">
        <f>'Cap Table'!BF61</f>
        <v>0</v>
      </c>
      <c r="BG46" s="192">
        <f>'Cap Table'!BG61</f>
        <v>0</v>
      </c>
      <c r="BH46" s="192">
        <f>'Cap Table'!BH61</f>
        <v>0</v>
      </c>
      <c r="BI46" s="192">
        <f>'Cap Table'!BI61</f>
        <v>0</v>
      </c>
      <c r="BJ46" s="191">
        <f>'Cap Table'!BJ61</f>
        <v>0</v>
      </c>
      <c r="BK46" s="191">
        <f>'Cap Table'!BK61</f>
        <v>0</v>
      </c>
      <c r="BL46" s="319">
        <f>'Cap Table'!BL61</f>
        <v>0</v>
      </c>
      <c r="BM46" s="191">
        <f>'Cap Table'!BM61</f>
        <v>0</v>
      </c>
      <c r="BN46" s="191">
        <f>'Cap Table'!BN61</f>
        <v>0</v>
      </c>
      <c r="BO46" s="192">
        <f>'Cap Table'!BO61</f>
        <v>0</v>
      </c>
      <c r="BP46" s="192">
        <f>'Cap Table'!BP61</f>
        <v>0</v>
      </c>
      <c r="BQ46" s="192">
        <f>'Cap Table'!BQ61</f>
        <v>0</v>
      </c>
      <c r="BR46" s="191">
        <f>'Cap Table'!BR61</f>
        <v>0</v>
      </c>
      <c r="BS46" s="191">
        <f>'Cap Table'!BS61</f>
        <v>0</v>
      </c>
      <c r="BT46" s="319">
        <f>'Cap Table'!BT61</f>
        <v>0</v>
      </c>
      <c r="BU46" s="191">
        <f>'Cap Table'!BU61</f>
        <v>0</v>
      </c>
      <c r="BV46" s="191">
        <f>'Cap Table'!BV61</f>
        <v>0</v>
      </c>
      <c r="BW46" s="192">
        <f>'Cap Table'!BW61</f>
        <v>0</v>
      </c>
      <c r="BX46" s="192">
        <f>'Cap Table'!BX61</f>
        <v>0</v>
      </c>
      <c r="BY46" s="192">
        <f>'Cap Table'!BY61</f>
        <v>0</v>
      </c>
      <c r="BZ46" s="191">
        <f>'Cap Table'!BZ61</f>
        <v>0</v>
      </c>
      <c r="CA46" s="191">
        <f>'Cap Table'!CA61</f>
        <v>0</v>
      </c>
      <c r="CB46" s="181">
        <f>'Cap Table'!CB61</f>
        <v>0</v>
      </c>
      <c r="CC46" s="191">
        <f>'Cap Table'!CC61</f>
        <v>0</v>
      </c>
    </row>
    <row r="47" spans="1:83" s="207" customFormat="1" ht="12" customHeight="1" x14ac:dyDescent="0.3">
      <c r="D47" s="207">
        <f>'Cap Table'!D62</f>
        <v>0</v>
      </c>
      <c r="E47" s="207">
        <f>'Cap Table'!E62</f>
        <v>0</v>
      </c>
      <c r="F47" s="1363" t="str">
        <f>'Cap Table'!F62</f>
        <v>Validation</v>
      </c>
      <c r="G47" s="1363">
        <v>0</v>
      </c>
      <c r="H47" s="322" t="e">
        <f>'Cap Table'!H62</f>
        <v>#DIV/0!</v>
      </c>
      <c r="I47" s="207">
        <f>'Cap Table'!I62</f>
        <v>0</v>
      </c>
      <c r="J47" s="207">
        <f>'Cap Table'!J62</f>
        <v>0</v>
      </c>
      <c r="K47" s="207">
        <f>'Cap Table'!K62</f>
        <v>0</v>
      </c>
      <c r="L47" s="207">
        <f>'Cap Table'!L62</f>
        <v>0</v>
      </c>
      <c r="M47" s="207">
        <f>'Cap Table'!M62</f>
        <v>0</v>
      </c>
      <c r="N47" s="207">
        <f>'Cap Table'!N62</f>
        <v>0</v>
      </c>
      <c r="O47" s="207">
        <f>'Cap Table'!O62</f>
        <v>0</v>
      </c>
      <c r="P47" s="322">
        <f>'Cap Table'!P62</f>
        <v>0</v>
      </c>
      <c r="Q47" s="207">
        <f>'Cap Table'!Q62</f>
        <v>0</v>
      </c>
      <c r="R47" s="207">
        <f>'Cap Table'!R62</f>
        <v>0</v>
      </c>
      <c r="S47" s="207">
        <f>'Cap Table'!S62</f>
        <v>0</v>
      </c>
      <c r="T47" s="207">
        <f>'Cap Table'!T62</f>
        <v>0</v>
      </c>
      <c r="U47" s="207">
        <f>'Cap Table'!U62</f>
        <v>0</v>
      </c>
      <c r="V47" s="207">
        <f>'Cap Table'!V62</f>
        <v>0</v>
      </c>
      <c r="W47" s="207">
        <f>'Cap Table'!W62</f>
        <v>0</v>
      </c>
      <c r="X47" s="322">
        <f>'Cap Table'!X62</f>
        <v>0</v>
      </c>
      <c r="Y47" s="207">
        <f>'Cap Table'!Y62</f>
        <v>0</v>
      </c>
      <c r="Z47" s="207">
        <f>'Cap Table'!Z62</f>
        <v>0</v>
      </c>
      <c r="AA47" s="207">
        <f>'Cap Table'!AA62</f>
        <v>0</v>
      </c>
      <c r="AB47" s="207">
        <f>'Cap Table'!AB62</f>
        <v>0</v>
      </c>
      <c r="AC47" s="207">
        <f>'Cap Table'!AC62</f>
        <v>0</v>
      </c>
      <c r="AD47" s="207">
        <f>'Cap Table'!AD62</f>
        <v>0</v>
      </c>
      <c r="AE47" s="207">
        <f>'Cap Table'!AE62</f>
        <v>0</v>
      </c>
      <c r="AF47" s="322">
        <f>'Cap Table'!AF62</f>
        <v>0</v>
      </c>
      <c r="AG47" s="207">
        <f>'Cap Table'!AG62</f>
        <v>0</v>
      </c>
      <c r="AH47" s="207">
        <f>'Cap Table'!AH62</f>
        <v>0</v>
      </c>
      <c r="AI47" s="207">
        <f>'Cap Table'!AI62</f>
        <v>0</v>
      </c>
      <c r="AJ47" s="207">
        <f>'Cap Table'!AJ62</f>
        <v>0</v>
      </c>
      <c r="AK47" s="207">
        <f>'Cap Table'!AK62</f>
        <v>0</v>
      </c>
      <c r="AL47" s="207">
        <f>'Cap Table'!AL62</f>
        <v>0</v>
      </c>
      <c r="AM47" s="207">
        <f>'Cap Table'!AM62</f>
        <v>0</v>
      </c>
      <c r="AN47" s="322">
        <f>'Cap Table'!AN62</f>
        <v>0</v>
      </c>
      <c r="AO47" s="207">
        <f>'Cap Table'!AO62</f>
        <v>0</v>
      </c>
      <c r="AP47" s="207">
        <f>'Cap Table'!AP62</f>
        <v>0</v>
      </c>
      <c r="AQ47" s="207">
        <f>'Cap Table'!AQ62</f>
        <v>0</v>
      </c>
      <c r="AR47" s="207">
        <f>'Cap Table'!AR62</f>
        <v>0</v>
      </c>
      <c r="AS47" s="207">
        <f>'Cap Table'!AS62</f>
        <v>0</v>
      </c>
      <c r="AT47" s="207">
        <f>'Cap Table'!AT62</f>
        <v>0</v>
      </c>
      <c r="AU47" s="207">
        <f>'Cap Table'!AU62</f>
        <v>0</v>
      </c>
      <c r="AV47" s="322">
        <f>'Cap Table'!AV62</f>
        <v>0</v>
      </c>
      <c r="AW47" s="207">
        <f>'Cap Table'!AW62</f>
        <v>0</v>
      </c>
      <c r="AX47" s="207">
        <f>'Cap Table'!AX62</f>
        <v>0</v>
      </c>
      <c r="AY47" s="207">
        <f>'Cap Table'!AY62</f>
        <v>0</v>
      </c>
      <c r="AZ47" s="207">
        <f>'Cap Table'!AZ62</f>
        <v>0</v>
      </c>
      <c r="BA47" s="207">
        <f>'Cap Table'!BA62</f>
        <v>0</v>
      </c>
      <c r="BB47" s="207">
        <f>'Cap Table'!BB62</f>
        <v>0</v>
      </c>
      <c r="BC47" s="207">
        <f>'Cap Table'!BC62</f>
        <v>0</v>
      </c>
      <c r="BD47" s="322">
        <f>'Cap Table'!BD62</f>
        <v>0</v>
      </c>
      <c r="BE47" s="207">
        <f>'Cap Table'!BE62</f>
        <v>0</v>
      </c>
      <c r="BF47" s="207">
        <f>'Cap Table'!BF62</f>
        <v>0</v>
      </c>
      <c r="BG47" s="207">
        <f>'Cap Table'!BG62</f>
        <v>0</v>
      </c>
      <c r="BH47" s="207">
        <f>'Cap Table'!BH62</f>
        <v>0</v>
      </c>
      <c r="BI47" s="207">
        <f>'Cap Table'!BI62</f>
        <v>0</v>
      </c>
      <c r="BJ47" s="207">
        <f>'Cap Table'!BJ62</f>
        <v>0</v>
      </c>
      <c r="BK47" s="207">
        <f>'Cap Table'!BK62</f>
        <v>0</v>
      </c>
      <c r="BL47" s="322">
        <f>'Cap Table'!BL62</f>
        <v>0</v>
      </c>
      <c r="BM47" s="207">
        <f>'Cap Table'!BM62</f>
        <v>0</v>
      </c>
      <c r="BN47" s="207">
        <f>'Cap Table'!BN62</f>
        <v>0</v>
      </c>
      <c r="BO47" s="207">
        <f>'Cap Table'!BO62</f>
        <v>0</v>
      </c>
      <c r="BP47" s="207">
        <f>'Cap Table'!BP62</f>
        <v>0</v>
      </c>
      <c r="BQ47" s="207">
        <f>'Cap Table'!BQ62</f>
        <v>0</v>
      </c>
      <c r="BR47" s="207">
        <f>'Cap Table'!BR62</f>
        <v>0</v>
      </c>
      <c r="BS47" s="207">
        <f>'Cap Table'!BS62</f>
        <v>0</v>
      </c>
      <c r="BT47" s="322">
        <f>'Cap Table'!BT62</f>
        <v>0</v>
      </c>
      <c r="BU47" s="207">
        <f>'Cap Table'!BU62</f>
        <v>0</v>
      </c>
      <c r="BV47" s="207">
        <f>'Cap Table'!BV62</f>
        <v>0</v>
      </c>
      <c r="BW47" s="207">
        <f>'Cap Table'!BW62</f>
        <v>0</v>
      </c>
      <c r="BX47" s="207">
        <f>'Cap Table'!BX62</f>
        <v>0</v>
      </c>
      <c r="BY47" s="207">
        <f>'Cap Table'!BY62</f>
        <v>0</v>
      </c>
      <c r="BZ47" s="207">
        <f>'Cap Table'!BZ62</f>
        <v>0</v>
      </c>
      <c r="CA47" s="207">
        <f>'Cap Table'!CA62</f>
        <v>0</v>
      </c>
      <c r="CB47" s="207">
        <f>'Cap Table'!CB62</f>
        <v>0</v>
      </c>
      <c r="CC47" s="207">
        <f>'Cap Table'!CC62</f>
        <v>0</v>
      </c>
    </row>
    <row r="48" spans="1:83" ht="15.75" customHeight="1" x14ac:dyDescent="0.35">
      <c r="P48" s="210"/>
      <c r="X48" s="210"/>
    </row>
    <row r="49" spans="1:85" ht="15.75" customHeight="1" x14ac:dyDescent="0.35">
      <c r="H49" s="1331"/>
      <c r="I49" s="1331"/>
    </row>
    <row r="50" spans="1:85" s="214" customFormat="1" ht="48" customHeight="1" x14ac:dyDescent="0.35">
      <c r="A50" s="180"/>
      <c r="B50" s="180"/>
      <c r="C50" s="217"/>
      <c r="D50" s="711">
        <f t="shared" ref="D50:BO53" si="10">D15</f>
        <v>0</v>
      </c>
      <c r="E50" s="711" t="str">
        <f t="shared" si="10"/>
        <v>Options</v>
      </c>
      <c r="F50" s="711" t="str">
        <f t="shared" si="10"/>
        <v>Warrants</v>
      </c>
      <c r="G50" s="711" t="str">
        <f t="shared" si="10"/>
        <v>Common Stock</v>
      </c>
      <c r="H50" s="267" t="str">
        <f t="shared" si="10"/>
        <v>Seed Prfrd</v>
      </c>
      <c r="I50" s="711" t="str">
        <f t="shared" si="10"/>
        <v>Seed Warrants</v>
      </c>
      <c r="J50" s="711" t="str">
        <f t="shared" si="10"/>
        <v>Seed
$$ Invested</v>
      </c>
      <c r="K50" s="711" t="str">
        <f t="shared" si="10"/>
        <v>Seed Prfrd  %</v>
      </c>
      <c r="L50" s="711" t="str">
        <f t="shared" si="10"/>
        <v>Total Prfrd
Shares</v>
      </c>
      <c r="M50" s="711" t="str">
        <f t="shared" si="10"/>
        <v>Fully Diluted Shares</v>
      </c>
      <c r="N50" s="711" t="str">
        <f t="shared" si="10"/>
        <v>% Total Prfrd</v>
      </c>
      <c r="O50" s="711" t="str">
        <f t="shared" si="10"/>
        <v>% Fully Diluted</v>
      </c>
      <c r="P50" s="267" t="str">
        <f t="shared" si="10"/>
        <v>Series A Prfrd</v>
      </c>
      <c r="Q50" s="711" t="str">
        <f t="shared" si="10"/>
        <v>Series A Warrants</v>
      </c>
      <c r="R50" s="711" t="str">
        <f t="shared" si="10"/>
        <v>Series A
$$ Invested</v>
      </c>
      <c r="S50" s="711" t="str">
        <f t="shared" si="10"/>
        <v>Series A Prfrd  %</v>
      </c>
      <c r="T50" s="711" t="str">
        <f t="shared" si="10"/>
        <v>Total Prfrd
Shares</v>
      </c>
      <c r="U50" s="711" t="str">
        <f t="shared" si="10"/>
        <v>Fully Diluted Shares</v>
      </c>
      <c r="V50" s="711" t="str">
        <f t="shared" si="10"/>
        <v>% Total Prfrd</v>
      </c>
      <c r="W50" s="711" t="str">
        <f t="shared" si="10"/>
        <v>% Fully Diluted</v>
      </c>
      <c r="X50" s="267" t="str">
        <f t="shared" si="10"/>
        <v>Series B Prfrd</v>
      </c>
      <c r="Y50" s="711" t="str">
        <f t="shared" si="10"/>
        <v>Series B Warrants</v>
      </c>
      <c r="Z50" s="711" t="str">
        <f t="shared" si="10"/>
        <v>Series B
$$ Invested</v>
      </c>
      <c r="AA50" s="711" t="str">
        <f t="shared" si="10"/>
        <v>Series B Prfrd  %</v>
      </c>
      <c r="AB50" s="711" t="str">
        <f t="shared" si="10"/>
        <v>Total Prfrd
Shares</v>
      </c>
      <c r="AC50" s="711" t="str">
        <f t="shared" si="10"/>
        <v>Fully Diluted Shares</v>
      </c>
      <c r="AD50" s="711" t="str">
        <f t="shared" si="10"/>
        <v>% Total Prfrd</v>
      </c>
      <c r="AE50" s="711" t="str">
        <f t="shared" si="10"/>
        <v>% Fully Diluted</v>
      </c>
      <c r="AF50" s="267" t="str">
        <f t="shared" si="10"/>
        <v>Series C Prfrd</v>
      </c>
      <c r="AG50" s="711" t="str">
        <f t="shared" si="10"/>
        <v>Series C Warrants</v>
      </c>
      <c r="AH50" s="711" t="str">
        <f t="shared" si="10"/>
        <v>Series C
$$ Invested</v>
      </c>
      <c r="AI50" s="711" t="str">
        <f t="shared" si="10"/>
        <v>Series C Prfrd  %</v>
      </c>
      <c r="AJ50" s="711" t="str">
        <f t="shared" si="10"/>
        <v>Total Prfrd
Shares</v>
      </c>
      <c r="AK50" s="711" t="str">
        <f t="shared" si="10"/>
        <v>Fully Diluted Shares</v>
      </c>
      <c r="AL50" s="711" t="str">
        <f t="shared" si="10"/>
        <v>% Total Prfrd</v>
      </c>
      <c r="AM50" s="711" t="str">
        <f t="shared" si="10"/>
        <v>% Fully Diluted</v>
      </c>
      <c r="AN50" s="267" t="str">
        <f t="shared" si="10"/>
        <v>Series D Prfrd</v>
      </c>
      <c r="AO50" s="711" t="str">
        <f t="shared" si="10"/>
        <v>Series D Warrants</v>
      </c>
      <c r="AP50" s="711" t="str">
        <f t="shared" si="10"/>
        <v>Series D
$$ Invested</v>
      </c>
      <c r="AQ50" s="711" t="str">
        <f t="shared" si="10"/>
        <v>Series D Prfrd  %</v>
      </c>
      <c r="AR50" s="711" t="str">
        <f t="shared" si="10"/>
        <v>Total Prfrd
Shares</v>
      </c>
      <c r="AS50" s="711" t="str">
        <f t="shared" si="10"/>
        <v>Fully Diluted Shares</v>
      </c>
      <c r="AT50" s="711" t="str">
        <f t="shared" si="10"/>
        <v>% Total Prfrd</v>
      </c>
      <c r="AU50" s="711" t="str">
        <f t="shared" si="10"/>
        <v>% Fully Diluted</v>
      </c>
      <c r="AV50" s="267" t="str">
        <f t="shared" si="10"/>
        <v>Series E Prfrd</v>
      </c>
      <c r="AW50" s="711" t="str">
        <f t="shared" si="10"/>
        <v>Series E Warrants</v>
      </c>
      <c r="AX50" s="711" t="str">
        <f t="shared" si="10"/>
        <v>Series E
$$ Invested</v>
      </c>
      <c r="AY50" s="711" t="str">
        <f t="shared" si="10"/>
        <v>Series E Prfrd  %</v>
      </c>
      <c r="AZ50" s="711" t="str">
        <f t="shared" si="10"/>
        <v>Total Prfrd
Shares</v>
      </c>
      <c r="BA50" s="711" t="str">
        <f t="shared" si="10"/>
        <v>Fully Diluted Shares</v>
      </c>
      <c r="BB50" s="711" t="str">
        <f t="shared" si="10"/>
        <v>% Total Prfrd</v>
      </c>
      <c r="BC50" s="711" t="str">
        <f t="shared" si="10"/>
        <v>% Fully Diluted</v>
      </c>
      <c r="BD50" s="267" t="str">
        <f t="shared" si="10"/>
        <v>Series E-1 Prfrd</v>
      </c>
      <c r="BE50" s="711" t="str">
        <f t="shared" si="10"/>
        <v>Series E-1 Warrants</v>
      </c>
      <c r="BF50" s="711" t="str">
        <f t="shared" si="10"/>
        <v>Series E-1
$$ Invested</v>
      </c>
      <c r="BG50" s="711" t="str">
        <f t="shared" si="10"/>
        <v>Series E-1 Prfrd  %</v>
      </c>
      <c r="BH50" s="711" t="str">
        <f t="shared" si="10"/>
        <v>Total Prfrd
Shares</v>
      </c>
      <c r="BI50" s="711" t="str">
        <f t="shared" si="10"/>
        <v>Fully Diluted Shares</v>
      </c>
      <c r="BJ50" s="711" t="str">
        <f t="shared" si="10"/>
        <v>% Total Prfrd</v>
      </c>
      <c r="BK50" s="711" t="str">
        <f t="shared" si="10"/>
        <v>% Fully Diluted</v>
      </c>
      <c r="BL50" s="267" t="str">
        <f t="shared" si="10"/>
        <v>Series F Prfrd</v>
      </c>
      <c r="BM50" s="711" t="str">
        <f t="shared" si="10"/>
        <v>Series F Warrants</v>
      </c>
      <c r="BN50" s="711" t="str">
        <f t="shared" si="10"/>
        <v>Series F
$$ Invested</v>
      </c>
      <c r="BO50" s="711" t="str">
        <f t="shared" si="10"/>
        <v>Series F Prfrd  %</v>
      </c>
      <c r="BP50" s="711" t="str">
        <f t="shared" ref="BP50:CC53" si="11">BP15</f>
        <v>Total Prfrd
Shares</v>
      </c>
      <c r="BQ50" s="711" t="str">
        <f t="shared" si="11"/>
        <v>Fully Diluted Shares</v>
      </c>
      <c r="BR50" s="711" t="str">
        <f t="shared" si="11"/>
        <v>% Total Prfrd</v>
      </c>
      <c r="BS50" s="711" t="str">
        <f t="shared" si="11"/>
        <v>% Fully Diluted</v>
      </c>
      <c r="BT50" s="711" t="str">
        <f t="shared" si="11"/>
        <v>Series G Prfrd</v>
      </c>
      <c r="BU50" s="711" t="str">
        <f t="shared" si="11"/>
        <v>Series G Warrants</v>
      </c>
      <c r="BV50" s="711" t="str">
        <f t="shared" si="11"/>
        <v>Series G
$$ Invested</v>
      </c>
      <c r="BW50" s="711" t="str">
        <f t="shared" si="11"/>
        <v>Series G Prfrd  %</v>
      </c>
      <c r="BX50" s="711" t="str">
        <f t="shared" si="11"/>
        <v>Total Prfrd
Shares</v>
      </c>
      <c r="BY50" s="711" t="str">
        <f t="shared" si="11"/>
        <v>Fully Diluted Shares</v>
      </c>
      <c r="BZ50" s="711" t="str">
        <f t="shared" si="11"/>
        <v>% Total Prfrd</v>
      </c>
      <c r="CA50" s="711" t="str">
        <f t="shared" si="11"/>
        <v>% Fully Diluted</v>
      </c>
      <c r="CB50" s="180">
        <f t="shared" si="11"/>
        <v>0</v>
      </c>
      <c r="CC50" s="711" t="str">
        <f t="shared" si="11"/>
        <v>TOTAL $$ INVESTED</v>
      </c>
      <c r="CD50" s="180"/>
      <c r="CE50" s="180"/>
    </row>
    <row r="51" spans="1:85" s="226" customFormat="1" ht="15.75" customHeight="1" x14ac:dyDescent="0.35">
      <c r="A51" s="180"/>
      <c r="B51" s="180"/>
      <c r="C51" s="218">
        <v>1</v>
      </c>
      <c r="D51" s="219" t="str">
        <f>D16</f>
        <v>Issue Price</v>
      </c>
      <c r="E51" s="220">
        <f t="shared" si="10"/>
        <v>0</v>
      </c>
      <c r="F51" s="220">
        <f t="shared" si="10"/>
        <v>0</v>
      </c>
      <c r="G51" s="220">
        <f t="shared" si="10"/>
        <v>0</v>
      </c>
      <c r="H51" s="221" t="e">
        <f t="shared" si="10"/>
        <v>#DIV/0!</v>
      </c>
      <c r="I51" s="221">
        <f t="shared" si="10"/>
        <v>0</v>
      </c>
      <c r="J51" s="220">
        <f t="shared" si="10"/>
        <v>0</v>
      </c>
      <c r="K51" s="220">
        <f t="shared" si="10"/>
        <v>0</v>
      </c>
      <c r="L51" s="220">
        <f t="shared" si="10"/>
        <v>0</v>
      </c>
      <c r="M51" s="220">
        <f t="shared" si="10"/>
        <v>0</v>
      </c>
      <c r="N51" s="222">
        <f t="shared" si="10"/>
        <v>0</v>
      </c>
      <c r="O51" s="223">
        <f t="shared" si="10"/>
        <v>0</v>
      </c>
      <c r="P51" s="221">
        <f t="shared" si="10"/>
        <v>0</v>
      </c>
      <c r="Q51" s="221">
        <f t="shared" si="10"/>
        <v>0</v>
      </c>
      <c r="R51" s="222">
        <f t="shared" si="10"/>
        <v>0</v>
      </c>
      <c r="S51" s="222">
        <f t="shared" si="10"/>
        <v>0</v>
      </c>
      <c r="T51" s="222">
        <f t="shared" si="10"/>
        <v>0</v>
      </c>
      <c r="U51" s="222">
        <f t="shared" si="10"/>
        <v>0</v>
      </c>
      <c r="V51" s="222">
        <f t="shared" si="10"/>
        <v>0</v>
      </c>
      <c r="W51" s="222">
        <f t="shared" si="10"/>
        <v>0</v>
      </c>
      <c r="X51" s="221">
        <f t="shared" si="10"/>
        <v>0</v>
      </c>
      <c r="Y51" s="221">
        <f t="shared" si="10"/>
        <v>0</v>
      </c>
      <c r="Z51" s="222">
        <f t="shared" si="10"/>
        <v>0</v>
      </c>
      <c r="AA51" s="222">
        <f t="shared" si="10"/>
        <v>0</v>
      </c>
      <c r="AB51" s="222">
        <f t="shared" si="10"/>
        <v>0</v>
      </c>
      <c r="AC51" s="222">
        <f t="shared" si="10"/>
        <v>0</v>
      </c>
      <c r="AD51" s="222">
        <f t="shared" si="10"/>
        <v>0</v>
      </c>
      <c r="AE51" s="222">
        <f t="shared" si="10"/>
        <v>0</v>
      </c>
      <c r="AF51" s="221">
        <f t="shared" si="10"/>
        <v>0</v>
      </c>
      <c r="AG51" s="221">
        <f t="shared" si="10"/>
        <v>0</v>
      </c>
      <c r="AH51" s="222">
        <f t="shared" si="10"/>
        <v>0</v>
      </c>
      <c r="AI51" s="222">
        <f t="shared" si="10"/>
        <v>0</v>
      </c>
      <c r="AJ51" s="222">
        <f t="shared" si="10"/>
        <v>0</v>
      </c>
      <c r="AK51" s="222">
        <f t="shared" si="10"/>
        <v>0</v>
      </c>
      <c r="AL51" s="222">
        <f t="shared" si="10"/>
        <v>0</v>
      </c>
      <c r="AM51" s="222">
        <f t="shared" si="10"/>
        <v>0</v>
      </c>
      <c r="AN51" s="221">
        <f t="shared" si="10"/>
        <v>0</v>
      </c>
      <c r="AO51" s="221">
        <f t="shared" si="10"/>
        <v>0</v>
      </c>
      <c r="AP51" s="222">
        <f t="shared" si="10"/>
        <v>0</v>
      </c>
      <c r="AQ51" s="222">
        <f t="shared" si="10"/>
        <v>0</v>
      </c>
      <c r="AR51" s="222">
        <f t="shared" si="10"/>
        <v>0</v>
      </c>
      <c r="AS51" s="222">
        <f t="shared" si="10"/>
        <v>0</v>
      </c>
      <c r="AT51" s="222">
        <f t="shared" si="10"/>
        <v>0</v>
      </c>
      <c r="AU51" s="222">
        <f t="shared" si="10"/>
        <v>0</v>
      </c>
      <c r="AV51" s="221">
        <f t="shared" si="10"/>
        <v>0</v>
      </c>
      <c r="AW51" s="221">
        <f t="shared" si="10"/>
        <v>0</v>
      </c>
      <c r="AX51" s="222">
        <f t="shared" si="10"/>
        <v>0</v>
      </c>
      <c r="AY51" s="222">
        <f t="shared" si="10"/>
        <v>0</v>
      </c>
      <c r="AZ51" s="222">
        <f t="shared" si="10"/>
        <v>0</v>
      </c>
      <c r="BA51" s="222">
        <f t="shared" si="10"/>
        <v>0</v>
      </c>
      <c r="BB51" s="222">
        <f t="shared" si="10"/>
        <v>0</v>
      </c>
      <c r="BC51" s="222">
        <f t="shared" si="10"/>
        <v>0</v>
      </c>
      <c r="BD51" s="221">
        <f t="shared" si="10"/>
        <v>0</v>
      </c>
      <c r="BE51" s="221">
        <f t="shared" si="10"/>
        <v>0</v>
      </c>
      <c r="BF51" s="222">
        <f t="shared" si="10"/>
        <v>0</v>
      </c>
      <c r="BG51" s="222">
        <f t="shared" si="10"/>
        <v>0</v>
      </c>
      <c r="BH51" s="222">
        <f t="shared" si="10"/>
        <v>0</v>
      </c>
      <c r="BI51" s="222">
        <f t="shared" si="10"/>
        <v>0</v>
      </c>
      <c r="BJ51" s="222">
        <f t="shared" si="10"/>
        <v>0</v>
      </c>
      <c r="BK51" s="222">
        <f t="shared" si="10"/>
        <v>0</v>
      </c>
      <c r="BL51" s="221">
        <f t="shared" si="10"/>
        <v>0</v>
      </c>
      <c r="BM51" s="221">
        <f t="shared" si="10"/>
        <v>0</v>
      </c>
      <c r="BN51" s="222">
        <f t="shared" si="10"/>
        <v>0</v>
      </c>
      <c r="BO51" s="222">
        <f t="shared" si="10"/>
        <v>0</v>
      </c>
      <c r="BP51" s="222">
        <f t="shared" si="11"/>
        <v>0</v>
      </c>
      <c r="BQ51" s="222">
        <f t="shared" si="11"/>
        <v>0</v>
      </c>
      <c r="BR51" s="222">
        <f t="shared" si="11"/>
        <v>0</v>
      </c>
      <c r="BS51" s="222">
        <f t="shared" si="11"/>
        <v>0</v>
      </c>
      <c r="BT51" s="221">
        <f t="shared" si="11"/>
        <v>0</v>
      </c>
      <c r="BU51" s="221">
        <f t="shared" si="11"/>
        <v>0</v>
      </c>
      <c r="BV51" s="222">
        <f t="shared" si="11"/>
        <v>0</v>
      </c>
      <c r="BW51" s="222">
        <f t="shared" si="11"/>
        <v>0</v>
      </c>
      <c r="BX51" s="222">
        <f t="shared" si="11"/>
        <v>0</v>
      </c>
      <c r="BY51" s="222">
        <f t="shared" si="11"/>
        <v>0</v>
      </c>
      <c r="BZ51" s="222">
        <f t="shared" si="11"/>
        <v>0</v>
      </c>
      <c r="CA51" s="224">
        <f t="shared" si="11"/>
        <v>0</v>
      </c>
      <c r="CB51" s="180">
        <f t="shared" si="11"/>
        <v>0</v>
      </c>
      <c r="CC51" s="225">
        <f t="shared" si="11"/>
        <v>0</v>
      </c>
      <c r="CD51" s="180"/>
      <c r="CE51" s="180"/>
    </row>
    <row r="52" spans="1:85" s="226" customFormat="1" ht="15.75" customHeight="1" x14ac:dyDescent="0.35">
      <c r="A52" s="180"/>
      <c r="B52" s="180"/>
      <c r="C52" s="218">
        <v>2</v>
      </c>
      <c r="D52" s="219" t="str">
        <f>D17</f>
        <v>Liquidation Preference Multiple</v>
      </c>
      <c r="E52" s="220">
        <f t="shared" si="10"/>
        <v>0</v>
      </c>
      <c r="F52" s="220">
        <f t="shared" si="10"/>
        <v>0</v>
      </c>
      <c r="G52" s="220">
        <f t="shared" si="10"/>
        <v>0</v>
      </c>
      <c r="H52" s="227">
        <f t="shared" si="10"/>
        <v>1</v>
      </c>
      <c r="I52" s="222">
        <f t="shared" si="10"/>
        <v>0</v>
      </c>
      <c r="J52" s="222">
        <f t="shared" si="10"/>
        <v>0</v>
      </c>
      <c r="K52" s="222">
        <f t="shared" si="10"/>
        <v>0</v>
      </c>
      <c r="L52" s="222">
        <f t="shared" si="10"/>
        <v>0</v>
      </c>
      <c r="M52" s="222">
        <f t="shared" si="10"/>
        <v>0</v>
      </c>
      <c r="N52" s="222">
        <f t="shared" si="10"/>
        <v>0</v>
      </c>
      <c r="O52" s="222">
        <f t="shared" si="10"/>
        <v>0</v>
      </c>
      <c r="P52" s="227">
        <f t="shared" si="10"/>
        <v>1</v>
      </c>
      <c r="Q52" s="222">
        <f t="shared" si="10"/>
        <v>0</v>
      </c>
      <c r="R52" s="222">
        <f t="shared" si="10"/>
        <v>0</v>
      </c>
      <c r="S52" s="222">
        <f t="shared" si="10"/>
        <v>0</v>
      </c>
      <c r="T52" s="222">
        <f t="shared" si="10"/>
        <v>0</v>
      </c>
      <c r="U52" s="222">
        <f t="shared" si="10"/>
        <v>0</v>
      </c>
      <c r="V52" s="222">
        <f t="shared" si="10"/>
        <v>0</v>
      </c>
      <c r="W52" s="222">
        <f t="shared" si="10"/>
        <v>0</v>
      </c>
      <c r="X52" s="227">
        <f t="shared" si="10"/>
        <v>1</v>
      </c>
      <c r="Y52" s="222">
        <f t="shared" si="10"/>
        <v>0</v>
      </c>
      <c r="Z52" s="222">
        <f t="shared" si="10"/>
        <v>0</v>
      </c>
      <c r="AA52" s="222">
        <f t="shared" si="10"/>
        <v>0</v>
      </c>
      <c r="AB52" s="222">
        <f t="shared" si="10"/>
        <v>0</v>
      </c>
      <c r="AC52" s="222">
        <f t="shared" si="10"/>
        <v>0</v>
      </c>
      <c r="AD52" s="222">
        <f t="shared" si="10"/>
        <v>0</v>
      </c>
      <c r="AE52" s="222">
        <f t="shared" si="10"/>
        <v>0</v>
      </c>
      <c r="AF52" s="227">
        <f t="shared" si="10"/>
        <v>1</v>
      </c>
      <c r="AG52" s="222">
        <f t="shared" si="10"/>
        <v>0</v>
      </c>
      <c r="AH52" s="222">
        <f t="shared" si="10"/>
        <v>0</v>
      </c>
      <c r="AI52" s="222">
        <f t="shared" si="10"/>
        <v>0</v>
      </c>
      <c r="AJ52" s="222">
        <f t="shared" si="10"/>
        <v>0</v>
      </c>
      <c r="AK52" s="222">
        <f t="shared" si="10"/>
        <v>0</v>
      </c>
      <c r="AL52" s="222">
        <f t="shared" si="10"/>
        <v>0</v>
      </c>
      <c r="AM52" s="222">
        <f t="shared" si="10"/>
        <v>0</v>
      </c>
      <c r="AN52" s="227">
        <f t="shared" si="10"/>
        <v>1</v>
      </c>
      <c r="AO52" s="222">
        <f t="shared" si="10"/>
        <v>0</v>
      </c>
      <c r="AP52" s="222">
        <f t="shared" si="10"/>
        <v>0</v>
      </c>
      <c r="AQ52" s="222">
        <f t="shared" si="10"/>
        <v>0</v>
      </c>
      <c r="AR52" s="222">
        <f t="shared" si="10"/>
        <v>0</v>
      </c>
      <c r="AS52" s="222">
        <f t="shared" si="10"/>
        <v>0</v>
      </c>
      <c r="AT52" s="222">
        <f t="shared" si="10"/>
        <v>0</v>
      </c>
      <c r="AU52" s="222">
        <f t="shared" si="10"/>
        <v>0</v>
      </c>
      <c r="AV52" s="227">
        <f t="shared" si="10"/>
        <v>1</v>
      </c>
      <c r="AW52" s="222">
        <f t="shared" si="10"/>
        <v>0</v>
      </c>
      <c r="AX52" s="222">
        <f t="shared" si="10"/>
        <v>0</v>
      </c>
      <c r="AY52" s="222">
        <f t="shared" si="10"/>
        <v>0</v>
      </c>
      <c r="AZ52" s="222">
        <f t="shared" si="10"/>
        <v>0</v>
      </c>
      <c r="BA52" s="222">
        <f t="shared" si="10"/>
        <v>0</v>
      </c>
      <c r="BB52" s="222">
        <f t="shared" si="10"/>
        <v>0</v>
      </c>
      <c r="BC52" s="222">
        <f t="shared" si="10"/>
        <v>0</v>
      </c>
      <c r="BD52" s="227">
        <f t="shared" si="10"/>
        <v>1</v>
      </c>
      <c r="BE52" s="222">
        <f t="shared" si="10"/>
        <v>0</v>
      </c>
      <c r="BF52" s="222">
        <f t="shared" si="10"/>
        <v>0</v>
      </c>
      <c r="BG52" s="222">
        <f t="shared" si="10"/>
        <v>0</v>
      </c>
      <c r="BH52" s="222">
        <f t="shared" si="10"/>
        <v>0</v>
      </c>
      <c r="BI52" s="222">
        <f t="shared" si="10"/>
        <v>0</v>
      </c>
      <c r="BJ52" s="222">
        <f t="shared" si="10"/>
        <v>0</v>
      </c>
      <c r="BK52" s="222">
        <f t="shared" si="10"/>
        <v>0</v>
      </c>
      <c r="BL52" s="227">
        <f t="shared" si="10"/>
        <v>1</v>
      </c>
      <c r="BM52" s="222">
        <f t="shared" si="10"/>
        <v>0</v>
      </c>
      <c r="BN52" s="222">
        <f t="shared" si="10"/>
        <v>0</v>
      </c>
      <c r="BO52" s="222">
        <f t="shared" si="10"/>
        <v>0</v>
      </c>
      <c r="BP52" s="222">
        <f t="shared" si="11"/>
        <v>0</v>
      </c>
      <c r="BQ52" s="222">
        <f t="shared" si="11"/>
        <v>0</v>
      </c>
      <c r="BR52" s="222">
        <f t="shared" si="11"/>
        <v>0</v>
      </c>
      <c r="BS52" s="222">
        <f t="shared" si="11"/>
        <v>0</v>
      </c>
      <c r="BT52" s="227">
        <f t="shared" si="11"/>
        <v>1</v>
      </c>
      <c r="BU52" s="222">
        <f t="shared" si="11"/>
        <v>0</v>
      </c>
      <c r="BV52" s="222">
        <f t="shared" si="11"/>
        <v>0</v>
      </c>
      <c r="BW52" s="222">
        <f t="shared" si="11"/>
        <v>0</v>
      </c>
      <c r="BX52" s="222">
        <f t="shared" si="11"/>
        <v>0</v>
      </c>
      <c r="BY52" s="222">
        <f t="shared" si="11"/>
        <v>0</v>
      </c>
      <c r="BZ52" s="222">
        <f t="shared" si="11"/>
        <v>0</v>
      </c>
      <c r="CA52" s="228">
        <f t="shared" si="11"/>
        <v>0</v>
      </c>
      <c r="CB52" s="180">
        <f t="shared" si="11"/>
        <v>0</v>
      </c>
      <c r="CC52" s="229">
        <f t="shared" si="11"/>
        <v>0</v>
      </c>
      <c r="CD52" s="180"/>
      <c r="CE52" s="180"/>
    </row>
    <row r="53" spans="1:85" s="226" customFormat="1" ht="15.75" customHeight="1" x14ac:dyDescent="0.35">
      <c r="A53" s="180"/>
      <c r="B53" s="180"/>
      <c r="C53" s="218">
        <v>3</v>
      </c>
      <c r="D53" s="219" t="str">
        <f>D18</f>
        <v>Seniority Rank</v>
      </c>
      <c r="E53" s="230">
        <f t="shared" si="10"/>
        <v>0</v>
      </c>
      <c r="F53" s="230">
        <f t="shared" si="10"/>
        <v>0</v>
      </c>
      <c r="G53" s="230">
        <f t="shared" si="10"/>
        <v>0</v>
      </c>
      <c r="H53" s="326">
        <f t="shared" si="10"/>
        <v>3</v>
      </c>
      <c r="I53" s="231">
        <f t="shared" si="10"/>
        <v>0</v>
      </c>
      <c r="J53" s="231">
        <f t="shared" si="10"/>
        <v>0</v>
      </c>
      <c r="K53" s="231">
        <f t="shared" si="10"/>
        <v>0</v>
      </c>
      <c r="L53" s="231">
        <f t="shared" si="10"/>
        <v>0</v>
      </c>
      <c r="M53" s="231">
        <f t="shared" si="10"/>
        <v>0</v>
      </c>
      <c r="N53" s="231">
        <f t="shared" si="10"/>
        <v>0</v>
      </c>
      <c r="O53" s="231">
        <f t="shared" si="10"/>
        <v>0</v>
      </c>
      <c r="P53" s="326">
        <f t="shared" si="10"/>
        <v>3</v>
      </c>
      <c r="Q53" s="231">
        <f t="shared" si="10"/>
        <v>0</v>
      </c>
      <c r="R53" s="231">
        <f t="shared" si="10"/>
        <v>0</v>
      </c>
      <c r="S53" s="231">
        <f t="shared" si="10"/>
        <v>0</v>
      </c>
      <c r="T53" s="231">
        <f t="shared" si="10"/>
        <v>0</v>
      </c>
      <c r="U53" s="231">
        <f t="shared" si="10"/>
        <v>0</v>
      </c>
      <c r="V53" s="231">
        <f t="shared" si="10"/>
        <v>0</v>
      </c>
      <c r="W53" s="231">
        <f t="shared" si="10"/>
        <v>0</v>
      </c>
      <c r="X53" s="326">
        <f t="shared" si="10"/>
        <v>3</v>
      </c>
      <c r="Y53" s="231">
        <f t="shared" si="10"/>
        <v>0</v>
      </c>
      <c r="Z53" s="231">
        <f t="shared" si="10"/>
        <v>0</v>
      </c>
      <c r="AA53" s="231">
        <f t="shared" si="10"/>
        <v>0</v>
      </c>
      <c r="AB53" s="231">
        <f t="shared" si="10"/>
        <v>0</v>
      </c>
      <c r="AC53" s="231">
        <f t="shared" si="10"/>
        <v>0</v>
      </c>
      <c r="AD53" s="231">
        <f t="shared" si="10"/>
        <v>0</v>
      </c>
      <c r="AE53" s="231">
        <f t="shared" si="10"/>
        <v>0</v>
      </c>
      <c r="AF53" s="326">
        <f t="shared" si="10"/>
        <v>3</v>
      </c>
      <c r="AG53" s="231">
        <f t="shared" si="10"/>
        <v>0</v>
      </c>
      <c r="AH53" s="231">
        <f t="shared" si="10"/>
        <v>0</v>
      </c>
      <c r="AI53" s="231">
        <f t="shared" si="10"/>
        <v>0</v>
      </c>
      <c r="AJ53" s="231">
        <f t="shared" si="10"/>
        <v>0</v>
      </c>
      <c r="AK53" s="231">
        <f t="shared" si="10"/>
        <v>0</v>
      </c>
      <c r="AL53" s="231">
        <f t="shared" si="10"/>
        <v>0</v>
      </c>
      <c r="AM53" s="231">
        <f t="shared" si="10"/>
        <v>0</v>
      </c>
      <c r="AN53" s="326">
        <f t="shared" si="10"/>
        <v>3</v>
      </c>
      <c r="AO53" s="231">
        <f t="shared" si="10"/>
        <v>0</v>
      </c>
      <c r="AP53" s="231">
        <f t="shared" si="10"/>
        <v>0</v>
      </c>
      <c r="AQ53" s="231">
        <f t="shared" si="10"/>
        <v>0</v>
      </c>
      <c r="AR53" s="231">
        <f t="shared" si="10"/>
        <v>0</v>
      </c>
      <c r="AS53" s="231">
        <f t="shared" si="10"/>
        <v>0</v>
      </c>
      <c r="AT53" s="231">
        <f t="shared" si="10"/>
        <v>0</v>
      </c>
      <c r="AU53" s="231">
        <f t="shared" si="10"/>
        <v>0</v>
      </c>
      <c r="AV53" s="326">
        <f t="shared" si="10"/>
        <v>3</v>
      </c>
      <c r="AW53" s="231">
        <f t="shared" si="10"/>
        <v>0</v>
      </c>
      <c r="AX53" s="231">
        <f t="shared" si="10"/>
        <v>0</v>
      </c>
      <c r="AY53" s="231">
        <f t="shared" si="10"/>
        <v>0</v>
      </c>
      <c r="AZ53" s="231">
        <f t="shared" si="10"/>
        <v>0</v>
      </c>
      <c r="BA53" s="231">
        <f t="shared" si="10"/>
        <v>0</v>
      </c>
      <c r="BB53" s="231">
        <f t="shared" si="10"/>
        <v>0</v>
      </c>
      <c r="BC53" s="231">
        <f t="shared" si="10"/>
        <v>0</v>
      </c>
      <c r="BD53" s="326">
        <f t="shared" si="10"/>
        <v>3</v>
      </c>
      <c r="BE53" s="231">
        <f t="shared" si="10"/>
        <v>0</v>
      </c>
      <c r="BF53" s="231">
        <f t="shared" si="10"/>
        <v>0</v>
      </c>
      <c r="BG53" s="231">
        <f t="shared" si="10"/>
        <v>0</v>
      </c>
      <c r="BH53" s="231">
        <f t="shared" si="10"/>
        <v>0</v>
      </c>
      <c r="BI53" s="231">
        <f t="shared" si="10"/>
        <v>0</v>
      </c>
      <c r="BJ53" s="231">
        <f t="shared" si="10"/>
        <v>0</v>
      </c>
      <c r="BK53" s="231">
        <f t="shared" si="10"/>
        <v>0</v>
      </c>
      <c r="BL53" s="326">
        <f t="shared" si="10"/>
        <v>3</v>
      </c>
      <c r="BM53" s="231">
        <f t="shared" si="10"/>
        <v>0</v>
      </c>
      <c r="BN53" s="231">
        <f t="shared" si="10"/>
        <v>0</v>
      </c>
      <c r="BO53" s="231">
        <f t="shared" si="10"/>
        <v>0</v>
      </c>
      <c r="BP53" s="231">
        <f t="shared" si="11"/>
        <v>0</v>
      </c>
      <c r="BQ53" s="231">
        <f t="shared" si="11"/>
        <v>0</v>
      </c>
      <c r="BR53" s="231">
        <f t="shared" si="11"/>
        <v>0</v>
      </c>
      <c r="BS53" s="231">
        <f t="shared" si="11"/>
        <v>0</v>
      </c>
      <c r="BT53" s="326">
        <f t="shared" si="11"/>
        <v>3</v>
      </c>
      <c r="BU53" s="231">
        <f t="shared" si="11"/>
        <v>0</v>
      </c>
      <c r="BV53" s="231">
        <f t="shared" si="11"/>
        <v>0</v>
      </c>
      <c r="BW53" s="231">
        <f t="shared" si="11"/>
        <v>0</v>
      </c>
      <c r="BX53" s="231">
        <f t="shared" si="11"/>
        <v>0</v>
      </c>
      <c r="BY53" s="231">
        <f t="shared" si="11"/>
        <v>0</v>
      </c>
      <c r="BZ53" s="231">
        <f t="shared" si="11"/>
        <v>0</v>
      </c>
      <c r="CA53" s="232">
        <f t="shared" si="11"/>
        <v>0</v>
      </c>
      <c r="CB53" s="233">
        <f t="shared" si="11"/>
        <v>0</v>
      </c>
      <c r="CC53" s="234">
        <f t="shared" si="11"/>
        <v>0</v>
      </c>
      <c r="CD53" s="180"/>
      <c r="CE53" s="180"/>
    </row>
    <row r="54" spans="1:85" s="181" customFormat="1" ht="7.5" customHeight="1" x14ac:dyDescent="0.35">
      <c r="A54" s="180"/>
      <c r="B54" s="180"/>
      <c r="C54" s="179"/>
      <c r="D54" s="180"/>
      <c r="E54" s="180"/>
      <c r="F54" s="180"/>
      <c r="G54" s="235"/>
      <c r="H54" s="180"/>
      <c r="I54" s="180"/>
      <c r="K54" s="180"/>
      <c r="L54" s="180"/>
      <c r="N54" s="180"/>
      <c r="O54" s="235"/>
      <c r="P54" s="180"/>
      <c r="Q54" s="180"/>
      <c r="S54" s="180"/>
      <c r="T54" s="180"/>
      <c r="V54" s="180"/>
      <c r="W54" s="235"/>
      <c r="X54" s="180"/>
      <c r="Y54" s="180"/>
      <c r="AA54" s="180"/>
      <c r="AB54" s="180"/>
      <c r="AD54" s="180"/>
      <c r="AE54" s="235"/>
      <c r="AF54" s="180"/>
      <c r="AG54" s="180"/>
      <c r="AI54" s="180"/>
      <c r="AJ54" s="180"/>
      <c r="AL54" s="180"/>
      <c r="AM54" s="235"/>
      <c r="AN54" s="180"/>
      <c r="AO54" s="180"/>
      <c r="AQ54" s="180"/>
      <c r="AR54" s="180"/>
      <c r="AT54" s="180"/>
      <c r="AU54" s="235"/>
      <c r="AV54" s="180"/>
      <c r="AW54" s="180"/>
      <c r="AY54" s="180"/>
      <c r="AZ54" s="180"/>
      <c r="BB54" s="180"/>
      <c r="BC54" s="235"/>
      <c r="BD54" s="180"/>
      <c r="BE54" s="180"/>
      <c r="BG54" s="180"/>
      <c r="BH54" s="180"/>
      <c r="BJ54" s="180"/>
      <c r="BK54" s="235"/>
      <c r="BL54" s="180"/>
      <c r="BM54" s="180"/>
      <c r="BO54" s="180"/>
      <c r="BP54" s="180"/>
      <c r="BR54" s="180"/>
      <c r="BS54" s="235"/>
      <c r="BT54" s="180"/>
      <c r="BU54" s="180"/>
      <c r="BW54" s="180"/>
      <c r="BX54" s="180"/>
      <c r="BZ54" s="180"/>
      <c r="CA54" s="235"/>
      <c r="CB54" s="180"/>
      <c r="CD54" s="180"/>
      <c r="CE54" s="180"/>
    </row>
    <row r="55" spans="1:85" ht="15.75" customHeight="1" x14ac:dyDescent="0.35">
      <c r="A55" s="180"/>
      <c r="B55" s="180"/>
      <c r="D55" s="236" t="str">
        <f t="shared" ref="D55:I69" si="12">D20</f>
        <v>Dell Technologies Capital</v>
      </c>
      <c r="E55" s="237">
        <f t="shared" si="12"/>
        <v>0</v>
      </c>
      <c r="F55" s="237">
        <f t="shared" si="12"/>
        <v>0</v>
      </c>
      <c r="G55" s="237">
        <f t="shared" si="12"/>
        <v>0</v>
      </c>
      <c r="H55" s="238">
        <f t="shared" si="12"/>
        <v>0</v>
      </c>
      <c r="I55" s="239">
        <f t="shared" si="12"/>
        <v>0</v>
      </c>
      <c r="J55" s="272" t="e">
        <f>H55*H$52*H$51</f>
        <v>#DIV/0!</v>
      </c>
      <c r="K55" s="288">
        <f t="shared" ref="K55:Q69" si="13">K20</f>
        <v>0</v>
      </c>
      <c r="L55" s="272">
        <f t="shared" si="13"/>
        <v>0</v>
      </c>
      <c r="M55" s="272">
        <f t="shared" si="13"/>
        <v>0</v>
      </c>
      <c r="N55" s="288" t="e">
        <f t="shared" si="13"/>
        <v>#DIV/0!</v>
      </c>
      <c r="O55" s="288" t="e">
        <f t="shared" si="13"/>
        <v>#DIV/0!</v>
      </c>
      <c r="P55" s="238">
        <f t="shared" si="13"/>
        <v>0</v>
      </c>
      <c r="Q55" s="239">
        <f t="shared" si="13"/>
        <v>0</v>
      </c>
      <c r="R55" s="272">
        <f>P55*P$52*P$51</f>
        <v>0</v>
      </c>
      <c r="S55" s="288">
        <f t="shared" ref="S55:Y69" si="14">S20</f>
        <v>0</v>
      </c>
      <c r="T55" s="272">
        <f t="shared" si="14"/>
        <v>0</v>
      </c>
      <c r="U55" s="272">
        <f t="shared" si="14"/>
        <v>0</v>
      </c>
      <c r="V55" s="288" t="e">
        <f t="shared" si="14"/>
        <v>#DIV/0!</v>
      </c>
      <c r="W55" s="288" t="e">
        <f t="shared" si="14"/>
        <v>#DIV/0!</v>
      </c>
      <c r="X55" s="238">
        <f t="shared" si="14"/>
        <v>0</v>
      </c>
      <c r="Y55" s="239">
        <f t="shared" si="14"/>
        <v>0</v>
      </c>
      <c r="Z55" s="272">
        <f>X55*X$52*X$51</f>
        <v>0</v>
      </c>
      <c r="AA55" s="288">
        <f t="shared" ref="AA55:AG69" si="15">AA20</f>
        <v>0</v>
      </c>
      <c r="AB55" s="272">
        <f t="shared" si="15"/>
        <v>0</v>
      </c>
      <c r="AC55" s="272">
        <f t="shared" si="15"/>
        <v>0</v>
      </c>
      <c r="AD55" s="288" t="e">
        <f t="shared" si="15"/>
        <v>#DIV/0!</v>
      </c>
      <c r="AE55" s="288" t="e">
        <f t="shared" si="15"/>
        <v>#DIV/0!</v>
      </c>
      <c r="AF55" s="238">
        <f t="shared" si="15"/>
        <v>0</v>
      </c>
      <c r="AG55" s="239">
        <f t="shared" si="15"/>
        <v>0</v>
      </c>
      <c r="AH55" s="272">
        <f>AF55*AF$52*AF$51</f>
        <v>0</v>
      </c>
      <c r="AI55" s="288">
        <f t="shared" ref="AI55:AO69" si="16">AI20</f>
        <v>0</v>
      </c>
      <c r="AJ55" s="272">
        <f t="shared" si="16"/>
        <v>0</v>
      </c>
      <c r="AK55" s="272">
        <f t="shared" si="16"/>
        <v>0</v>
      </c>
      <c r="AL55" s="288" t="e">
        <f t="shared" si="16"/>
        <v>#DIV/0!</v>
      </c>
      <c r="AM55" s="288" t="e">
        <f t="shared" si="16"/>
        <v>#DIV/0!</v>
      </c>
      <c r="AN55" s="238">
        <f t="shared" si="16"/>
        <v>0</v>
      </c>
      <c r="AO55" s="239">
        <f t="shared" si="16"/>
        <v>0</v>
      </c>
      <c r="AP55" s="272">
        <f>AN55*AN$52*AN$51</f>
        <v>0</v>
      </c>
      <c r="AQ55" s="288">
        <f t="shared" ref="AQ55:AW69" si="17">AQ20</f>
        <v>0</v>
      </c>
      <c r="AR55" s="272">
        <f t="shared" si="17"/>
        <v>0</v>
      </c>
      <c r="AS55" s="272">
        <f t="shared" si="17"/>
        <v>0</v>
      </c>
      <c r="AT55" s="288" t="e">
        <f t="shared" si="17"/>
        <v>#DIV/0!</v>
      </c>
      <c r="AU55" s="288" t="e">
        <f t="shared" si="17"/>
        <v>#DIV/0!</v>
      </c>
      <c r="AV55" s="238">
        <f t="shared" si="17"/>
        <v>0</v>
      </c>
      <c r="AW55" s="239">
        <f t="shared" si="17"/>
        <v>0</v>
      </c>
      <c r="AX55" s="272">
        <f>AV55*AV$52*AV$51</f>
        <v>0</v>
      </c>
      <c r="AY55" s="288">
        <f t="shared" ref="AY55:BE69" si="18">AY20</f>
        <v>0</v>
      </c>
      <c r="AZ55" s="272">
        <f t="shared" si="18"/>
        <v>0</v>
      </c>
      <c r="BA55" s="272">
        <f t="shared" si="18"/>
        <v>0</v>
      </c>
      <c r="BB55" s="288" t="e">
        <f t="shared" si="18"/>
        <v>#DIV/0!</v>
      </c>
      <c r="BC55" s="288" t="e">
        <f t="shared" si="18"/>
        <v>#DIV/0!</v>
      </c>
      <c r="BD55" s="238">
        <f t="shared" si="18"/>
        <v>0</v>
      </c>
      <c r="BE55" s="239">
        <f t="shared" si="18"/>
        <v>0</v>
      </c>
      <c r="BF55" s="272">
        <f>BD55*BD$52*BD$51</f>
        <v>0</v>
      </c>
      <c r="BG55" s="288">
        <f t="shared" ref="BG55:BM69" si="19">BG20</f>
        <v>0</v>
      </c>
      <c r="BH55" s="272">
        <f t="shared" si="19"/>
        <v>0</v>
      </c>
      <c r="BI55" s="272">
        <f t="shared" si="19"/>
        <v>0</v>
      </c>
      <c r="BJ55" s="288" t="e">
        <f t="shared" si="19"/>
        <v>#DIV/0!</v>
      </c>
      <c r="BK55" s="288" t="e">
        <f t="shared" si="19"/>
        <v>#DIV/0!</v>
      </c>
      <c r="BL55" s="238">
        <f t="shared" si="19"/>
        <v>0</v>
      </c>
      <c r="BM55" s="239">
        <f t="shared" si="19"/>
        <v>0</v>
      </c>
      <c r="BN55" s="272">
        <f>BL55*BL$52*BL$51</f>
        <v>0</v>
      </c>
      <c r="BO55" s="288">
        <f t="shared" ref="BO55:BU69" si="20">BO20</f>
        <v>0</v>
      </c>
      <c r="BP55" s="272">
        <f t="shared" si="20"/>
        <v>0</v>
      </c>
      <c r="BQ55" s="272">
        <f t="shared" si="20"/>
        <v>0</v>
      </c>
      <c r="BR55" s="288" t="e">
        <f t="shared" si="20"/>
        <v>#DIV/0!</v>
      </c>
      <c r="BS55" s="288" t="e">
        <f t="shared" si="20"/>
        <v>#DIV/0!</v>
      </c>
      <c r="BT55" s="238">
        <f t="shared" si="20"/>
        <v>0</v>
      </c>
      <c r="BU55" s="239">
        <f t="shared" si="20"/>
        <v>0</v>
      </c>
      <c r="BV55" s="272">
        <f>BT55*BT$52*BT$51</f>
        <v>0</v>
      </c>
      <c r="BW55" s="288">
        <f t="shared" ref="BW55:CC69" si="21">BW20</f>
        <v>0</v>
      </c>
      <c r="BX55" s="272">
        <f t="shared" si="21"/>
        <v>0</v>
      </c>
      <c r="BY55" s="272">
        <f t="shared" si="21"/>
        <v>0</v>
      </c>
      <c r="BZ55" s="288" t="e">
        <f t="shared" si="21"/>
        <v>#DIV/0!</v>
      </c>
      <c r="CA55" s="288" t="e">
        <f t="shared" si="21"/>
        <v>#DIV/0!</v>
      </c>
      <c r="CB55" s="180">
        <f t="shared" si="21"/>
        <v>0</v>
      </c>
      <c r="CC55" s="272" t="e">
        <f t="shared" si="21"/>
        <v>#DIV/0!</v>
      </c>
      <c r="CD55" s="180"/>
      <c r="CG55" s="764"/>
    </row>
    <row r="56" spans="1:85" ht="15.75" customHeight="1" x14ac:dyDescent="0.35">
      <c r="A56" s="180"/>
      <c r="B56" s="180"/>
      <c r="D56" s="241" t="str">
        <f t="shared" si="12"/>
        <v>Investor 1</v>
      </c>
      <c r="E56" s="239">
        <f t="shared" si="12"/>
        <v>0</v>
      </c>
      <c r="F56" s="239">
        <f t="shared" si="12"/>
        <v>0</v>
      </c>
      <c r="G56" s="239">
        <f t="shared" si="12"/>
        <v>0</v>
      </c>
      <c r="H56" s="238">
        <f t="shared" si="12"/>
        <v>0</v>
      </c>
      <c r="I56" s="239">
        <f t="shared" si="12"/>
        <v>0</v>
      </c>
      <c r="J56" s="272" t="e">
        <f t="shared" ref="J56:J69" si="22">H56*H$52*H$51</f>
        <v>#DIV/0!</v>
      </c>
      <c r="K56" s="288">
        <f t="shared" si="13"/>
        <v>0</v>
      </c>
      <c r="L56" s="272">
        <f t="shared" si="13"/>
        <v>0</v>
      </c>
      <c r="M56" s="272">
        <f t="shared" si="13"/>
        <v>0</v>
      </c>
      <c r="N56" s="288" t="e">
        <f t="shared" si="13"/>
        <v>#DIV/0!</v>
      </c>
      <c r="O56" s="288" t="e">
        <f t="shared" si="13"/>
        <v>#DIV/0!</v>
      </c>
      <c r="P56" s="238">
        <f t="shared" si="13"/>
        <v>0</v>
      </c>
      <c r="Q56" s="239">
        <f t="shared" si="13"/>
        <v>0</v>
      </c>
      <c r="R56" s="272">
        <f t="shared" ref="R56:R69" si="23">P56*P$52*P$51</f>
        <v>0</v>
      </c>
      <c r="S56" s="288">
        <f t="shared" si="14"/>
        <v>0</v>
      </c>
      <c r="T56" s="272">
        <f t="shared" si="14"/>
        <v>0</v>
      </c>
      <c r="U56" s="272">
        <f t="shared" si="14"/>
        <v>0</v>
      </c>
      <c r="V56" s="288" t="e">
        <f t="shared" si="14"/>
        <v>#DIV/0!</v>
      </c>
      <c r="W56" s="288" t="e">
        <f t="shared" si="14"/>
        <v>#DIV/0!</v>
      </c>
      <c r="X56" s="238">
        <f t="shared" si="14"/>
        <v>0</v>
      </c>
      <c r="Y56" s="239">
        <f t="shared" si="14"/>
        <v>0</v>
      </c>
      <c r="Z56" s="272">
        <f t="shared" ref="Z56:Z69" si="24">X56*X$52*X$51</f>
        <v>0</v>
      </c>
      <c r="AA56" s="288">
        <f t="shared" si="15"/>
        <v>0</v>
      </c>
      <c r="AB56" s="272">
        <f t="shared" si="15"/>
        <v>0</v>
      </c>
      <c r="AC56" s="272">
        <f t="shared" si="15"/>
        <v>0</v>
      </c>
      <c r="AD56" s="288" t="e">
        <f t="shared" si="15"/>
        <v>#DIV/0!</v>
      </c>
      <c r="AE56" s="288" t="e">
        <f t="shared" si="15"/>
        <v>#DIV/0!</v>
      </c>
      <c r="AF56" s="238">
        <f t="shared" si="15"/>
        <v>0</v>
      </c>
      <c r="AG56" s="239">
        <f t="shared" si="15"/>
        <v>0</v>
      </c>
      <c r="AH56" s="272">
        <f t="shared" ref="AH56:AH69" si="25">AF56*AF$52*AF$51</f>
        <v>0</v>
      </c>
      <c r="AI56" s="288">
        <f t="shared" si="16"/>
        <v>0</v>
      </c>
      <c r="AJ56" s="272">
        <f t="shared" si="16"/>
        <v>0</v>
      </c>
      <c r="AK56" s="272">
        <f t="shared" si="16"/>
        <v>0</v>
      </c>
      <c r="AL56" s="288" t="e">
        <f t="shared" si="16"/>
        <v>#DIV/0!</v>
      </c>
      <c r="AM56" s="288" t="e">
        <f t="shared" si="16"/>
        <v>#DIV/0!</v>
      </c>
      <c r="AN56" s="238">
        <f t="shared" si="16"/>
        <v>0</v>
      </c>
      <c r="AO56" s="239">
        <f t="shared" si="16"/>
        <v>0</v>
      </c>
      <c r="AP56" s="272">
        <f t="shared" ref="AP56:AP69" si="26">AN56*AN$52*AN$51</f>
        <v>0</v>
      </c>
      <c r="AQ56" s="288">
        <f t="shared" si="17"/>
        <v>0</v>
      </c>
      <c r="AR56" s="272">
        <f t="shared" si="17"/>
        <v>0</v>
      </c>
      <c r="AS56" s="272">
        <f t="shared" si="17"/>
        <v>0</v>
      </c>
      <c r="AT56" s="288" t="e">
        <f t="shared" si="17"/>
        <v>#DIV/0!</v>
      </c>
      <c r="AU56" s="288" t="e">
        <f t="shared" si="17"/>
        <v>#DIV/0!</v>
      </c>
      <c r="AV56" s="238">
        <f t="shared" si="17"/>
        <v>0</v>
      </c>
      <c r="AW56" s="239">
        <f t="shared" si="17"/>
        <v>0</v>
      </c>
      <c r="AX56" s="272">
        <f t="shared" ref="AX56:AX69" si="27">AV56*AV$52*AV$51</f>
        <v>0</v>
      </c>
      <c r="AY56" s="288">
        <f t="shared" si="18"/>
        <v>0</v>
      </c>
      <c r="AZ56" s="272">
        <f t="shared" si="18"/>
        <v>0</v>
      </c>
      <c r="BA56" s="272">
        <f t="shared" si="18"/>
        <v>0</v>
      </c>
      <c r="BB56" s="288" t="e">
        <f t="shared" si="18"/>
        <v>#DIV/0!</v>
      </c>
      <c r="BC56" s="288" t="e">
        <f t="shared" si="18"/>
        <v>#DIV/0!</v>
      </c>
      <c r="BD56" s="238">
        <f t="shared" si="18"/>
        <v>0</v>
      </c>
      <c r="BE56" s="239">
        <f t="shared" si="18"/>
        <v>0</v>
      </c>
      <c r="BF56" s="272">
        <f t="shared" ref="BF56:BF69" si="28">BD56*BD$52*BD$51</f>
        <v>0</v>
      </c>
      <c r="BG56" s="288">
        <f t="shared" si="19"/>
        <v>0</v>
      </c>
      <c r="BH56" s="272">
        <f t="shared" si="19"/>
        <v>0</v>
      </c>
      <c r="BI56" s="272">
        <f t="shared" si="19"/>
        <v>0</v>
      </c>
      <c r="BJ56" s="288" t="e">
        <f t="shared" si="19"/>
        <v>#DIV/0!</v>
      </c>
      <c r="BK56" s="288" t="e">
        <f t="shared" si="19"/>
        <v>#DIV/0!</v>
      </c>
      <c r="BL56" s="238">
        <f t="shared" si="19"/>
        <v>0</v>
      </c>
      <c r="BM56" s="239">
        <f t="shared" si="19"/>
        <v>0</v>
      </c>
      <c r="BN56" s="272">
        <f t="shared" ref="BN56:BN69" si="29">BL56*BL$52*BL$51</f>
        <v>0</v>
      </c>
      <c r="BO56" s="288">
        <f t="shared" si="20"/>
        <v>0</v>
      </c>
      <c r="BP56" s="272">
        <f t="shared" si="20"/>
        <v>0</v>
      </c>
      <c r="BQ56" s="272">
        <f t="shared" si="20"/>
        <v>0</v>
      </c>
      <c r="BR56" s="288" t="e">
        <f t="shared" si="20"/>
        <v>#DIV/0!</v>
      </c>
      <c r="BS56" s="288" t="e">
        <f t="shared" si="20"/>
        <v>#DIV/0!</v>
      </c>
      <c r="BT56" s="238">
        <f t="shared" si="20"/>
        <v>0</v>
      </c>
      <c r="BU56" s="239">
        <f t="shared" si="20"/>
        <v>0</v>
      </c>
      <c r="BV56" s="272">
        <f t="shared" ref="BV56:BV69" si="30">BT56*BT$52*BT$51</f>
        <v>0</v>
      </c>
      <c r="BW56" s="288">
        <f t="shared" si="21"/>
        <v>0</v>
      </c>
      <c r="BX56" s="272">
        <f t="shared" si="21"/>
        <v>0</v>
      </c>
      <c r="BY56" s="272">
        <f t="shared" si="21"/>
        <v>0</v>
      </c>
      <c r="BZ56" s="288" t="e">
        <f t="shared" si="21"/>
        <v>#DIV/0!</v>
      </c>
      <c r="CA56" s="288" t="e">
        <f t="shared" si="21"/>
        <v>#DIV/0!</v>
      </c>
      <c r="CB56" s="180">
        <f t="shared" si="21"/>
        <v>0</v>
      </c>
      <c r="CC56" s="272" t="e">
        <f t="shared" si="21"/>
        <v>#DIV/0!</v>
      </c>
      <c r="CD56" s="180"/>
      <c r="CE56" s="180"/>
    </row>
    <row r="57" spans="1:85" ht="15.75" customHeight="1" x14ac:dyDescent="0.35">
      <c r="A57" s="180"/>
      <c r="B57" s="180"/>
      <c r="D57" s="241" t="str">
        <f t="shared" si="12"/>
        <v>Investor 2</v>
      </c>
      <c r="E57" s="239">
        <f t="shared" si="12"/>
        <v>0</v>
      </c>
      <c r="F57" s="239">
        <f t="shared" si="12"/>
        <v>0</v>
      </c>
      <c r="G57" s="239">
        <f t="shared" si="12"/>
        <v>0</v>
      </c>
      <c r="H57" s="238">
        <f t="shared" si="12"/>
        <v>0</v>
      </c>
      <c r="I57" s="239">
        <f t="shared" si="12"/>
        <v>0</v>
      </c>
      <c r="J57" s="272" t="e">
        <f t="shared" si="22"/>
        <v>#DIV/0!</v>
      </c>
      <c r="K57" s="288">
        <f t="shared" si="13"/>
        <v>0</v>
      </c>
      <c r="L57" s="272">
        <f t="shared" si="13"/>
        <v>0</v>
      </c>
      <c r="M57" s="272">
        <f t="shared" si="13"/>
        <v>0</v>
      </c>
      <c r="N57" s="288" t="e">
        <f t="shared" si="13"/>
        <v>#DIV/0!</v>
      </c>
      <c r="O57" s="288" t="e">
        <f t="shared" si="13"/>
        <v>#DIV/0!</v>
      </c>
      <c r="P57" s="238">
        <f t="shared" si="13"/>
        <v>0</v>
      </c>
      <c r="Q57" s="239">
        <f t="shared" si="13"/>
        <v>0</v>
      </c>
      <c r="R57" s="272">
        <f t="shared" si="23"/>
        <v>0</v>
      </c>
      <c r="S57" s="288">
        <f t="shared" si="14"/>
        <v>0</v>
      </c>
      <c r="T57" s="272">
        <f t="shared" si="14"/>
        <v>0</v>
      </c>
      <c r="U57" s="272">
        <f t="shared" si="14"/>
        <v>0</v>
      </c>
      <c r="V57" s="288" t="e">
        <f t="shared" si="14"/>
        <v>#DIV/0!</v>
      </c>
      <c r="W57" s="288" t="e">
        <f t="shared" si="14"/>
        <v>#DIV/0!</v>
      </c>
      <c r="X57" s="238">
        <f t="shared" si="14"/>
        <v>0</v>
      </c>
      <c r="Y57" s="239">
        <f t="shared" si="14"/>
        <v>0</v>
      </c>
      <c r="Z57" s="272">
        <f t="shared" si="24"/>
        <v>0</v>
      </c>
      <c r="AA57" s="288">
        <f t="shared" si="15"/>
        <v>0</v>
      </c>
      <c r="AB57" s="272">
        <f t="shared" si="15"/>
        <v>0</v>
      </c>
      <c r="AC57" s="272">
        <f t="shared" si="15"/>
        <v>0</v>
      </c>
      <c r="AD57" s="288" t="e">
        <f t="shared" si="15"/>
        <v>#DIV/0!</v>
      </c>
      <c r="AE57" s="288" t="e">
        <f t="shared" si="15"/>
        <v>#DIV/0!</v>
      </c>
      <c r="AF57" s="238">
        <f t="shared" si="15"/>
        <v>0</v>
      </c>
      <c r="AG57" s="239">
        <f t="shared" si="15"/>
        <v>0</v>
      </c>
      <c r="AH57" s="272">
        <f t="shared" si="25"/>
        <v>0</v>
      </c>
      <c r="AI57" s="288">
        <f t="shared" si="16"/>
        <v>0</v>
      </c>
      <c r="AJ57" s="272">
        <f t="shared" si="16"/>
        <v>0</v>
      </c>
      <c r="AK57" s="272">
        <f t="shared" si="16"/>
        <v>0</v>
      </c>
      <c r="AL57" s="288" t="e">
        <f t="shared" si="16"/>
        <v>#DIV/0!</v>
      </c>
      <c r="AM57" s="288" t="e">
        <f t="shared" si="16"/>
        <v>#DIV/0!</v>
      </c>
      <c r="AN57" s="238">
        <f t="shared" si="16"/>
        <v>0</v>
      </c>
      <c r="AO57" s="239">
        <f t="shared" si="16"/>
        <v>0</v>
      </c>
      <c r="AP57" s="272">
        <f t="shared" si="26"/>
        <v>0</v>
      </c>
      <c r="AQ57" s="288">
        <f t="shared" si="17"/>
        <v>0</v>
      </c>
      <c r="AR57" s="272">
        <f t="shared" si="17"/>
        <v>0</v>
      </c>
      <c r="AS57" s="272">
        <f t="shared" si="17"/>
        <v>0</v>
      </c>
      <c r="AT57" s="288" t="e">
        <f t="shared" si="17"/>
        <v>#DIV/0!</v>
      </c>
      <c r="AU57" s="288" t="e">
        <f t="shared" si="17"/>
        <v>#DIV/0!</v>
      </c>
      <c r="AV57" s="238">
        <f t="shared" si="17"/>
        <v>0</v>
      </c>
      <c r="AW57" s="239">
        <f t="shared" si="17"/>
        <v>0</v>
      </c>
      <c r="AX57" s="272">
        <f t="shared" si="27"/>
        <v>0</v>
      </c>
      <c r="AY57" s="288">
        <f t="shared" si="18"/>
        <v>0</v>
      </c>
      <c r="AZ57" s="272">
        <f t="shared" si="18"/>
        <v>0</v>
      </c>
      <c r="BA57" s="272">
        <f t="shared" si="18"/>
        <v>0</v>
      </c>
      <c r="BB57" s="288" t="e">
        <f t="shared" si="18"/>
        <v>#DIV/0!</v>
      </c>
      <c r="BC57" s="288" t="e">
        <f t="shared" si="18"/>
        <v>#DIV/0!</v>
      </c>
      <c r="BD57" s="238">
        <f t="shared" si="18"/>
        <v>0</v>
      </c>
      <c r="BE57" s="239">
        <f t="shared" si="18"/>
        <v>0</v>
      </c>
      <c r="BF57" s="272">
        <f t="shared" si="28"/>
        <v>0</v>
      </c>
      <c r="BG57" s="288">
        <f t="shared" si="19"/>
        <v>0</v>
      </c>
      <c r="BH57" s="272">
        <f t="shared" si="19"/>
        <v>0</v>
      </c>
      <c r="BI57" s="272">
        <f t="shared" si="19"/>
        <v>0</v>
      </c>
      <c r="BJ57" s="288" t="e">
        <f t="shared" si="19"/>
        <v>#DIV/0!</v>
      </c>
      <c r="BK57" s="288" t="e">
        <f t="shared" si="19"/>
        <v>#DIV/0!</v>
      </c>
      <c r="BL57" s="238">
        <f t="shared" si="19"/>
        <v>0</v>
      </c>
      <c r="BM57" s="239">
        <f t="shared" si="19"/>
        <v>0</v>
      </c>
      <c r="BN57" s="272">
        <f t="shared" si="29"/>
        <v>0</v>
      </c>
      <c r="BO57" s="288">
        <f t="shared" si="20"/>
        <v>0</v>
      </c>
      <c r="BP57" s="272">
        <f t="shared" si="20"/>
        <v>0</v>
      </c>
      <c r="BQ57" s="272">
        <f t="shared" si="20"/>
        <v>0</v>
      </c>
      <c r="BR57" s="288" t="e">
        <f t="shared" si="20"/>
        <v>#DIV/0!</v>
      </c>
      <c r="BS57" s="288" t="e">
        <f t="shared" si="20"/>
        <v>#DIV/0!</v>
      </c>
      <c r="BT57" s="238">
        <f t="shared" si="20"/>
        <v>0</v>
      </c>
      <c r="BU57" s="239">
        <f t="shared" si="20"/>
        <v>0</v>
      </c>
      <c r="BV57" s="272">
        <f t="shared" si="30"/>
        <v>0</v>
      </c>
      <c r="BW57" s="288">
        <f t="shared" si="21"/>
        <v>0</v>
      </c>
      <c r="BX57" s="272">
        <f t="shared" si="21"/>
        <v>0</v>
      </c>
      <c r="BY57" s="272">
        <f t="shared" si="21"/>
        <v>0</v>
      </c>
      <c r="BZ57" s="288" t="e">
        <f t="shared" si="21"/>
        <v>#DIV/0!</v>
      </c>
      <c r="CA57" s="288" t="e">
        <f t="shared" si="21"/>
        <v>#DIV/0!</v>
      </c>
      <c r="CB57" s="242">
        <f t="shared" si="21"/>
        <v>0</v>
      </c>
      <c r="CC57" s="272" t="e">
        <f t="shared" si="21"/>
        <v>#DIV/0!</v>
      </c>
      <c r="CD57" s="242"/>
      <c r="CE57" s="242"/>
    </row>
    <row r="58" spans="1:85" ht="15.75" customHeight="1" x14ac:dyDescent="0.35">
      <c r="A58" s="180"/>
      <c r="B58" s="180"/>
      <c r="D58" s="241" t="str">
        <f t="shared" si="12"/>
        <v>Investor 3</v>
      </c>
      <c r="E58" s="239">
        <f t="shared" si="12"/>
        <v>0</v>
      </c>
      <c r="F58" s="239">
        <f t="shared" si="12"/>
        <v>0</v>
      </c>
      <c r="G58" s="239">
        <f t="shared" si="12"/>
        <v>0</v>
      </c>
      <c r="H58" s="238">
        <f t="shared" si="12"/>
        <v>0</v>
      </c>
      <c r="I58" s="239">
        <f t="shared" si="12"/>
        <v>0</v>
      </c>
      <c r="J58" s="272" t="e">
        <f t="shared" si="22"/>
        <v>#DIV/0!</v>
      </c>
      <c r="K58" s="288">
        <f t="shared" si="13"/>
        <v>0</v>
      </c>
      <c r="L58" s="272">
        <f t="shared" si="13"/>
        <v>0</v>
      </c>
      <c r="M58" s="272">
        <f t="shared" si="13"/>
        <v>0</v>
      </c>
      <c r="N58" s="288" t="e">
        <f t="shared" si="13"/>
        <v>#DIV/0!</v>
      </c>
      <c r="O58" s="288" t="e">
        <f t="shared" si="13"/>
        <v>#DIV/0!</v>
      </c>
      <c r="P58" s="238">
        <f t="shared" si="13"/>
        <v>0</v>
      </c>
      <c r="Q58" s="239">
        <f t="shared" si="13"/>
        <v>0</v>
      </c>
      <c r="R58" s="272">
        <f t="shared" si="23"/>
        <v>0</v>
      </c>
      <c r="S58" s="288">
        <f t="shared" si="14"/>
        <v>0</v>
      </c>
      <c r="T58" s="272">
        <f t="shared" si="14"/>
        <v>0</v>
      </c>
      <c r="U58" s="272">
        <f t="shared" si="14"/>
        <v>0</v>
      </c>
      <c r="V58" s="288" t="e">
        <f t="shared" si="14"/>
        <v>#DIV/0!</v>
      </c>
      <c r="W58" s="288" t="e">
        <f t="shared" si="14"/>
        <v>#DIV/0!</v>
      </c>
      <c r="X58" s="238">
        <f t="shared" si="14"/>
        <v>0</v>
      </c>
      <c r="Y58" s="239">
        <f t="shared" si="14"/>
        <v>0</v>
      </c>
      <c r="Z58" s="272">
        <f t="shared" si="24"/>
        <v>0</v>
      </c>
      <c r="AA58" s="288">
        <f t="shared" si="15"/>
        <v>0</v>
      </c>
      <c r="AB58" s="272">
        <f t="shared" si="15"/>
        <v>0</v>
      </c>
      <c r="AC58" s="272">
        <f t="shared" si="15"/>
        <v>0</v>
      </c>
      <c r="AD58" s="288" t="e">
        <f t="shared" si="15"/>
        <v>#DIV/0!</v>
      </c>
      <c r="AE58" s="288" t="e">
        <f t="shared" si="15"/>
        <v>#DIV/0!</v>
      </c>
      <c r="AF58" s="238">
        <f t="shared" si="15"/>
        <v>0</v>
      </c>
      <c r="AG58" s="239">
        <f t="shared" si="15"/>
        <v>0</v>
      </c>
      <c r="AH58" s="272">
        <f t="shared" si="25"/>
        <v>0</v>
      </c>
      <c r="AI58" s="288">
        <f t="shared" si="16"/>
        <v>0</v>
      </c>
      <c r="AJ58" s="272">
        <f t="shared" si="16"/>
        <v>0</v>
      </c>
      <c r="AK58" s="272">
        <f t="shared" si="16"/>
        <v>0</v>
      </c>
      <c r="AL58" s="288" t="e">
        <f t="shared" si="16"/>
        <v>#DIV/0!</v>
      </c>
      <c r="AM58" s="288" t="e">
        <f t="shared" si="16"/>
        <v>#DIV/0!</v>
      </c>
      <c r="AN58" s="238">
        <f t="shared" si="16"/>
        <v>0</v>
      </c>
      <c r="AO58" s="239">
        <f t="shared" si="16"/>
        <v>0</v>
      </c>
      <c r="AP58" s="272">
        <f t="shared" si="26"/>
        <v>0</v>
      </c>
      <c r="AQ58" s="288">
        <f t="shared" si="17"/>
        <v>0</v>
      </c>
      <c r="AR58" s="272">
        <f t="shared" si="17"/>
        <v>0</v>
      </c>
      <c r="AS58" s="272">
        <f t="shared" si="17"/>
        <v>0</v>
      </c>
      <c r="AT58" s="288" t="e">
        <f t="shared" si="17"/>
        <v>#DIV/0!</v>
      </c>
      <c r="AU58" s="288" t="e">
        <f t="shared" si="17"/>
        <v>#DIV/0!</v>
      </c>
      <c r="AV58" s="238">
        <f t="shared" si="17"/>
        <v>0</v>
      </c>
      <c r="AW58" s="239">
        <f t="shared" si="17"/>
        <v>0</v>
      </c>
      <c r="AX58" s="272">
        <f t="shared" si="27"/>
        <v>0</v>
      </c>
      <c r="AY58" s="288">
        <f t="shared" si="18"/>
        <v>0</v>
      </c>
      <c r="AZ58" s="272">
        <f t="shared" si="18"/>
        <v>0</v>
      </c>
      <c r="BA58" s="272">
        <f t="shared" si="18"/>
        <v>0</v>
      </c>
      <c r="BB58" s="288" t="e">
        <f t="shared" si="18"/>
        <v>#DIV/0!</v>
      </c>
      <c r="BC58" s="288" t="e">
        <f t="shared" si="18"/>
        <v>#DIV/0!</v>
      </c>
      <c r="BD58" s="238">
        <f t="shared" si="18"/>
        <v>0</v>
      </c>
      <c r="BE58" s="239">
        <f t="shared" si="18"/>
        <v>0</v>
      </c>
      <c r="BF58" s="272">
        <f t="shared" si="28"/>
        <v>0</v>
      </c>
      <c r="BG58" s="288">
        <f t="shared" si="19"/>
        <v>0</v>
      </c>
      <c r="BH58" s="272">
        <f t="shared" si="19"/>
        <v>0</v>
      </c>
      <c r="BI58" s="272">
        <f t="shared" si="19"/>
        <v>0</v>
      </c>
      <c r="BJ58" s="288" t="e">
        <f t="shared" si="19"/>
        <v>#DIV/0!</v>
      </c>
      <c r="BK58" s="288" t="e">
        <f t="shared" si="19"/>
        <v>#DIV/0!</v>
      </c>
      <c r="BL58" s="238">
        <f t="shared" si="19"/>
        <v>0</v>
      </c>
      <c r="BM58" s="239">
        <f t="shared" si="19"/>
        <v>0</v>
      </c>
      <c r="BN58" s="272">
        <f t="shared" si="29"/>
        <v>0</v>
      </c>
      <c r="BO58" s="288">
        <f t="shared" si="20"/>
        <v>0</v>
      </c>
      <c r="BP58" s="272">
        <f t="shared" si="20"/>
        <v>0</v>
      </c>
      <c r="BQ58" s="272">
        <f t="shared" si="20"/>
        <v>0</v>
      </c>
      <c r="BR58" s="288" t="e">
        <f t="shared" si="20"/>
        <v>#DIV/0!</v>
      </c>
      <c r="BS58" s="288" t="e">
        <f t="shared" si="20"/>
        <v>#DIV/0!</v>
      </c>
      <c r="BT58" s="238">
        <f t="shared" si="20"/>
        <v>0</v>
      </c>
      <c r="BU58" s="239">
        <f t="shared" si="20"/>
        <v>0</v>
      </c>
      <c r="BV58" s="272">
        <f t="shared" si="30"/>
        <v>0</v>
      </c>
      <c r="BW58" s="288">
        <f t="shared" si="21"/>
        <v>0</v>
      </c>
      <c r="BX58" s="272">
        <f t="shared" si="21"/>
        <v>0</v>
      </c>
      <c r="BY58" s="272">
        <f t="shared" si="21"/>
        <v>0</v>
      </c>
      <c r="BZ58" s="288" t="e">
        <f t="shared" si="21"/>
        <v>#DIV/0!</v>
      </c>
      <c r="CA58" s="288" t="e">
        <f t="shared" si="21"/>
        <v>#DIV/0!</v>
      </c>
      <c r="CB58" s="180">
        <f t="shared" si="21"/>
        <v>0</v>
      </c>
      <c r="CC58" s="272" t="e">
        <f t="shared" si="21"/>
        <v>#DIV/0!</v>
      </c>
      <c r="CD58" s="180"/>
      <c r="CE58" s="180"/>
    </row>
    <row r="59" spans="1:85" ht="15.75" customHeight="1" x14ac:dyDescent="0.35">
      <c r="A59" s="180"/>
      <c r="B59" s="180"/>
      <c r="D59" s="241" t="str">
        <f t="shared" si="12"/>
        <v>Investor 4</v>
      </c>
      <c r="E59" s="239">
        <f t="shared" si="12"/>
        <v>0</v>
      </c>
      <c r="F59" s="239">
        <f t="shared" si="12"/>
        <v>0</v>
      </c>
      <c r="G59" s="239">
        <f t="shared" si="12"/>
        <v>0</v>
      </c>
      <c r="H59" s="238">
        <f t="shared" si="12"/>
        <v>0</v>
      </c>
      <c r="I59" s="239">
        <f t="shared" si="12"/>
        <v>0</v>
      </c>
      <c r="J59" s="272" t="e">
        <f t="shared" si="22"/>
        <v>#DIV/0!</v>
      </c>
      <c r="K59" s="288">
        <f t="shared" si="13"/>
        <v>0</v>
      </c>
      <c r="L59" s="272">
        <f t="shared" si="13"/>
        <v>0</v>
      </c>
      <c r="M59" s="272">
        <f t="shared" si="13"/>
        <v>0</v>
      </c>
      <c r="N59" s="288" t="e">
        <f t="shared" si="13"/>
        <v>#DIV/0!</v>
      </c>
      <c r="O59" s="288" t="e">
        <f t="shared" si="13"/>
        <v>#DIV/0!</v>
      </c>
      <c r="P59" s="238">
        <f t="shared" si="13"/>
        <v>0</v>
      </c>
      <c r="Q59" s="239">
        <f t="shared" si="13"/>
        <v>0</v>
      </c>
      <c r="R59" s="272">
        <f t="shared" si="23"/>
        <v>0</v>
      </c>
      <c r="S59" s="288">
        <f t="shared" si="14"/>
        <v>0</v>
      </c>
      <c r="T59" s="272">
        <f t="shared" si="14"/>
        <v>0</v>
      </c>
      <c r="U59" s="272">
        <f t="shared" si="14"/>
        <v>0</v>
      </c>
      <c r="V59" s="288" t="e">
        <f t="shared" si="14"/>
        <v>#DIV/0!</v>
      </c>
      <c r="W59" s="288" t="e">
        <f t="shared" si="14"/>
        <v>#DIV/0!</v>
      </c>
      <c r="X59" s="238">
        <f t="shared" si="14"/>
        <v>0</v>
      </c>
      <c r="Y59" s="239">
        <f t="shared" si="14"/>
        <v>0</v>
      </c>
      <c r="Z59" s="272">
        <f t="shared" si="24"/>
        <v>0</v>
      </c>
      <c r="AA59" s="288">
        <f t="shared" si="15"/>
        <v>0</v>
      </c>
      <c r="AB59" s="272">
        <f t="shared" si="15"/>
        <v>0</v>
      </c>
      <c r="AC59" s="272">
        <f t="shared" si="15"/>
        <v>0</v>
      </c>
      <c r="AD59" s="288" t="e">
        <f t="shared" si="15"/>
        <v>#DIV/0!</v>
      </c>
      <c r="AE59" s="288" t="e">
        <f t="shared" si="15"/>
        <v>#DIV/0!</v>
      </c>
      <c r="AF59" s="238">
        <f t="shared" si="15"/>
        <v>0</v>
      </c>
      <c r="AG59" s="239">
        <f t="shared" si="15"/>
        <v>0</v>
      </c>
      <c r="AH59" s="272">
        <f t="shared" si="25"/>
        <v>0</v>
      </c>
      <c r="AI59" s="288">
        <f t="shared" si="16"/>
        <v>0</v>
      </c>
      <c r="AJ59" s="272">
        <f t="shared" si="16"/>
        <v>0</v>
      </c>
      <c r="AK59" s="272">
        <f t="shared" si="16"/>
        <v>0</v>
      </c>
      <c r="AL59" s="288" t="e">
        <f t="shared" si="16"/>
        <v>#DIV/0!</v>
      </c>
      <c r="AM59" s="288" t="e">
        <f t="shared" si="16"/>
        <v>#DIV/0!</v>
      </c>
      <c r="AN59" s="238">
        <f t="shared" si="16"/>
        <v>0</v>
      </c>
      <c r="AO59" s="239">
        <f t="shared" si="16"/>
        <v>0</v>
      </c>
      <c r="AP59" s="272">
        <f t="shared" si="26"/>
        <v>0</v>
      </c>
      <c r="AQ59" s="288">
        <f t="shared" si="17"/>
        <v>0</v>
      </c>
      <c r="AR59" s="272">
        <f t="shared" si="17"/>
        <v>0</v>
      </c>
      <c r="AS59" s="272">
        <f t="shared" si="17"/>
        <v>0</v>
      </c>
      <c r="AT59" s="288" t="e">
        <f t="shared" si="17"/>
        <v>#DIV/0!</v>
      </c>
      <c r="AU59" s="288" t="e">
        <f t="shared" si="17"/>
        <v>#DIV/0!</v>
      </c>
      <c r="AV59" s="238">
        <f t="shared" si="17"/>
        <v>0</v>
      </c>
      <c r="AW59" s="239">
        <f t="shared" si="17"/>
        <v>0</v>
      </c>
      <c r="AX59" s="272">
        <f t="shared" si="27"/>
        <v>0</v>
      </c>
      <c r="AY59" s="288">
        <f t="shared" si="18"/>
        <v>0</v>
      </c>
      <c r="AZ59" s="272">
        <f t="shared" si="18"/>
        <v>0</v>
      </c>
      <c r="BA59" s="272">
        <f t="shared" si="18"/>
        <v>0</v>
      </c>
      <c r="BB59" s="288" t="e">
        <f t="shared" si="18"/>
        <v>#DIV/0!</v>
      </c>
      <c r="BC59" s="288" t="e">
        <f t="shared" si="18"/>
        <v>#DIV/0!</v>
      </c>
      <c r="BD59" s="238">
        <f t="shared" si="18"/>
        <v>0</v>
      </c>
      <c r="BE59" s="239">
        <f t="shared" si="18"/>
        <v>0</v>
      </c>
      <c r="BF59" s="272">
        <f t="shared" si="28"/>
        <v>0</v>
      </c>
      <c r="BG59" s="288">
        <f t="shared" si="19"/>
        <v>0</v>
      </c>
      <c r="BH59" s="272">
        <f t="shared" si="19"/>
        <v>0</v>
      </c>
      <c r="BI59" s="272">
        <f t="shared" si="19"/>
        <v>0</v>
      </c>
      <c r="BJ59" s="288" t="e">
        <f t="shared" si="19"/>
        <v>#DIV/0!</v>
      </c>
      <c r="BK59" s="288" t="e">
        <f t="shared" si="19"/>
        <v>#DIV/0!</v>
      </c>
      <c r="BL59" s="238">
        <f t="shared" si="19"/>
        <v>0</v>
      </c>
      <c r="BM59" s="239">
        <f t="shared" si="19"/>
        <v>0</v>
      </c>
      <c r="BN59" s="272">
        <f t="shared" si="29"/>
        <v>0</v>
      </c>
      <c r="BO59" s="288">
        <f t="shared" si="20"/>
        <v>0</v>
      </c>
      <c r="BP59" s="272">
        <f t="shared" si="20"/>
        <v>0</v>
      </c>
      <c r="BQ59" s="272">
        <f t="shared" si="20"/>
        <v>0</v>
      </c>
      <c r="BR59" s="288" t="e">
        <f t="shared" si="20"/>
        <v>#DIV/0!</v>
      </c>
      <c r="BS59" s="288" t="e">
        <f t="shared" si="20"/>
        <v>#DIV/0!</v>
      </c>
      <c r="BT59" s="238">
        <f t="shared" si="20"/>
        <v>0</v>
      </c>
      <c r="BU59" s="239">
        <f t="shared" si="20"/>
        <v>0</v>
      </c>
      <c r="BV59" s="272">
        <f t="shared" si="30"/>
        <v>0</v>
      </c>
      <c r="BW59" s="288">
        <f t="shared" si="21"/>
        <v>0</v>
      </c>
      <c r="BX59" s="272">
        <f t="shared" si="21"/>
        <v>0</v>
      </c>
      <c r="BY59" s="272">
        <f t="shared" si="21"/>
        <v>0</v>
      </c>
      <c r="BZ59" s="288" t="e">
        <f t="shared" si="21"/>
        <v>#DIV/0!</v>
      </c>
      <c r="CA59" s="288" t="e">
        <f t="shared" si="21"/>
        <v>#DIV/0!</v>
      </c>
      <c r="CB59" s="180">
        <f t="shared" si="21"/>
        <v>0</v>
      </c>
      <c r="CC59" s="272" t="e">
        <f t="shared" si="21"/>
        <v>#DIV/0!</v>
      </c>
      <c r="CD59" s="180"/>
      <c r="CE59" s="180"/>
    </row>
    <row r="60" spans="1:85" ht="15.75" customHeight="1" x14ac:dyDescent="0.35">
      <c r="A60" s="180"/>
      <c r="B60" s="180"/>
      <c r="D60" s="241" t="str">
        <f t="shared" si="12"/>
        <v>Investor 5</v>
      </c>
      <c r="E60" s="239">
        <f t="shared" si="12"/>
        <v>0</v>
      </c>
      <c r="F60" s="239">
        <f t="shared" si="12"/>
        <v>0</v>
      </c>
      <c r="G60" s="239">
        <f t="shared" si="12"/>
        <v>0</v>
      </c>
      <c r="H60" s="238">
        <f t="shared" si="12"/>
        <v>0</v>
      </c>
      <c r="I60" s="239">
        <f t="shared" si="12"/>
        <v>0</v>
      </c>
      <c r="J60" s="272" t="e">
        <f t="shared" si="22"/>
        <v>#DIV/0!</v>
      </c>
      <c r="K60" s="288">
        <f t="shared" si="13"/>
        <v>0</v>
      </c>
      <c r="L60" s="272">
        <f t="shared" si="13"/>
        <v>0</v>
      </c>
      <c r="M60" s="272">
        <f t="shared" si="13"/>
        <v>0</v>
      </c>
      <c r="N60" s="288" t="e">
        <f t="shared" si="13"/>
        <v>#DIV/0!</v>
      </c>
      <c r="O60" s="288" t="e">
        <f t="shared" si="13"/>
        <v>#DIV/0!</v>
      </c>
      <c r="P60" s="238">
        <f t="shared" si="13"/>
        <v>0</v>
      </c>
      <c r="Q60" s="239">
        <f t="shared" si="13"/>
        <v>0</v>
      </c>
      <c r="R60" s="272">
        <f t="shared" si="23"/>
        <v>0</v>
      </c>
      <c r="S60" s="288">
        <f t="shared" si="14"/>
        <v>0</v>
      </c>
      <c r="T60" s="272">
        <f t="shared" si="14"/>
        <v>0</v>
      </c>
      <c r="U60" s="272">
        <f t="shared" si="14"/>
        <v>0</v>
      </c>
      <c r="V60" s="288" t="e">
        <f t="shared" si="14"/>
        <v>#DIV/0!</v>
      </c>
      <c r="W60" s="288" t="e">
        <f t="shared" si="14"/>
        <v>#DIV/0!</v>
      </c>
      <c r="X60" s="238">
        <f t="shared" si="14"/>
        <v>0</v>
      </c>
      <c r="Y60" s="239">
        <f t="shared" si="14"/>
        <v>0</v>
      </c>
      <c r="Z60" s="272">
        <f t="shared" si="24"/>
        <v>0</v>
      </c>
      <c r="AA60" s="288">
        <f t="shared" si="15"/>
        <v>0</v>
      </c>
      <c r="AB60" s="272">
        <f t="shared" si="15"/>
        <v>0</v>
      </c>
      <c r="AC60" s="272">
        <f t="shared" si="15"/>
        <v>0</v>
      </c>
      <c r="AD60" s="288" t="e">
        <f t="shared" si="15"/>
        <v>#DIV/0!</v>
      </c>
      <c r="AE60" s="288" t="e">
        <f t="shared" si="15"/>
        <v>#DIV/0!</v>
      </c>
      <c r="AF60" s="238">
        <f t="shared" si="15"/>
        <v>0</v>
      </c>
      <c r="AG60" s="239">
        <f t="shared" si="15"/>
        <v>0</v>
      </c>
      <c r="AH60" s="272">
        <f t="shared" si="25"/>
        <v>0</v>
      </c>
      <c r="AI60" s="288">
        <f t="shared" si="16"/>
        <v>0</v>
      </c>
      <c r="AJ60" s="272">
        <f t="shared" si="16"/>
        <v>0</v>
      </c>
      <c r="AK60" s="272">
        <f t="shared" si="16"/>
        <v>0</v>
      </c>
      <c r="AL60" s="288" t="e">
        <f t="shared" si="16"/>
        <v>#DIV/0!</v>
      </c>
      <c r="AM60" s="288" t="e">
        <f t="shared" si="16"/>
        <v>#DIV/0!</v>
      </c>
      <c r="AN60" s="238">
        <f t="shared" si="16"/>
        <v>0</v>
      </c>
      <c r="AO60" s="239">
        <f t="shared" si="16"/>
        <v>0</v>
      </c>
      <c r="AP60" s="272">
        <f t="shared" si="26"/>
        <v>0</v>
      </c>
      <c r="AQ60" s="288">
        <f t="shared" si="17"/>
        <v>0</v>
      </c>
      <c r="AR60" s="272">
        <f t="shared" si="17"/>
        <v>0</v>
      </c>
      <c r="AS60" s="272">
        <f t="shared" si="17"/>
        <v>0</v>
      </c>
      <c r="AT60" s="288" t="e">
        <f t="shared" si="17"/>
        <v>#DIV/0!</v>
      </c>
      <c r="AU60" s="288" t="e">
        <f t="shared" si="17"/>
        <v>#DIV/0!</v>
      </c>
      <c r="AV60" s="238">
        <f t="shared" si="17"/>
        <v>0</v>
      </c>
      <c r="AW60" s="239">
        <f t="shared" si="17"/>
        <v>0</v>
      </c>
      <c r="AX60" s="272">
        <f t="shared" si="27"/>
        <v>0</v>
      </c>
      <c r="AY60" s="288">
        <f t="shared" si="18"/>
        <v>0</v>
      </c>
      <c r="AZ60" s="272">
        <f t="shared" si="18"/>
        <v>0</v>
      </c>
      <c r="BA60" s="272">
        <f t="shared" si="18"/>
        <v>0</v>
      </c>
      <c r="BB60" s="288" t="e">
        <f t="shared" si="18"/>
        <v>#DIV/0!</v>
      </c>
      <c r="BC60" s="288" t="e">
        <f t="shared" si="18"/>
        <v>#DIV/0!</v>
      </c>
      <c r="BD60" s="238">
        <f t="shared" si="18"/>
        <v>0</v>
      </c>
      <c r="BE60" s="239">
        <f t="shared" si="18"/>
        <v>0</v>
      </c>
      <c r="BF60" s="272">
        <f t="shared" si="28"/>
        <v>0</v>
      </c>
      <c r="BG60" s="288">
        <f t="shared" si="19"/>
        <v>0</v>
      </c>
      <c r="BH60" s="272">
        <f t="shared" si="19"/>
        <v>0</v>
      </c>
      <c r="BI60" s="272">
        <f t="shared" si="19"/>
        <v>0</v>
      </c>
      <c r="BJ60" s="288" t="e">
        <f t="shared" si="19"/>
        <v>#DIV/0!</v>
      </c>
      <c r="BK60" s="288" t="e">
        <f t="shared" si="19"/>
        <v>#DIV/0!</v>
      </c>
      <c r="BL60" s="238">
        <f t="shared" si="19"/>
        <v>0</v>
      </c>
      <c r="BM60" s="239">
        <f t="shared" si="19"/>
        <v>0</v>
      </c>
      <c r="BN60" s="272">
        <f t="shared" si="29"/>
        <v>0</v>
      </c>
      <c r="BO60" s="288">
        <f t="shared" si="20"/>
        <v>0</v>
      </c>
      <c r="BP60" s="272">
        <f t="shared" si="20"/>
        <v>0</v>
      </c>
      <c r="BQ60" s="272">
        <f t="shared" si="20"/>
        <v>0</v>
      </c>
      <c r="BR60" s="288" t="e">
        <f t="shared" si="20"/>
        <v>#DIV/0!</v>
      </c>
      <c r="BS60" s="288" t="e">
        <f t="shared" si="20"/>
        <v>#DIV/0!</v>
      </c>
      <c r="BT60" s="238">
        <f t="shared" si="20"/>
        <v>0</v>
      </c>
      <c r="BU60" s="239">
        <f t="shared" si="20"/>
        <v>0</v>
      </c>
      <c r="BV60" s="272">
        <f t="shared" si="30"/>
        <v>0</v>
      </c>
      <c r="BW60" s="288">
        <f t="shared" si="21"/>
        <v>0</v>
      </c>
      <c r="BX60" s="272">
        <f t="shared" si="21"/>
        <v>0</v>
      </c>
      <c r="BY60" s="272">
        <f t="shared" si="21"/>
        <v>0</v>
      </c>
      <c r="BZ60" s="288" t="e">
        <f t="shared" si="21"/>
        <v>#DIV/0!</v>
      </c>
      <c r="CA60" s="288" t="e">
        <f t="shared" si="21"/>
        <v>#DIV/0!</v>
      </c>
      <c r="CB60" s="180">
        <f t="shared" si="21"/>
        <v>0</v>
      </c>
      <c r="CC60" s="272" t="e">
        <f t="shared" si="21"/>
        <v>#DIV/0!</v>
      </c>
      <c r="CD60" s="180"/>
      <c r="CE60" s="180"/>
    </row>
    <row r="61" spans="1:85" ht="15.75" customHeight="1" x14ac:dyDescent="0.35">
      <c r="A61" s="180"/>
      <c r="B61" s="180"/>
      <c r="D61" s="241" t="str">
        <f t="shared" si="12"/>
        <v>Investor 6</v>
      </c>
      <c r="E61" s="239">
        <f t="shared" si="12"/>
        <v>0</v>
      </c>
      <c r="F61" s="239">
        <f t="shared" si="12"/>
        <v>0</v>
      </c>
      <c r="G61" s="239">
        <f t="shared" si="12"/>
        <v>0</v>
      </c>
      <c r="H61" s="238">
        <f t="shared" si="12"/>
        <v>0</v>
      </c>
      <c r="I61" s="239">
        <f t="shared" si="12"/>
        <v>0</v>
      </c>
      <c r="J61" s="272" t="e">
        <f t="shared" si="22"/>
        <v>#DIV/0!</v>
      </c>
      <c r="K61" s="288">
        <f t="shared" si="13"/>
        <v>0</v>
      </c>
      <c r="L61" s="272">
        <f t="shared" si="13"/>
        <v>0</v>
      </c>
      <c r="M61" s="272">
        <f t="shared" si="13"/>
        <v>0</v>
      </c>
      <c r="N61" s="288" t="e">
        <f t="shared" si="13"/>
        <v>#DIV/0!</v>
      </c>
      <c r="O61" s="288" t="e">
        <f t="shared" si="13"/>
        <v>#DIV/0!</v>
      </c>
      <c r="P61" s="238">
        <f t="shared" si="13"/>
        <v>0</v>
      </c>
      <c r="Q61" s="239">
        <f t="shared" si="13"/>
        <v>0</v>
      </c>
      <c r="R61" s="272">
        <f t="shared" si="23"/>
        <v>0</v>
      </c>
      <c r="S61" s="288">
        <f t="shared" si="14"/>
        <v>0</v>
      </c>
      <c r="T61" s="272">
        <f t="shared" si="14"/>
        <v>0</v>
      </c>
      <c r="U61" s="272">
        <f t="shared" si="14"/>
        <v>0</v>
      </c>
      <c r="V61" s="288" t="e">
        <f t="shared" si="14"/>
        <v>#DIV/0!</v>
      </c>
      <c r="W61" s="288" t="e">
        <f t="shared" si="14"/>
        <v>#DIV/0!</v>
      </c>
      <c r="X61" s="238">
        <f t="shared" si="14"/>
        <v>0</v>
      </c>
      <c r="Y61" s="239">
        <f t="shared" si="14"/>
        <v>0</v>
      </c>
      <c r="Z61" s="272">
        <f t="shared" si="24"/>
        <v>0</v>
      </c>
      <c r="AA61" s="288">
        <f t="shared" si="15"/>
        <v>0</v>
      </c>
      <c r="AB61" s="272">
        <f t="shared" si="15"/>
        <v>0</v>
      </c>
      <c r="AC61" s="272">
        <f t="shared" si="15"/>
        <v>0</v>
      </c>
      <c r="AD61" s="288" t="e">
        <f t="shared" si="15"/>
        <v>#DIV/0!</v>
      </c>
      <c r="AE61" s="288" t="e">
        <f t="shared" si="15"/>
        <v>#DIV/0!</v>
      </c>
      <c r="AF61" s="238">
        <f t="shared" si="15"/>
        <v>0</v>
      </c>
      <c r="AG61" s="239">
        <f t="shared" si="15"/>
        <v>0</v>
      </c>
      <c r="AH61" s="272">
        <f t="shared" si="25"/>
        <v>0</v>
      </c>
      <c r="AI61" s="288">
        <f t="shared" si="16"/>
        <v>0</v>
      </c>
      <c r="AJ61" s="272">
        <f t="shared" si="16"/>
        <v>0</v>
      </c>
      <c r="AK61" s="272">
        <f t="shared" si="16"/>
        <v>0</v>
      </c>
      <c r="AL61" s="288" t="e">
        <f t="shared" si="16"/>
        <v>#DIV/0!</v>
      </c>
      <c r="AM61" s="288" t="e">
        <f t="shared" si="16"/>
        <v>#DIV/0!</v>
      </c>
      <c r="AN61" s="238">
        <f t="shared" si="16"/>
        <v>0</v>
      </c>
      <c r="AO61" s="239">
        <f t="shared" si="16"/>
        <v>0</v>
      </c>
      <c r="AP61" s="272">
        <f t="shared" si="26"/>
        <v>0</v>
      </c>
      <c r="AQ61" s="288">
        <f t="shared" si="17"/>
        <v>0</v>
      </c>
      <c r="AR61" s="272">
        <f t="shared" si="17"/>
        <v>0</v>
      </c>
      <c r="AS61" s="272">
        <f t="shared" si="17"/>
        <v>0</v>
      </c>
      <c r="AT61" s="288" t="e">
        <f t="shared" si="17"/>
        <v>#DIV/0!</v>
      </c>
      <c r="AU61" s="288" t="e">
        <f t="shared" si="17"/>
        <v>#DIV/0!</v>
      </c>
      <c r="AV61" s="238">
        <f t="shared" si="17"/>
        <v>0</v>
      </c>
      <c r="AW61" s="239">
        <f t="shared" si="17"/>
        <v>0</v>
      </c>
      <c r="AX61" s="272">
        <f t="shared" si="27"/>
        <v>0</v>
      </c>
      <c r="AY61" s="288">
        <f t="shared" si="18"/>
        <v>0</v>
      </c>
      <c r="AZ61" s="272">
        <f t="shared" si="18"/>
        <v>0</v>
      </c>
      <c r="BA61" s="272">
        <f t="shared" si="18"/>
        <v>0</v>
      </c>
      <c r="BB61" s="288" t="e">
        <f t="shared" si="18"/>
        <v>#DIV/0!</v>
      </c>
      <c r="BC61" s="288" t="e">
        <f t="shared" si="18"/>
        <v>#DIV/0!</v>
      </c>
      <c r="BD61" s="238">
        <f t="shared" si="18"/>
        <v>0</v>
      </c>
      <c r="BE61" s="239">
        <f t="shared" si="18"/>
        <v>0</v>
      </c>
      <c r="BF61" s="272">
        <f t="shared" si="28"/>
        <v>0</v>
      </c>
      <c r="BG61" s="288">
        <f t="shared" si="19"/>
        <v>0</v>
      </c>
      <c r="BH61" s="272">
        <f t="shared" si="19"/>
        <v>0</v>
      </c>
      <c r="BI61" s="272">
        <f t="shared" si="19"/>
        <v>0</v>
      </c>
      <c r="BJ61" s="288" t="e">
        <f t="shared" si="19"/>
        <v>#DIV/0!</v>
      </c>
      <c r="BK61" s="288" t="e">
        <f t="shared" si="19"/>
        <v>#DIV/0!</v>
      </c>
      <c r="BL61" s="238">
        <f t="shared" si="19"/>
        <v>0</v>
      </c>
      <c r="BM61" s="239">
        <f t="shared" si="19"/>
        <v>0</v>
      </c>
      <c r="BN61" s="272">
        <f t="shared" si="29"/>
        <v>0</v>
      </c>
      <c r="BO61" s="288">
        <f t="shared" si="20"/>
        <v>0</v>
      </c>
      <c r="BP61" s="272">
        <f t="shared" si="20"/>
        <v>0</v>
      </c>
      <c r="BQ61" s="272">
        <f t="shared" si="20"/>
        <v>0</v>
      </c>
      <c r="BR61" s="288" t="e">
        <f t="shared" si="20"/>
        <v>#DIV/0!</v>
      </c>
      <c r="BS61" s="288" t="e">
        <f t="shared" si="20"/>
        <v>#DIV/0!</v>
      </c>
      <c r="BT61" s="238">
        <f t="shared" si="20"/>
        <v>0</v>
      </c>
      <c r="BU61" s="239">
        <f t="shared" si="20"/>
        <v>0</v>
      </c>
      <c r="BV61" s="272">
        <f t="shared" si="30"/>
        <v>0</v>
      </c>
      <c r="BW61" s="288">
        <f t="shared" si="21"/>
        <v>0</v>
      </c>
      <c r="BX61" s="272">
        <f t="shared" si="21"/>
        <v>0</v>
      </c>
      <c r="BY61" s="272">
        <f t="shared" si="21"/>
        <v>0</v>
      </c>
      <c r="BZ61" s="288" t="e">
        <f t="shared" si="21"/>
        <v>#DIV/0!</v>
      </c>
      <c r="CA61" s="288" t="e">
        <f t="shared" si="21"/>
        <v>#DIV/0!</v>
      </c>
      <c r="CB61" s="180">
        <f t="shared" si="21"/>
        <v>0</v>
      </c>
      <c r="CC61" s="272" t="e">
        <f t="shared" si="21"/>
        <v>#DIV/0!</v>
      </c>
      <c r="CD61" s="180"/>
      <c r="CE61" s="180"/>
    </row>
    <row r="62" spans="1:85" ht="15.75" customHeight="1" x14ac:dyDescent="0.35">
      <c r="A62" s="180"/>
      <c r="B62" s="180"/>
      <c r="D62" s="241">
        <f t="shared" si="12"/>
        <v>0</v>
      </c>
      <c r="E62" s="239">
        <f t="shared" si="12"/>
        <v>0</v>
      </c>
      <c r="F62" s="239">
        <f t="shared" si="12"/>
        <v>0</v>
      </c>
      <c r="G62" s="239">
        <f t="shared" si="12"/>
        <v>0</v>
      </c>
      <c r="H62" s="238">
        <f t="shared" si="12"/>
        <v>0</v>
      </c>
      <c r="I62" s="239">
        <f t="shared" si="12"/>
        <v>0</v>
      </c>
      <c r="J62" s="272" t="e">
        <f t="shared" si="22"/>
        <v>#DIV/0!</v>
      </c>
      <c r="K62" s="288">
        <f t="shared" si="13"/>
        <v>0</v>
      </c>
      <c r="L62" s="272">
        <f t="shared" si="13"/>
        <v>0</v>
      </c>
      <c r="M62" s="272">
        <f t="shared" si="13"/>
        <v>0</v>
      </c>
      <c r="N62" s="288" t="e">
        <f t="shared" si="13"/>
        <v>#DIV/0!</v>
      </c>
      <c r="O62" s="288" t="e">
        <f t="shared" si="13"/>
        <v>#DIV/0!</v>
      </c>
      <c r="P62" s="238">
        <f t="shared" si="13"/>
        <v>0</v>
      </c>
      <c r="Q62" s="239">
        <f t="shared" si="13"/>
        <v>0</v>
      </c>
      <c r="R62" s="272">
        <f t="shared" si="23"/>
        <v>0</v>
      </c>
      <c r="S62" s="288">
        <f t="shared" si="14"/>
        <v>0</v>
      </c>
      <c r="T62" s="272">
        <f t="shared" si="14"/>
        <v>0</v>
      </c>
      <c r="U62" s="272">
        <f t="shared" si="14"/>
        <v>0</v>
      </c>
      <c r="V62" s="288" t="e">
        <f t="shared" si="14"/>
        <v>#DIV/0!</v>
      </c>
      <c r="W62" s="288" t="e">
        <f t="shared" si="14"/>
        <v>#DIV/0!</v>
      </c>
      <c r="X62" s="238">
        <f t="shared" si="14"/>
        <v>0</v>
      </c>
      <c r="Y62" s="239">
        <f t="shared" si="14"/>
        <v>0</v>
      </c>
      <c r="Z62" s="272">
        <f t="shared" si="24"/>
        <v>0</v>
      </c>
      <c r="AA62" s="288">
        <f t="shared" si="15"/>
        <v>0</v>
      </c>
      <c r="AB62" s="272">
        <f t="shared" si="15"/>
        <v>0</v>
      </c>
      <c r="AC62" s="272">
        <f t="shared" si="15"/>
        <v>0</v>
      </c>
      <c r="AD62" s="288" t="e">
        <f t="shared" si="15"/>
        <v>#DIV/0!</v>
      </c>
      <c r="AE62" s="288" t="e">
        <f t="shared" si="15"/>
        <v>#DIV/0!</v>
      </c>
      <c r="AF62" s="238">
        <f t="shared" si="15"/>
        <v>0</v>
      </c>
      <c r="AG62" s="239">
        <f t="shared" si="15"/>
        <v>0</v>
      </c>
      <c r="AH62" s="272">
        <f t="shared" si="25"/>
        <v>0</v>
      </c>
      <c r="AI62" s="288">
        <f t="shared" si="16"/>
        <v>0</v>
      </c>
      <c r="AJ62" s="272">
        <f t="shared" si="16"/>
        <v>0</v>
      </c>
      <c r="AK62" s="272">
        <f t="shared" si="16"/>
        <v>0</v>
      </c>
      <c r="AL62" s="288" t="e">
        <f t="shared" si="16"/>
        <v>#DIV/0!</v>
      </c>
      <c r="AM62" s="288" t="e">
        <f t="shared" si="16"/>
        <v>#DIV/0!</v>
      </c>
      <c r="AN62" s="238">
        <f t="shared" si="16"/>
        <v>0</v>
      </c>
      <c r="AO62" s="239">
        <f t="shared" si="16"/>
        <v>0</v>
      </c>
      <c r="AP62" s="272">
        <f t="shared" si="26"/>
        <v>0</v>
      </c>
      <c r="AQ62" s="288">
        <f t="shared" si="17"/>
        <v>0</v>
      </c>
      <c r="AR62" s="272">
        <f t="shared" si="17"/>
        <v>0</v>
      </c>
      <c r="AS62" s="272">
        <f t="shared" si="17"/>
        <v>0</v>
      </c>
      <c r="AT62" s="288" t="e">
        <f t="shared" si="17"/>
        <v>#DIV/0!</v>
      </c>
      <c r="AU62" s="288" t="e">
        <f t="shared" si="17"/>
        <v>#DIV/0!</v>
      </c>
      <c r="AV62" s="238">
        <f t="shared" si="17"/>
        <v>0</v>
      </c>
      <c r="AW62" s="239">
        <f t="shared" si="17"/>
        <v>0</v>
      </c>
      <c r="AX62" s="272">
        <f t="shared" si="27"/>
        <v>0</v>
      </c>
      <c r="AY62" s="288">
        <f t="shared" si="18"/>
        <v>0</v>
      </c>
      <c r="AZ62" s="272">
        <f t="shared" si="18"/>
        <v>0</v>
      </c>
      <c r="BA62" s="272">
        <f t="shared" si="18"/>
        <v>0</v>
      </c>
      <c r="BB62" s="288" t="e">
        <f t="shared" si="18"/>
        <v>#DIV/0!</v>
      </c>
      <c r="BC62" s="288" t="e">
        <f t="shared" si="18"/>
        <v>#DIV/0!</v>
      </c>
      <c r="BD62" s="238">
        <f t="shared" si="18"/>
        <v>0</v>
      </c>
      <c r="BE62" s="239">
        <f t="shared" si="18"/>
        <v>0</v>
      </c>
      <c r="BF62" s="272">
        <f t="shared" si="28"/>
        <v>0</v>
      </c>
      <c r="BG62" s="288">
        <f t="shared" si="19"/>
        <v>0</v>
      </c>
      <c r="BH62" s="272">
        <f t="shared" si="19"/>
        <v>0</v>
      </c>
      <c r="BI62" s="272">
        <f t="shared" si="19"/>
        <v>0</v>
      </c>
      <c r="BJ62" s="288" t="e">
        <f t="shared" si="19"/>
        <v>#DIV/0!</v>
      </c>
      <c r="BK62" s="288" t="e">
        <f t="shared" si="19"/>
        <v>#DIV/0!</v>
      </c>
      <c r="BL62" s="238">
        <f t="shared" si="19"/>
        <v>0</v>
      </c>
      <c r="BM62" s="239">
        <f t="shared" si="19"/>
        <v>0</v>
      </c>
      <c r="BN62" s="272">
        <f t="shared" si="29"/>
        <v>0</v>
      </c>
      <c r="BO62" s="288">
        <f t="shared" si="20"/>
        <v>0</v>
      </c>
      <c r="BP62" s="272">
        <f t="shared" si="20"/>
        <v>0</v>
      </c>
      <c r="BQ62" s="272">
        <f t="shared" si="20"/>
        <v>0</v>
      </c>
      <c r="BR62" s="288" t="e">
        <f t="shared" si="20"/>
        <v>#DIV/0!</v>
      </c>
      <c r="BS62" s="288" t="e">
        <f t="shared" si="20"/>
        <v>#DIV/0!</v>
      </c>
      <c r="BT62" s="238">
        <f t="shared" si="20"/>
        <v>0</v>
      </c>
      <c r="BU62" s="239">
        <f t="shared" si="20"/>
        <v>0</v>
      </c>
      <c r="BV62" s="272">
        <f t="shared" si="30"/>
        <v>0</v>
      </c>
      <c r="BW62" s="288">
        <f t="shared" si="21"/>
        <v>0</v>
      </c>
      <c r="BX62" s="272">
        <f t="shared" si="21"/>
        <v>0</v>
      </c>
      <c r="BY62" s="272">
        <f t="shared" si="21"/>
        <v>0</v>
      </c>
      <c r="BZ62" s="288" t="e">
        <f t="shared" si="21"/>
        <v>#DIV/0!</v>
      </c>
      <c r="CA62" s="288" t="e">
        <f t="shared" si="21"/>
        <v>#DIV/0!</v>
      </c>
      <c r="CB62" s="180">
        <f t="shared" si="21"/>
        <v>0</v>
      </c>
      <c r="CC62" s="272" t="e">
        <f t="shared" si="21"/>
        <v>#DIV/0!</v>
      </c>
      <c r="CD62" s="180"/>
      <c r="CE62" s="180"/>
    </row>
    <row r="63" spans="1:85" ht="15.75" customHeight="1" x14ac:dyDescent="0.35">
      <c r="A63" s="180"/>
      <c r="B63" s="180"/>
      <c r="D63" s="241" t="str">
        <f t="shared" si="12"/>
        <v>Founders/Leadership</v>
      </c>
      <c r="E63" s="239">
        <f t="shared" si="12"/>
        <v>0</v>
      </c>
      <c r="F63" s="239">
        <f t="shared" si="12"/>
        <v>0</v>
      </c>
      <c r="G63" s="239">
        <f t="shared" si="12"/>
        <v>0</v>
      </c>
      <c r="H63" s="238">
        <f t="shared" si="12"/>
        <v>0</v>
      </c>
      <c r="I63" s="239">
        <f t="shared" si="12"/>
        <v>0</v>
      </c>
      <c r="J63" s="272" t="e">
        <f t="shared" si="22"/>
        <v>#DIV/0!</v>
      </c>
      <c r="K63" s="288">
        <f t="shared" si="13"/>
        <v>0</v>
      </c>
      <c r="L63" s="272">
        <f t="shared" si="13"/>
        <v>0</v>
      </c>
      <c r="M63" s="272">
        <f t="shared" si="13"/>
        <v>0</v>
      </c>
      <c r="N63" s="288" t="e">
        <f t="shared" si="13"/>
        <v>#DIV/0!</v>
      </c>
      <c r="O63" s="288" t="e">
        <f t="shared" si="13"/>
        <v>#DIV/0!</v>
      </c>
      <c r="P63" s="238">
        <f t="shared" si="13"/>
        <v>0</v>
      </c>
      <c r="Q63" s="239">
        <f t="shared" si="13"/>
        <v>0</v>
      </c>
      <c r="R63" s="272">
        <f t="shared" si="23"/>
        <v>0</v>
      </c>
      <c r="S63" s="288">
        <f t="shared" si="14"/>
        <v>0</v>
      </c>
      <c r="T63" s="272">
        <f t="shared" si="14"/>
        <v>0</v>
      </c>
      <c r="U63" s="272">
        <f t="shared" si="14"/>
        <v>0</v>
      </c>
      <c r="V63" s="288" t="e">
        <f t="shared" si="14"/>
        <v>#DIV/0!</v>
      </c>
      <c r="W63" s="288" t="e">
        <f t="shared" si="14"/>
        <v>#DIV/0!</v>
      </c>
      <c r="X63" s="238">
        <f t="shared" si="14"/>
        <v>0</v>
      </c>
      <c r="Y63" s="239">
        <f t="shared" si="14"/>
        <v>0</v>
      </c>
      <c r="Z63" s="272">
        <f t="shared" si="24"/>
        <v>0</v>
      </c>
      <c r="AA63" s="288">
        <f t="shared" si="15"/>
        <v>0</v>
      </c>
      <c r="AB63" s="272">
        <f t="shared" si="15"/>
        <v>0</v>
      </c>
      <c r="AC63" s="272">
        <f t="shared" si="15"/>
        <v>0</v>
      </c>
      <c r="AD63" s="288" t="e">
        <f t="shared" si="15"/>
        <v>#DIV/0!</v>
      </c>
      <c r="AE63" s="288" t="e">
        <f t="shared" si="15"/>
        <v>#DIV/0!</v>
      </c>
      <c r="AF63" s="238">
        <f t="shared" si="15"/>
        <v>0</v>
      </c>
      <c r="AG63" s="239">
        <f t="shared" si="15"/>
        <v>0</v>
      </c>
      <c r="AH63" s="272">
        <f t="shared" si="25"/>
        <v>0</v>
      </c>
      <c r="AI63" s="288">
        <f t="shared" si="16"/>
        <v>0</v>
      </c>
      <c r="AJ63" s="272">
        <f t="shared" si="16"/>
        <v>0</v>
      </c>
      <c r="AK63" s="272">
        <f t="shared" si="16"/>
        <v>0</v>
      </c>
      <c r="AL63" s="288" t="e">
        <f t="shared" si="16"/>
        <v>#DIV/0!</v>
      </c>
      <c r="AM63" s="288" t="e">
        <f t="shared" si="16"/>
        <v>#DIV/0!</v>
      </c>
      <c r="AN63" s="238">
        <f t="shared" si="16"/>
        <v>0</v>
      </c>
      <c r="AO63" s="239">
        <f t="shared" si="16"/>
        <v>0</v>
      </c>
      <c r="AP63" s="272">
        <f t="shared" si="26"/>
        <v>0</v>
      </c>
      <c r="AQ63" s="288">
        <f t="shared" si="17"/>
        <v>0</v>
      </c>
      <c r="AR63" s="272">
        <f t="shared" si="17"/>
        <v>0</v>
      </c>
      <c r="AS63" s="272">
        <f t="shared" si="17"/>
        <v>0</v>
      </c>
      <c r="AT63" s="288" t="e">
        <f t="shared" si="17"/>
        <v>#DIV/0!</v>
      </c>
      <c r="AU63" s="288" t="e">
        <f t="shared" si="17"/>
        <v>#DIV/0!</v>
      </c>
      <c r="AV63" s="238">
        <f t="shared" si="17"/>
        <v>0</v>
      </c>
      <c r="AW63" s="239">
        <f t="shared" si="17"/>
        <v>0</v>
      </c>
      <c r="AX63" s="272">
        <f t="shared" si="27"/>
        <v>0</v>
      </c>
      <c r="AY63" s="288">
        <f t="shared" si="18"/>
        <v>0</v>
      </c>
      <c r="AZ63" s="272">
        <f t="shared" si="18"/>
        <v>0</v>
      </c>
      <c r="BA63" s="272">
        <f t="shared" si="18"/>
        <v>0</v>
      </c>
      <c r="BB63" s="288" t="e">
        <f t="shared" si="18"/>
        <v>#DIV/0!</v>
      </c>
      <c r="BC63" s="288" t="e">
        <f t="shared" si="18"/>
        <v>#DIV/0!</v>
      </c>
      <c r="BD63" s="238">
        <f t="shared" si="18"/>
        <v>0</v>
      </c>
      <c r="BE63" s="239">
        <f t="shared" si="18"/>
        <v>0</v>
      </c>
      <c r="BF63" s="272">
        <f t="shared" si="28"/>
        <v>0</v>
      </c>
      <c r="BG63" s="288">
        <f t="shared" si="19"/>
        <v>0</v>
      </c>
      <c r="BH63" s="272">
        <f t="shared" si="19"/>
        <v>0</v>
      </c>
      <c r="BI63" s="272">
        <f t="shared" si="19"/>
        <v>0</v>
      </c>
      <c r="BJ63" s="288" t="e">
        <f t="shared" si="19"/>
        <v>#DIV/0!</v>
      </c>
      <c r="BK63" s="288" t="e">
        <f t="shared" si="19"/>
        <v>#DIV/0!</v>
      </c>
      <c r="BL63" s="238">
        <f t="shared" si="19"/>
        <v>0</v>
      </c>
      <c r="BM63" s="239">
        <f t="shared" si="19"/>
        <v>0</v>
      </c>
      <c r="BN63" s="272">
        <f t="shared" si="29"/>
        <v>0</v>
      </c>
      <c r="BO63" s="288">
        <f t="shared" si="20"/>
        <v>0</v>
      </c>
      <c r="BP63" s="272">
        <f t="shared" si="20"/>
        <v>0</v>
      </c>
      <c r="BQ63" s="272">
        <f t="shared" si="20"/>
        <v>0</v>
      </c>
      <c r="BR63" s="288" t="e">
        <f t="shared" si="20"/>
        <v>#DIV/0!</v>
      </c>
      <c r="BS63" s="288" t="e">
        <f t="shared" si="20"/>
        <v>#DIV/0!</v>
      </c>
      <c r="BT63" s="238">
        <f t="shared" si="20"/>
        <v>0</v>
      </c>
      <c r="BU63" s="239">
        <f t="shared" si="20"/>
        <v>0</v>
      </c>
      <c r="BV63" s="272">
        <f t="shared" si="30"/>
        <v>0</v>
      </c>
      <c r="BW63" s="288">
        <f t="shared" si="21"/>
        <v>0</v>
      </c>
      <c r="BX63" s="272">
        <f t="shared" si="21"/>
        <v>0</v>
      </c>
      <c r="BY63" s="272">
        <f t="shared" si="21"/>
        <v>0</v>
      </c>
      <c r="BZ63" s="288" t="e">
        <f t="shared" si="21"/>
        <v>#DIV/0!</v>
      </c>
      <c r="CA63" s="288" t="e">
        <f t="shared" si="21"/>
        <v>#DIV/0!</v>
      </c>
      <c r="CB63" s="180">
        <f t="shared" si="21"/>
        <v>0</v>
      </c>
      <c r="CC63" s="272" t="e">
        <f t="shared" si="21"/>
        <v>#DIV/0!</v>
      </c>
      <c r="CD63" s="180"/>
      <c r="CE63" s="180"/>
    </row>
    <row r="64" spans="1:85" ht="15.75" customHeight="1" x14ac:dyDescent="0.35">
      <c r="A64" s="180"/>
      <c r="B64" s="180"/>
      <c r="D64" s="241" t="str">
        <f t="shared" si="12"/>
        <v>Others 1</v>
      </c>
      <c r="E64" s="239">
        <f t="shared" si="12"/>
        <v>0</v>
      </c>
      <c r="F64" s="239">
        <f t="shared" si="12"/>
        <v>0</v>
      </c>
      <c r="G64" s="239">
        <f t="shared" si="12"/>
        <v>0</v>
      </c>
      <c r="H64" s="238">
        <f t="shared" si="12"/>
        <v>0</v>
      </c>
      <c r="I64" s="239">
        <f t="shared" si="12"/>
        <v>0</v>
      </c>
      <c r="J64" s="272" t="e">
        <f t="shared" si="22"/>
        <v>#DIV/0!</v>
      </c>
      <c r="K64" s="288">
        <f t="shared" si="13"/>
        <v>0</v>
      </c>
      <c r="L64" s="272">
        <f t="shared" si="13"/>
        <v>0</v>
      </c>
      <c r="M64" s="272">
        <f t="shared" si="13"/>
        <v>0</v>
      </c>
      <c r="N64" s="288" t="e">
        <f t="shared" si="13"/>
        <v>#DIV/0!</v>
      </c>
      <c r="O64" s="288" t="e">
        <f t="shared" si="13"/>
        <v>#DIV/0!</v>
      </c>
      <c r="P64" s="238">
        <f t="shared" si="13"/>
        <v>0</v>
      </c>
      <c r="Q64" s="239">
        <f t="shared" si="13"/>
        <v>0</v>
      </c>
      <c r="R64" s="272">
        <f t="shared" si="23"/>
        <v>0</v>
      </c>
      <c r="S64" s="288">
        <f t="shared" si="14"/>
        <v>0</v>
      </c>
      <c r="T64" s="272">
        <f t="shared" si="14"/>
        <v>0</v>
      </c>
      <c r="U64" s="272">
        <f t="shared" si="14"/>
        <v>0</v>
      </c>
      <c r="V64" s="288" t="e">
        <f t="shared" si="14"/>
        <v>#DIV/0!</v>
      </c>
      <c r="W64" s="288" t="e">
        <f t="shared" si="14"/>
        <v>#DIV/0!</v>
      </c>
      <c r="X64" s="238">
        <f t="shared" si="14"/>
        <v>0</v>
      </c>
      <c r="Y64" s="239">
        <f t="shared" si="14"/>
        <v>0</v>
      </c>
      <c r="Z64" s="272">
        <f t="shared" si="24"/>
        <v>0</v>
      </c>
      <c r="AA64" s="288">
        <f t="shared" si="15"/>
        <v>0</v>
      </c>
      <c r="AB64" s="272">
        <f t="shared" si="15"/>
        <v>0</v>
      </c>
      <c r="AC64" s="272">
        <f t="shared" si="15"/>
        <v>0</v>
      </c>
      <c r="AD64" s="288" t="e">
        <f t="shared" si="15"/>
        <v>#DIV/0!</v>
      </c>
      <c r="AE64" s="288" t="e">
        <f t="shared" si="15"/>
        <v>#DIV/0!</v>
      </c>
      <c r="AF64" s="238">
        <f t="shared" si="15"/>
        <v>0</v>
      </c>
      <c r="AG64" s="239">
        <f t="shared" si="15"/>
        <v>0</v>
      </c>
      <c r="AH64" s="272">
        <f t="shared" si="25"/>
        <v>0</v>
      </c>
      <c r="AI64" s="288">
        <f t="shared" si="16"/>
        <v>0</v>
      </c>
      <c r="AJ64" s="272">
        <f t="shared" si="16"/>
        <v>0</v>
      </c>
      <c r="AK64" s="272">
        <f t="shared" si="16"/>
        <v>0</v>
      </c>
      <c r="AL64" s="288" t="e">
        <f t="shared" si="16"/>
        <v>#DIV/0!</v>
      </c>
      <c r="AM64" s="288" t="e">
        <f t="shared" si="16"/>
        <v>#DIV/0!</v>
      </c>
      <c r="AN64" s="238">
        <f t="shared" si="16"/>
        <v>0</v>
      </c>
      <c r="AO64" s="239">
        <f t="shared" si="16"/>
        <v>0</v>
      </c>
      <c r="AP64" s="272">
        <f t="shared" si="26"/>
        <v>0</v>
      </c>
      <c r="AQ64" s="288">
        <f t="shared" si="17"/>
        <v>0</v>
      </c>
      <c r="AR64" s="272">
        <f t="shared" si="17"/>
        <v>0</v>
      </c>
      <c r="AS64" s="272">
        <f t="shared" si="17"/>
        <v>0</v>
      </c>
      <c r="AT64" s="288" t="e">
        <f t="shared" si="17"/>
        <v>#DIV/0!</v>
      </c>
      <c r="AU64" s="288" t="e">
        <f t="shared" si="17"/>
        <v>#DIV/0!</v>
      </c>
      <c r="AV64" s="238">
        <f t="shared" si="17"/>
        <v>0</v>
      </c>
      <c r="AW64" s="239">
        <f t="shared" si="17"/>
        <v>0</v>
      </c>
      <c r="AX64" s="272">
        <f t="shared" si="27"/>
        <v>0</v>
      </c>
      <c r="AY64" s="288">
        <f t="shared" si="18"/>
        <v>0</v>
      </c>
      <c r="AZ64" s="272">
        <f t="shared" si="18"/>
        <v>0</v>
      </c>
      <c r="BA64" s="272">
        <f t="shared" si="18"/>
        <v>0</v>
      </c>
      <c r="BB64" s="288" t="e">
        <f t="shared" si="18"/>
        <v>#DIV/0!</v>
      </c>
      <c r="BC64" s="288" t="e">
        <f t="shared" si="18"/>
        <v>#DIV/0!</v>
      </c>
      <c r="BD64" s="238">
        <f t="shared" si="18"/>
        <v>0</v>
      </c>
      <c r="BE64" s="239">
        <f t="shared" si="18"/>
        <v>0</v>
      </c>
      <c r="BF64" s="272">
        <f t="shared" si="28"/>
        <v>0</v>
      </c>
      <c r="BG64" s="288">
        <f t="shared" si="19"/>
        <v>0</v>
      </c>
      <c r="BH64" s="272">
        <f t="shared" si="19"/>
        <v>0</v>
      </c>
      <c r="BI64" s="272">
        <f t="shared" si="19"/>
        <v>0</v>
      </c>
      <c r="BJ64" s="288" t="e">
        <f t="shared" si="19"/>
        <v>#DIV/0!</v>
      </c>
      <c r="BK64" s="288" t="e">
        <f t="shared" si="19"/>
        <v>#DIV/0!</v>
      </c>
      <c r="BL64" s="238">
        <f t="shared" si="19"/>
        <v>0</v>
      </c>
      <c r="BM64" s="239">
        <f t="shared" si="19"/>
        <v>0</v>
      </c>
      <c r="BN64" s="272">
        <f t="shared" si="29"/>
        <v>0</v>
      </c>
      <c r="BO64" s="288">
        <f t="shared" si="20"/>
        <v>0</v>
      </c>
      <c r="BP64" s="272">
        <f t="shared" si="20"/>
        <v>0</v>
      </c>
      <c r="BQ64" s="272">
        <f t="shared" si="20"/>
        <v>0</v>
      </c>
      <c r="BR64" s="288" t="e">
        <f t="shared" si="20"/>
        <v>#DIV/0!</v>
      </c>
      <c r="BS64" s="288" t="e">
        <f t="shared" si="20"/>
        <v>#DIV/0!</v>
      </c>
      <c r="BT64" s="238">
        <f t="shared" si="20"/>
        <v>0</v>
      </c>
      <c r="BU64" s="239">
        <f t="shared" si="20"/>
        <v>0</v>
      </c>
      <c r="BV64" s="272">
        <f t="shared" si="30"/>
        <v>0</v>
      </c>
      <c r="BW64" s="288">
        <f t="shared" si="21"/>
        <v>0</v>
      </c>
      <c r="BX64" s="272">
        <f t="shared" si="21"/>
        <v>0</v>
      </c>
      <c r="BY64" s="272">
        <f t="shared" si="21"/>
        <v>0</v>
      </c>
      <c r="BZ64" s="288" t="e">
        <f t="shared" si="21"/>
        <v>#DIV/0!</v>
      </c>
      <c r="CA64" s="288" t="e">
        <f t="shared" si="21"/>
        <v>#DIV/0!</v>
      </c>
      <c r="CB64" s="180">
        <f t="shared" si="21"/>
        <v>0</v>
      </c>
      <c r="CC64" s="272" t="e">
        <f t="shared" si="21"/>
        <v>#DIV/0!</v>
      </c>
      <c r="CD64" s="180"/>
      <c r="CE64" s="180"/>
    </row>
    <row r="65" spans="1:83" ht="15.75" customHeight="1" x14ac:dyDescent="0.35">
      <c r="A65" s="180"/>
      <c r="B65" s="180"/>
      <c r="D65" s="241" t="str">
        <f t="shared" si="12"/>
        <v>Others 2</v>
      </c>
      <c r="E65" s="239">
        <f t="shared" si="12"/>
        <v>0</v>
      </c>
      <c r="F65" s="239">
        <f t="shared" si="12"/>
        <v>0</v>
      </c>
      <c r="G65" s="239">
        <f t="shared" si="12"/>
        <v>0</v>
      </c>
      <c r="H65" s="238">
        <f t="shared" si="12"/>
        <v>0</v>
      </c>
      <c r="I65" s="239">
        <f t="shared" si="12"/>
        <v>0</v>
      </c>
      <c r="J65" s="272" t="e">
        <f t="shared" si="22"/>
        <v>#DIV/0!</v>
      </c>
      <c r="K65" s="288">
        <f t="shared" si="13"/>
        <v>0</v>
      </c>
      <c r="L65" s="272">
        <f t="shared" si="13"/>
        <v>0</v>
      </c>
      <c r="M65" s="272">
        <f t="shared" si="13"/>
        <v>0</v>
      </c>
      <c r="N65" s="288" t="e">
        <f t="shared" si="13"/>
        <v>#DIV/0!</v>
      </c>
      <c r="O65" s="288" t="e">
        <f t="shared" si="13"/>
        <v>#DIV/0!</v>
      </c>
      <c r="P65" s="238">
        <f t="shared" si="13"/>
        <v>0</v>
      </c>
      <c r="Q65" s="239">
        <f t="shared" si="13"/>
        <v>0</v>
      </c>
      <c r="R65" s="272">
        <f t="shared" si="23"/>
        <v>0</v>
      </c>
      <c r="S65" s="288">
        <f t="shared" si="14"/>
        <v>0</v>
      </c>
      <c r="T65" s="272">
        <f t="shared" si="14"/>
        <v>0</v>
      </c>
      <c r="U65" s="272">
        <f t="shared" si="14"/>
        <v>0</v>
      </c>
      <c r="V65" s="288" t="e">
        <f t="shared" si="14"/>
        <v>#DIV/0!</v>
      </c>
      <c r="W65" s="288" t="e">
        <f t="shared" si="14"/>
        <v>#DIV/0!</v>
      </c>
      <c r="X65" s="238">
        <f t="shared" si="14"/>
        <v>0</v>
      </c>
      <c r="Y65" s="239">
        <f t="shared" si="14"/>
        <v>0</v>
      </c>
      <c r="Z65" s="272">
        <f t="shared" si="24"/>
        <v>0</v>
      </c>
      <c r="AA65" s="288">
        <f t="shared" si="15"/>
        <v>0</v>
      </c>
      <c r="AB65" s="272">
        <f t="shared" si="15"/>
        <v>0</v>
      </c>
      <c r="AC65" s="272">
        <f t="shared" si="15"/>
        <v>0</v>
      </c>
      <c r="AD65" s="288" t="e">
        <f t="shared" si="15"/>
        <v>#DIV/0!</v>
      </c>
      <c r="AE65" s="288" t="e">
        <f t="shared" si="15"/>
        <v>#DIV/0!</v>
      </c>
      <c r="AF65" s="238">
        <f t="shared" si="15"/>
        <v>0</v>
      </c>
      <c r="AG65" s="239">
        <f t="shared" si="15"/>
        <v>0</v>
      </c>
      <c r="AH65" s="272">
        <f t="shared" si="25"/>
        <v>0</v>
      </c>
      <c r="AI65" s="288">
        <f t="shared" si="16"/>
        <v>0</v>
      </c>
      <c r="AJ65" s="272">
        <f t="shared" si="16"/>
        <v>0</v>
      </c>
      <c r="AK65" s="272">
        <f t="shared" si="16"/>
        <v>0</v>
      </c>
      <c r="AL65" s="288" t="e">
        <f t="shared" si="16"/>
        <v>#DIV/0!</v>
      </c>
      <c r="AM65" s="288" t="e">
        <f t="shared" si="16"/>
        <v>#DIV/0!</v>
      </c>
      <c r="AN65" s="238">
        <f t="shared" si="16"/>
        <v>0</v>
      </c>
      <c r="AO65" s="239">
        <f t="shared" si="16"/>
        <v>0</v>
      </c>
      <c r="AP65" s="272">
        <f t="shared" si="26"/>
        <v>0</v>
      </c>
      <c r="AQ65" s="288">
        <f t="shared" si="17"/>
        <v>0</v>
      </c>
      <c r="AR65" s="272">
        <f t="shared" si="17"/>
        <v>0</v>
      </c>
      <c r="AS65" s="272">
        <f t="shared" si="17"/>
        <v>0</v>
      </c>
      <c r="AT65" s="288" t="e">
        <f t="shared" si="17"/>
        <v>#DIV/0!</v>
      </c>
      <c r="AU65" s="288" t="e">
        <f t="shared" si="17"/>
        <v>#DIV/0!</v>
      </c>
      <c r="AV65" s="238">
        <f t="shared" si="17"/>
        <v>0</v>
      </c>
      <c r="AW65" s="239">
        <f t="shared" si="17"/>
        <v>0</v>
      </c>
      <c r="AX65" s="272">
        <f t="shared" si="27"/>
        <v>0</v>
      </c>
      <c r="AY65" s="288">
        <f t="shared" si="18"/>
        <v>0</v>
      </c>
      <c r="AZ65" s="272">
        <f t="shared" si="18"/>
        <v>0</v>
      </c>
      <c r="BA65" s="272">
        <f t="shared" si="18"/>
        <v>0</v>
      </c>
      <c r="BB65" s="288" t="e">
        <f t="shared" si="18"/>
        <v>#DIV/0!</v>
      </c>
      <c r="BC65" s="288" t="e">
        <f t="shared" si="18"/>
        <v>#DIV/0!</v>
      </c>
      <c r="BD65" s="238">
        <f t="shared" si="18"/>
        <v>0</v>
      </c>
      <c r="BE65" s="239">
        <f t="shared" si="18"/>
        <v>0</v>
      </c>
      <c r="BF65" s="272">
        <f t="shared" si="28"/>
        <v>0</v>
      </c>
      <c r="BG65" s="288">
        <f t="shared" si="19"/>
        <v>0</v>
      </c>
      <c r="BH65" s="272">
        <f t="shared" si="19"/>
        <v>0</v>
      </c>
      <c r="BI65" s="272">
        <f t="shared" si="19"/>
        <v>0</v>
      </c>
      <c r="BJ65" s="288" t="e">
        <f t="shared" si="19"/>
        <v>#DIV/0!</v>
      </c>
      <c r="BK65" s="288" t="e">
        <f t="shared" si="19"/>
        <v>#DIV/0!</v>
      </c>
      <c r="BL65" s="238">
        <f t="shared" si="19"/>
        <v>0</v>
      </c>
      <c r="BM65" s="239">
        <f t="shared" si="19"/>
        <v>0</v>
      </c>
      <c r="BN65" s="272">
        <f t="shared" si="29"/>
        <v>0</v>
      </c>
      <c r="BO65" s="288">
        <f t="shared" si="20"/>
        <v>0</v>
      </c>
      <c r="BP65" s="272">
        <f t="shared" si="20"/>
        <v>0</v>
      </c>
      <c r="BQ65" s="272">
        <f t="shared" si="20"/>
        <v>0</v>
      </c>
      <c r="BR65" s="288" t="e">
        <f t="shared" si="20"/>
        <v>#DIV/0!</v>
      </c>
      <c r="BS65" s="288" t="e">
        <f t="shared" si="20"/>
        <v>#DIV/0!</v>
      </c>
      <c r="BT65" s="238">
        <f t="shared" si="20"/>
        <v>0</v>
      </c>
      <c r="BU65" s="239">
        <f t="shared" si="20"/>
        <v>0</v>
      </c>
      <c r="BV65" s="272">
        <f t="shared" si="30"/>
        <v>0</v>
      </c>
      <c r="BW65" s="288">
        <f t="shared" si="21"/>
        <v>0</v>
      </c>
      <c r="BX65" s="272">
        <f t="shared" si="21"/>
        <v>0</v>
      </c>
      <c r="BY65" s="272">
        <f t="shared" si="21"/>
        <v>0</v>
      </c>
      <c r="BZ65" s="288" t="e">
        <f t="shared" si="21"/>
        <v>#DIV/0!</v>
      </c>
      <c r="CA65" s="288" t="e">
        <f t="shared" si="21"/>
        <v>#DIV/0!</v>
      </c>
      <c r="CB65" s="180">
        <f t="shared" si="21"/>
        <v>0</v>
      </c>
      <c r="CC65" s="272" t="e">
        <f t="shared" si="21"/>
        <v>#DIV/0!</v>
      </c>
      <c r="CD65" s="180"/>
      <c r="CE65" s="180"/>
    </row>
    <row r="66" spans="1:83" ht="15.75" customHeight="1" x14ac:dyDescent="0.35">
      <c r="A66" s="180"/>
      <c r="B66" s="180"/>
      <c r="D66" s="241" t="str">
        <f t="shared" si="12"/>
        <v>Others 3</v>
      </c>
      <c r="E66" s="239">
        <f t="shared" si="12"/>
        <v>0</v>
      </c>
      <c r="F66" s="239">
        <f t="shared" si="12"/>
        <v>0</v>
      </c>
      <c r="G66" s="239">
        <f t="shared" si="12"/>
        <v>0</v>
      </c>
      <c r="H66" s="238">
        <f t="shared" si="12"/>
        <v>0</v>
      </c>
      <c r="I66" s="239">
        <f t="shared" si="12"/>
        <v>0</v>
      </c>
      <c r="J66" s="272" t="e">
        <f t="shared" si="22"/>
        <v>#DIV/0!</v>
      </c>
      <c r="K66" s="288">
        <f t="shared" si="13"/>
        <v>0</v>
      </c>
      <c r="L66" s="272">
        <f t="shared" si="13"/>
        <v>0</v>
      </c>
      <c r="M66" s="272">
        <f t="shared" si="13"/>
        <v>0</v>
      </c>
      <c r="N66" s="288" t="e">
        <f t="shared" si="13"/>
        <v>#DIV/0!</v>
      </c>
      <c r="O66" s="288" t="e">
        <f t="shared" si="13"/>
        <v>#DIV/0!</v>
      </c>
      <c r="P66" s="238">
        <f t="shared" si="13"/>
        <v>0</v>
      </c>
      <c r="Q66" s="239">
        <f t="shared" si="13"/>
        <v>0</v>
      </c>
      <c r="R66" s="272">
        <f t="shared" si="23"/>
        <v>0</v>
      </c>
      <c r="S66" s="288">
        <f t="shared" si="14"/>
        <v>0</v>
      </c>
      <c r="T66" s="272">
        <f t="shared" si="14"/>
        <v>0</v>
      </c>
      <c r="U66" s="272">
        <f t="shared" si="14"/>
        <v>0</v>
      </c>
      <c r="V66" s="288" t="e">
        <f t="shared" si="14"/>
        <v>#DIV/0!</v>
      </c>
      <c r="W66" s="288" t="e">
        <f t="shared" si="14"/>
        <v>#DIV/0!</v>
      </c>
      <c r="X66" s="238">
        <f t="shared" si="14"/>
        <v>0</v>
      </c>
      <c r="Y66" s="239">
        <f t="shared" si="14"/>
        <v>0</v>
      </c>
      <c r="Z66" s="272">
        <f t="shared" si="24"/>
        <v>0</v>
      </c>
      <c r="AA66" s="288">
        <f t="shared" si="15"/>
        <v>0</v>
      </c>
      <c r="AB66" s="272">
        <f t="shared" si="15"/>
        <v>0</v>
      </c>
      <c r="AC66" s="272">
        <f t="shared" si="15"/>
        <v>0</v>
      </c>
      <c r="AD66" s="288" t="e">
        <f t="shared" si="15"/>
        <v>#DIV/0!</v>
      </c>
      <c r="AE66" s="288" t="e">
        <f t="shared" si="15"/>
        <v>#DIV/0!</v>
      </c>
      <c r="AF66" s="238">
        <f t="shared" si="15"/>
        <v>0</v>
      </c>
      <c r="AG66" s="239">
        <f t="shared" si="15"/>
        <v>0</v>
      </c>
      <c r="AH66" s="272">
        <f t="shared" si="25"/>
        <v>0</v>
      </c>
      <c r="AI66" s="288">
        <f t="shared" si="16"/>
        <v>0</v>
      </c>
      <c r="AJ66" s="272">
        <f t="shared" si="16"/>
        <v>0</v>
      </c>
      <c r="AK66" s="272">
        <f t="shared" si="16"/>
        <v>0</v>
      </c>
      <c r="AL66" s="288" t="e">
        <f t="shared" si="16"/>
        <v>#DIV/0!</v>
      </c>
      <c r="AM66" s="288" t="e">
        <f t="shared" si="16"/>
        <v>#DIV/0!</v>
      </c>
      <c r="AN66" s="238">
        <f t="shared" si="16"/>
        <v>0</v>
      </c>
      <c r="AO66" s="239">
        <f t="shared" si="16"/>
        <v>0</v>
      </c>
      <c r="AP66" s="272">
        <f t="shared" si="26"/>
        <v>0</v>
      </c>
      <c r="AQ66" s="288">
        <f t="shared" si="17"/>
        <v>0</v>
      </c>
      <c r="AR66" s="272">
        <f t="shared" si="17"/>
        <v>0</v>
      </c>
      <c r="AS66" s="272">
        <f t="shared" si="17"/>
        <v>0</v>
      </c>
      <c r="AT66" s="288" t="e">
        <f t="shared" si="17"/>
        <v>#DIV/0!</v>
      </c>
      <c r="AU66" s="288" t="e">
        <f t="shared" si="17"/>
        <v>#DIV/0!</v>
      </c>
      <c r="AV66" s="238">
        <f t="shared" si="17"/>
        <v>0</v>
      </c>
      <c r="AW66" s="239">
        <f t="shared" si="17"/>
        <v>0</v>
      </c>
      <c r="AX66" s="272">
        <f t="shared" si="27"/>
        <v>0</v>
      </c>
      <c r="AY66" s="288">
        <f t="shared" si="18"/>
        <v>0</v>
      </c>
      <c r="AZ66" s="272">
        <f t="shared" si="18"/>
        <v>0</v>
      </c>
      <c r="BA66" s="272">
        <f t="shared" si="18"/>
        <v>0</v>
      </c>
      <c r="BB66" s="288" t="e">
        <f t="shared" si="18"/>
        <v>#DIV/0!</v>
      </c>
      <c r="BC66" s="288" t="e">
        <f t="shared" si="18"/>
        <v>#DIV/0!</v>
      </c>
      <c r="BD66" s="238">
        <f t="shared" si="18"/>
        <v>0</v>
      </c>
      <c r="BE66" s="239">
        <f t="shared" si="18"/>
        <v>0</v>
      </c>
      <c r="BF66" s="272">
        <f t="shared" si="28"/>
        <v>0</v>
      </c>
      <c r="BG66" s="288">
        <f t="shared" si="19"/>
        <v>0</v>
      </c>
      <c r="BH66" s="272">
        <f t="shared" si="19"/>
        <v>0</v>
      </c>
      <c r="BI66" s="272">
        <f t="shared" si="19"/>
        <v>0</v>
      </c>
      <c r="BJ66" s="288" t="e">
        <f t="shared" si="19"/>
        <v>#DIV/0!</v>
      </c>
      <c r="BK66" s="288" t="e">
        <f t="shared" si="19"/>
        <v>#DIV/0!</v>
      </c>
      <c r="BL66" s="238">
        <f t="shared" si="19"/>
        <v>0</v>
      </c>
      <c r="BM66" s="239">
        <f t="shared" si="19"/>
        <v>0</v>
      </c>
      <c r="BN66" s="272">
        <f t="shared" si="29"/>
        <v>0</v>
      </c>
      <c r="BO66" s="288">
        <f t="shared" si="20"/>
        <v>0</v>
      </c>
      <c r="BP66" s="272">
        <f t="shared" si="20"/>
        <v>0</v>
      </c>
      <c r="BQ66" s="272">
        <f t="shared" si="20"/>
        <v>0</v>
      </c>
      <c r="BR66" s="288" t="e">
        <f t="shared" si="20"/>
        <v>#DIV/0!</v>
      </c>
      <c r="BS66" s="288" t="e">
        <f t="shared" si="20"/>
        <v>#DIV/0!</v>
      </c>
      <c r="BT66" s="238">
        <f t="shared" si="20"/>
        <v>0</v>
      </c>
      <c r="BU66" s="239">
        <f t="shared" si="20"/>
        <v>0</v>
      </c>
      <c r="BV66" s="272">
        <f t="shared" si="30"/>
        <v>0</v>
      </c>
      <c r="BW66" s="288">
        <f t="shared" si="21"/>
        <v>0</v>
      </c>
      <c r="BX66" s="272">
        <f t="shared" si="21"/>
        <v>0</v>
      </c>
      <c r="BY66" s="272">
        <f t="shared" si="21"/>
        <v>0</v>
      </c>
      <c r="BZ66" s="288" t="e">
        <f t="shared" si="21"/>
        <v>#DIV/0!</v>
      </c>
      <c r="CA66" s="288" t="e">
        <f t="shared" si="21"/>
        <v>#DIV/0!</v>
      </c>
      <c r="CB66" s="180">
        <f t="shared" si="21"/>
        <v>0</v>
      </c>
      <c r="CC66" s="272" t="e">
        <f t="shared" si="21"/>
        <v>#DIV/0!</v>
      </c>
      <c r="CD66" s="180"/>
      <c r="CE66" s="180"/>
    </row>
    <row r="67" spans="1:83" ht="15.75" customHeight="1" x14ac:dyDescent="0.35">
      <c r="A67" s="180"/>
      <c r="B67" s="180"/>
      <c r="D67" s="241" t="str">
        <f t="shared" si="12"/>
        <v>Others 4</v>
      </c>
      <c r="E67" s="239">
        <f t="shared" si="12"/>
        <v>0</v>
      </c>
      <c r="F67" s="239">
        <f t="shared" si="12"/>
        <v>0</v>
      </c>
      <c r="G67" s="239">
        <f t="shared" si="12"/>
        <v>0</v>
      </c>
      <c r="H67" s="238">
        <f t="shared" si="12"/>
        <v>0</v>
      </c>
      <c r="I67" s="239">
        <f t="shared" si="12"/>
        <v>0</v>
      </c>
      <c r="J67" s="272" t="e">
        <f t="shared" si="22"/>
        <v>#DIV/0!</v>
      </c>
      <c r="K67" s="288">
        <f t="shared" si="13"/>
        <v>0</v>
      </c>
      <c r="L67" s="272">
        <f t="shared" si="13"/>
        <v>0</v>
      </c>
      <c r="M67" s="272">
        <f t="shared" si="13"/>
        <v>0</v>
      </c>
      <c r="N67" s="288" t="e">
        <f t="shared" si="13"/>
        <v>#DIV/0!</v>
      </c>
      <c r="O67" s="288" t="e">
        <f t="shared" si="13"/>
        <v>#DIV/0!</v>
      </c>
      <c r="P67" s="238">
        <f t="shared" si="13"/>
        <v>0</v>
      </c>
      <c r="Q67" s="239">
        <f t="shared" si="13"/>
        <v>0</v>
      </c>
      <c r="R67" s="272">
        <f t="shared" si="23"/>
        <v>0</v>
      </c>
      <c r="S67" s="288">
        <f t="shared" si="14"/>
        <v>0</v>
      </c>
      <c r="T67" s="272">
        <f t="shared" si="14"/>
        <v>0</v>
      </c>
      <c r="U67" s="272">
        <f t="shared" si="14"/>
        <v>0</v>
      </c>
      <c r="V67" s="288" t="e">
        <f t="shared" si="14"/>
        <v>#DIV/0!</v>
      </c>
      <c r="W67" s="288" t="e">
        <f t="shared" si="14"/>
        <v>#DIV/0!</v>
      </c>
      <c r="X67" s="238">
        <f t="shared" si="14"/>
        <v>0</v>
      </c>
      <c r="Y67" s="239">
        <f t="shared" si="14"/>
        <v>0</v>
      </c>
      <c r="Z67" s="272">
        <f t="shared" si="24"/>
        <v>0</v>
      </c>
      <c r="AA67" s="288">
        <f t="shared" si="15"/>
        <v>0</v>
      </c>
      <c r="AB67" s="272">
        <f t="shared" si="15"/>
        <v>0</v>
      </c>
      <c r="AC67" s="272">
        <f t="shared" si="15"/>
        <v>0</v>
      </c>
      <c r="AD67" s="288" t="e">
        <f t="shared" si="15"/>
        <v>#DIV/0!</v>
      </c>
      <c r="AE67" s="288" t="e">
        <f t="shared" si="15"/>
        <v>#DIV/0!</v>
      </c>
      <c r="AF67" s="238">
        <f t="shared" si="15"/>
        <v>0</v>
      </c>
      <c r="AG67" s="239">
        <f t="shared" si="15"/>
        <v>0</v>
      </c>
      <c r="AH67" s="272">
        <f t="shared" si="25"/>
        <v>0</v>
      </c>
      <c r="AI67" s="288">
        <f t="shared" si="16"/>
        <v>0</v>
      </c>
      <c r="AJ67" s="272">
        <f t="shared" si="16"/>
        <v>0</v>
      </c>
      <c r="AK67" s="272">
        <f t="shared" si="16"/>
        <v>0</v>
      </c>
      <c r="AL67" s="288" t="e">
        <f t="shared" si="16"/>
        <v>#DIV/0!</v>
      </c>
      <c r="AM67" s="288" t="e">
        <f t="shared" si="16"/>
        <v>#DIV/0!</v>
      </c>
      <c r="AN67" s="238">
        <f t="shared" si="16"/>
        <v>0</v>
      </c>
      <c r="AO67" s="239">
        <f t="shared" si="16"/>
        <v>0</v>
      </c>
      <c r="AP67" s="272">
        <f t="shared" si="26"/>
        <v>0</v>
      </c>
      <c r="AQ67" s="288">
        <f t="shared" si="17"/>
        <v>0</v>
      </c>
      <c r="AR67" s="272">
        <f t="shared" si="17"/>
        <v>0</v>
      </c>
      <c r="AS67" s="272">
        <f t="shared" si="17"/>
        <v>0</v>
      </c>
      <c r="AT67" s="288" t="e">
        <f t="shared" si="17"/>
        <v>#DIV/0!</v>
      </c>
      <c r="AU67" s="288" t="e">
        <f t="shared" si="17"/>
        <v>#DIV/0!</v>
      </c>
      <c r="AV67" s="238">
        <f t="shared" si="17"/>
        <v>0</v>
      </c>
      <c r="AW67" s="239">
        <f t="shared" si="17"/>
        <v>0</v>
      </c>
      <c r="AX67" s="272">
        <f t="shared" si="27"/>
        <v>0</v>
      </c>
      <c r="AY67" s="288">
        <f t="shared" si="18"/>
        <v>0</v>
      </c>
      <c r="AZ67" s="272">
        <f t="shared" si="18"/>
        <v>0</v>
      </c>
      <c r="BA67" s="272">
        <f t="shared" si="18"/>
        <v>0</v>
      </c>
      <c r="BB67" s="288" t="e">
        <f t="shared" si="18"/>
        <v>#DIV/0!</v>
      </c>
      <c r="BC67" s="288" t="e">
        <f t="shared" si="18"/>
        <v>#DIV/0!</v>
      </c>
      <c r="BD67" s="238">
        <f t="shared" si="18"/>
        <v>0</v>
      </c>
      <c r="BE67" s="239">
        <f t="shared" si="18"/>
        <v>0</v>
      </c>
      <c r="BF67" s="272">
        <f t="shared" si="28"/>
        <v>0</v>
      </c>
      <c r="BG67" s="288">
        <f t="shared" si="19"/>
        <v>0</v>
      </c>
      <c r="BH67" s="272">
        <f t="shared" si="19"/>
        <v>0</v>
      </c>
      <c r="BI67" s="272">
        <f t="shared" si="19"/>
        <v>0</v>
      </c>
      <c r="BJ67" s="288" t="e">
        <f t="shared" si="19"/>
        <v>#DIV/0!</v>
      </c>
      <c r="BK67" s="288" t="e">
        <f t="shared" si="19"/>
        <v>#DIV/0!</v>
      </c>
      <c r="BL67" s="238">
        <f t="shared" si="19"/>
        <v>0</v>
      </c>
      <c r="BM67" s="239">
        <f t="shared" si="19"/>
        <v>0</v>
      </c>
      <c r="BN67" s="272">
        <f t="shared" si="29"/>
        <v>0</v>
      </c>
      <c r="BO67" s="288">
        <f t="shared" si="20"/>
        <v>0</v>
      </c>
      <c r="BP67" s="272">
        <f t="shared" si="20"/>
        <v>0</v>
      </c>
      <c r="BQ67" s="272">
        <f t="shared" si="20"/>
        <v>0</v>
      </c>
      <c r="BR67" s="288" t="e">
        <f t="shared" si="20"/>
        <v>#DIV/0!</v>
      </c>
      <c r="BS67" s="288" t="e">
        <f t="shared" si="20"/>
        <v>#DIV/0!</v>
      </c>
      <c r="BT67" s="238">
        <f t="shared" si="20"/>
        <v>0</v>
      </c>
      <c r="BU67" s="239">
        <f t="shared" si="20"/>
        <v>0</v>
      </c>
      <c r="BV67" s="272">
        <f t="shared" si="30"/>
        <v>0</v>
      </c>
      <c r="BW67" s="288">
        <f t="shared" si="21"/>
        <v>0</v>
      </c>
      <c r="BX67" s="272">
        <f t="shared" si="21"/>
        <v>0</v>
      </c>
      <c r="BY67" s="272">
        <f t="shared" si="21"/>
        <v>0</v>
      </c>
      <c r="BZ67" s="288" t="e">
        <f t="shared" si="21"/>
        <v>#DIV/0!</v>
      </c>
      <c r="CA67" s="288" t="e">
        <f t="shared" si="21"/>
        <v>#DIV/0!</v>
      </c>
      <c r="CB67" s="180">
        <f t="shared" si="21"/>
        <v>0</v>
      </c>
      <c r="CC67" s="272" t="e">
        <f t="shared" si="21"/>
        <v>#DIV/0!</v>
      </c>
      <c r="CD67" s="180"/>
      <c r="CE67" s="180"/>
    </row>
    <row r="68" spans="1:83" ht="15.75" customHeight="1" x14ac:dyDescent="0.35">
      <c r="A68" s="180"/>
      <c r="B68" s="180"/>
      <c r="D68" s="241" t="str">
        <f t="shared" si="12"/>
        <v>Others 1</v>
      </c>
      <c r="E68" s="239">
        <f t="shared" si="12"/>
        <v>0</v>
      </c>
      <c r="F68" s="239">
        <f t="shared" si="12"/>
        <v>0</v>
      </c>
      <c r="G68" s="239">
        <f t="shared" si="12"/>
        <v>0</v>
      </c>
      <c r="H68" s="238">
        <f t="shared" si="12"/>
        <v>0</v>
      </c>
      <c r="I68" s="239">
        <f t="shared" si="12"/>
        <v>0</v>
      </c>
      <c r="J68" s="272" t="e">
        <f t="shared" si="22"/>
        <v>#DIV/0!</v>
      </c>
      <c r="K68" s="288">
        <f t="shared" si="13"/>
        <v>0</v>
      </c>
      <c r="L68" s="272">
        <f t="shared" si="13"/>
        <v>0</v>
      </c>
      <c r="M68" s="272">
        <f t="shared" si="13"/>
        <v>0</v>
      </c>
      <c r="N68" s="288" t="e">
        <f t="shared" si="13"/>
        <v>#DIV/0!</v>
      </c>
      <c r="O68" s="288" t="e">
        <f t="shared" si="13"/>
        <v>#DIV/0!</v>
      </c>
      <c r="P68" s="238">
        <f t="shared" si="13"/>
        <v>0</v>
      </c>
      <c r="Q68" s="239">
        <f t="shared" si="13"/>
        <v>0</v>
      </c>
      <c r="R68" s="272">
        <f t="shared" si="23"/>
        <v>0</v>
      </c>
      <c r="S68" s="288">
        <f t="shared" si="14"/>
        <v>0</v>
      </c>
      <c r="T68" s="272">
        <f t="shared" si="14"/>
        <v>0</v>
      </c>
      <c r="U68" s="272">
        <f t="shared" si="14"/>
        <v>0</v>
      </c>
      <c r="V68" s="288" t="e">
        <f t="shared" si="14"/>
        <v>#DIV/0!</v>
      </c>
      <c r="W68" s="288" t="e">
        <f t="shared" si="14"/>
        <v>#DIV/0!</v>
      </c>
      <c r="X68" s="238">
        <f t="shared" si="14"/>
        <v>0</v>
      </c>
      <c r="Y68" s="239">
        <f t="shared" si="14"/>
        <v>0</v>
      </c>
      <c r="Z68" s="272">
        <f t="shared" si="24"/>
        <v>0</v>
      </c>
      <c r="AA68" s="288">
        <f t="shared" si="15"/>
        <v>0</v>
      </c>
      <c r="AB68" s="272">
        <f t="shared" si="15"/>
        <v>0</v>
      </c>
      <c r="AC68" s="272">
        <f t="shared" si="15"/>
        <v>0</v>
      </c>
      <c r="AD68" s="288" t="e">
        <f t="shared" si="15"/>
        <v>#DIV/0!</v>
      </c>
      <c r="AE68" s="288" t="e">
        <f t="shared" si="15"/>
        <v>#DIV/0!</v>
      </c>
      <c r="AF68" s="238">
        <f t="shared" si="15"/>
        <v>0</v>
      </c>
      <c r="AG68" s="239">
        <f t="shared" si="15"/>
        <v>0</v>
      </c>
      <c r="AH68" s="272">
        <f t="shared" si="25"/>
        <v>0</v>
      </c>
      <c r="AI68" s="288">
        <f t="shared" si="16"/>
        <v>0</v>
      </c>
      <c r="AJ68" s="272">
        <f t="shared" si="16"/>
        <v>0</v>
      </c>
      <c r="AK68" s="272">
        <f t="shared" si="16"/>
        <v>0</v>
      </c>
      <c r="AL68" s="288" t="e">
        <f t="shared" si="16"/>
        <v>#DIV/0!</v>
      </c>
      <c r="AM68" s="288" t="e">
        <f t="shared" si="16"/>
        <v>#DIV/0!</v>
      </c>
      <c r="AN68" s="238">
        <f t="shared" si="16"/>
        <v>0</v>
      </c>
      <c r="AO68" s="239">
        <f t="shared" si="16"/>
        <v>0</v>
      </c>
      <c r="AP68" s="272">
        <f t="shared" si="26"/>
        <v>0</v>
      </c>
      <c r="AQ68" s="288">
        <f t="shared" si="17"/>
        <v>0</v>
      </c>
      <c r="AR68" s="272">
        <f t="shared" si="17"/>
        <v>0</v>
      </c>
      <c r="AS68" s="272">
        <f t="shared" si="17"/>
        <v>0</v>
      </c>
      <c r="AT68" s="288" t="e">
        <f t="shared" si="17"/>
        <v>#DIV/0!</v>
      </c>
      <c r="AU68" s="288" t="e">
        <f t="shared" si="17"/>
        <v>#DIV/0!</v>
      </c>
      <c r="AV68" s="238">
        <f t="shared" si="17"/>
        <v>0</v>
      </c>
      <c r="AW68" s="239">
        <f t="shared" si="17"/>
        <v>0</v>
      </c>
      <c r="AX68" s="272">
        <f t="shared" si="27"/>
        <v>0</v>
      </c>
      <c r="AY68" s="288">
        <f t="shared" si="18"/>
        <v>0</v>
      </c>
      <c r="AZ68" s="272">
        <f t="shared" si="18"/>
        <v>0</v>
      </c>
      <c r="BA68" s="272">
        <f t="shared" si="18"/>
        <v>0</v>
      </c>
      <c r="BB68" s="288" t="e">
        <f t="shared" si="18"/>
        <v>#DIV/0!</v>
      </c>
      <c r="BC68" s="288" t="e">
        <f t="shared" si="18"/>
        <v>#DIV/0!</v>
      </c>
      <c r="BD68" s="238">
        <f t="shared" si="18"/>
        <v>0</v>
      </c>
      <c r="BE68" s="239">
        <f t="shared" si="18"/>
        <v>0</v>
      </c>
      <c r="BF68" s="272">
        <f t="shared" si="28"/>
        <v>0</v>
      </c>
      <c r="BG68" s="288">
        <f t="shared" si="19"/>
        <v>0</v>
      </c>
      <c r="BH68" s="272">
        <f t="shared" si="19"/>
        <v>0</v>
      </c>
      <c r="BI68" s="272">
        <f t="shared" si="19"/>
        <v>0</v>
      </c>
      <c r="BJ68" s="288" t="e">
        <f t="shared" si="19"/>
        <v>#DIV/0!</v>
      </c>
      <c r="BK68" s="288" t="e">
        <f t="shared" si="19"/>
        <v>#DIV/0!</v>
      </c>
      <c r="BL68" s="238">
        <f t="shared" si="19"/>
        <v>0</v>
      </c>
      <c r="BM68" s="239">
        <f t="shared" si="19"/>
        <v>0</v>
      </c>
      <c r="BN68" s="272">
        <f t="shared" si="29"/>
        <v>0</v>
      </c>
      <c r="BO68" s="288">
        <f t="shared" si="20"/>
        <v>0</v>
      </c>
      <c r="BP68" s="272">
        <f t="shared" si="20"/>
        <v>0</v>
      </c>
      <c r="BQ68" s="272">
        <f t="shared" si="20"/>
        <v>0</v>
      </c>
      <c r="BR68" s="288" t="e">
        <f t="shared" si="20"/>
        <v>#DIV/0!</v>
      </c>
      <c r="BS68" s="288" t="e">
        <f t="shared" si="20"/>
        <v>#DIV/0!</v>
      </c>
      <c r="BT68" s="238">
        <f t="shared" si="20"/>
        <v>0</v>
      </c>
      <c r="BU68" s="239">
        <f t="shared" si="20"/>
        <v>0</v>
      </c>
      <c r="BV68" s="272">
        <f t="shared" si="30"/>
        <v>0</v>
      </c>
      <c r="BW68" s="288">
        <f t="shared" si="21"/>
        <v>0</v>
      </c>
      <c r="BX68" s="272">
        <f t="shared" si="21"/>
        <v>0</v>
      </c>
      <c r="BY68" s="272">
        <f t="shared" si="21"/>
        <v>0</v>
      </c>
      <c r="BZ68" s="288" t="e">
        <f t="shared" si="21"/>
        <v>#DIV/0!</v>
      </c>
      <c r="CA68" s="288" t="e">
        <f t="shared" si="21"/>
        <v>#DIV/0!</v>
      </c>
      <c r="CB68" s="180">
        <f t="shared" si="21"/>
        <v>0</v>
      </c>
      <c r="CC68" s="272" t="e">
        <f t="shared" si="21"/>
        <v>#DIV/0!</v>
      </c>
      <c r="CD68" s="180"/>
      <c r="CE68" s="180"/>
    </row>
    <row r="69" spans="1:83" ht="15.75" customHeight="1" x14ac:dyDescent="0.35">
      <c r="A69" s="180"/>
      <c r="B69" s="180"/>
      <c r="D69" s="241">
        <f t="shared" si="12"/>
        <v>0</v>
      </c>
      <c r="E69" s="239">
        <f t="shared" si="12"/>
        <v>0</v>
      </c>
      <c r="F69" s="239">
        <f t="shared" si="12"/>
        <v>0</v>
      </c>
      <c r="G69" s="239">
        <f t="shared" si="12"/>
        <v>0</v>
      </c>
      <c r="H69" s="238">
        <f t="shared" si="12"/>
        <v>0</v>
      </c>
      <c r="I69" s="239">
        <f t="shared" si="12"/>
        <v>0</v>
      </c>
      <c r="J69" s="272" t="e">
        <f t="shared" si="22"/>
        <v>#DIV/0!</v>
      </c>
      <c r="K69" s="288">
        <f t="shared" si="13"/>
        <v>0</v>
      </c>
      <c r="L69" s="272">
        <f t="shared" si="13"/>
        <v>0</v>
      </c>
      <c r="M69" s="272">
        <f t="shared" si="13"/>
        <v>0</v>
      </c>
      <c r="N69" s="288" t="e">
        <f t="shared" si="13"/>
        <v>#DIV/0!</v>
      </c>
      <c r="O69" s="288" t="e">
        <f t="shared" si="13"/>
        <v>#DIV/0!</v>
      </c>
      <c r="P69" s="238">
        <f t="shared" si="13"/>
        <v>0</v>
      </c>
      <c r="Q69" s="239">
        <f t="shared" si="13"/>
        <v>0</v>
      </c>
      <c r="R69" s="272">
        <f t="shared" si="23"/>
        <v>0</v>
      </c>
      <c r="S69" s="288">
        <f t="shared" si="14"/>
        <v>0</v>
      </c>
      <c r="T69" s="272">
        <f t="shared" si="14"/>
        <v>0</v>
      </c>
      <c r="U69" s="272">
        <f t="shared" si="14"/>
        <v>0</v>
      </c>
      <c r="V69" s="288" t="e">
        <f t="shared" si="14"/>
        <v>#DIV/0!</v>
      </c>
      <c r="W69" s="288" t="e">
        <f t="shared" si="14"/>
        <v>#DIV/0!</v>
      </c>
      <c r="X69" s="238">
        <f t="shared" si="14"/>
        <v>0</v>
      </c>
      <c r="Y69" s="239">
        <f t="shared" si="14"/>
        <v>0</v>
      </c>
      <c r="Z69" s="272">
        <f t="shared" si="24"/>
        <v>0</v>
      </c>
      <c r="AA69" s="288">
        <f t="shared" si="15"/>
        <v>0</v>
      </c>
      <c r="AB69" s="272">
        <f t="shared" si="15"/>
        <v>0</v>
      </c>
      <c r="AC69" s="272">
        <f t="shared" si="15"/>
        <v>0</v>
      </c>
      <c r="AD69" s="288" t="e">
        <f t="shared" si="15"/>
        <v>#DIV/0!</v>
      </c>
      <c r="AE69" s="288" t="e">
        <f t="shared" si="15"/>
        <v>#DIV/0!</v>
      </c>
      <c r="AF69" s="238">
        <f t="shared" si="15"/>
        <v>0</v>
      </c>
      <c r="AG69" s="239">
        <f t="shared" si="15"/>
        <v>0</v>
      </c>
      <c r="AH69" s="272">
        <f t="shared" si="25"/>
        <v>0</v>
      </c>
      <c r="AI69" s="288">
        <f t="shared" si="16"/>
        <v>0</v>
      </c>
      <c r="AJ69" s="272">
        <f t="shared" si="16"/>
        <v>0</v>
      </c>
      <c r="AK69" s="272">
        <f t="shared" si="16"/>
        <v>0</v>
      </c>
      <c r="AL69" s="288" t="e">
        <f t="shared" si="16"/>
        <v>#DIV/0!</v>
      </c>
      <c r="AM69" s="288" t="e">
        <f t="shared" si="16"/>
        <v>#DIV/0!</v>
      </c>
      <c r="AN69" s="238">
        <f t="shared" si="16"/>
        <v>0</v>
      </c>
      <c r="AO69" s="239">
        <f t="shared" si="16"/>
        <v>0</v>
      </c>
      <c r="AP69" s="272">
        <f t="shared" si="26"/>
        <v>0</v>
      </c>
      <c r="AQ69" s="288">
        <f t="shared" si="17"/>
        <v>0</v>
      </c>
      <c r="AR69" s="272">
        <f t="shared" si="17"/>
        <v>0</v>
      </c>
      <c r="AS69" s="272">
        <f t="shared" si="17"/>
        <v>0</v>
      </c>
      <c r="AT69" s="288" t="e">
        <f t="shared" si="17"/>
        <v>#DIV/0!</v>
      </c>
      <c r="AU69" s="288" t="e">
        <f t="shared" si="17"/>
        <v>#DIV/0!</v>
      </c>
      <c r="AV69" s="238">
        <f t="shared" si="17"/>
        <v>0</v>
      </c>
      <c r="AW69" s="239">
        <f t="shared" si="17"/>
        <v>0</v>
      </c>
      <c r="AX69" s="272">
        <f t="shared" si="27"/>
        <v>0</v>
      </c>
      <c r="AY69" s="288">
        <f t="shared" si="18"/>
        <v>0</v>
      </c>
      <c r="AZ69" s="272">
        <f t="shared" si="18"/>
        <v>0</v>
      </c>
      <c r="BA69" s="272">
        <f t="shared" si="18"/>
        <v>0</v>
      </c>
      <c r="BB69" s="288" t="e">
        <f t="shared" si="18"/>
        <v>#DIV/0!</v>
      </c>
      <c r="BC69" s="288" t="e">
        <f t="shared" si="18"/>
        <v>#DIV/0!</v>
      </c>
      <c r="BD69" s="238">
        <f t="shared" si="18"/>
        <v>0</v>
      </c>
      <c r="BE69" s="239">
        <f t="shared" si="18"/>
        <v>0</v>
      </c>
      <c r="BF69" s="272">
        <f t="shared" si="28"/>
        <v>0</v>
      </c>
      <c r="BG69" s="288">
        <f t="shared" si="19"/>
        <v>0</v>
      </c>
      <c r="BH69" s="272">
        <f t="shared" si="19"/>
        <v>0</v>
      </c>
      <c r="BI69" s="272">
        <f t="shared" si="19"/>
        <v>0</v>
      </c>
      <c r="BJ69" s="288" t="e">
        <f t="shared" si="19"/>
        <v>#DIV/0!</v>
      </c>
      <c r="BK69" s="288" t="e">
        <f t="shared" si="19"/>
        <v>#DIV/0!</v>
      </c>
      <c r="BL69" s="238">
        <f t="shared" si="19"/>
        <v>0</v>
      </c>
      <c r="BM69" s="239">
        <f t="shared" si="19"/>
        <v>0</v>
      </c>
      <c r="BN69" s="272">
        <f t="shared" si="29"/>
        <v>0</v>
      </c>
      <c r="BO69" s="288">
        <f t="shared" si="20"/>
        <v>0</v>
      </c>
      <c r="BP69" s="272">
        <f t="shared" si="20"/>
        <v>0</v>
      </c>
      <c r="BQ69" s="272">
        <f t="shared" si="20"/>
        <v>0</v>
      </c>
      <c r="BR69" s="288" t="e">
        <f t="shared" si="20"/>
        <v>#DIV/0!</v>
      </c>
      <c r="BS69" s="288" t="e">
        <f t="shared" si="20"/>
        <v>#DIV/0!</v>
      </c>
      <c r="BT69" s="238">
        <f t="shared" si="20"/>
        <v>0</v>
      </c>
      <c r="BU69" s="239">
        <f t="shared" si="20"/>
        <v>0</v>
      </c>
      <c r="BV69" s="272">
        <f t="shared" si="30"/>
        <v>0</v>
      </c>
      <c r="BW69" s="288">
        <f t="shared" si="21"/>
        <v>0</v>
      </c>
      <c r="BX69" s="272">
        <f t="shared" si="21"/>
        <v>0</v>
      </c>
      <c r="BY69" s="272">
        <f t="shared" si="21"/>
        <v>0</v>
      </c>
      <c r="BZ69" s="288" t="e">
        <f t="shared" si="21"/>
        <v>#DIV/0!</v>
      </c>
      <c r="CA69" s="288" t="e">
        <f t="shared" si="21"/>
        <v>#DIV/0!</v>
      </c>
      <c r="CB69" s="180">
        <f t="shared" si="21"/>
        <v>0</v>
      </c>
      <c r="CC69" s="272" t="e">
        <f t="shared" si="21"/>
        <v>#DIV/0!</v>
      </c>
      <c r="CD69" s="180"/>
      <c r="CE69" s="180"/>
    </row>
    <row r="70" spans="1:83" s="181" customFormat="1" ht="7.5" customHeight="1" x14ac:dyDescent="0.35">
      <c r="A70" s="180"/>
      <c r="B70" s="180"/>
      <c r="C70" s="179"/>
      <c r="D70" s="180"/>
      <c r="E70" s="180"/>
      <c r="F70" s="180"/>
      <c r="G70" s="235"/>
      <c r="H70" s="180"/>
      <c r="I70" s="180"/>
      <c r="K70" s="180"/>
      <c r="L70" s="180"/>
      <c r="N70" s="180"/>
      <c r="O70" s="235"/>
      <c r="P70" s="180"/>
      <c r="Q70" s="180"/>
      <c r="S70" s="180"/>
      <c r="T70" s="180"/>
      <c r="V70" s="180"/>
      <c r="W70" s="235"/>
      <c r="X70" s="180"/>
      <c r="Y70" s="180"/>
      <c r="AA70" s="180"/>
      <c r="AB70" s="180"/>
      <c r="AD70" s="180"/>
      <c r="AE70" s="235"/>
      <c r="AF70" s="180"/>
      <c r="AG70" s="180"/>
      <c r="AI70" s="180"/>
      <c r="AJ70" s="180"/>
      <c r="AL70" s="180"/>
      <c r="AM70" s="235"/>
      <c r="AN70" s="180"/>
      <c r="AO70" s="180"/>
      <c r="AQ70" s="180"/>
      <c r="AR70" s="180"/>
      <c r="AT70" s="180"/>
      <c r="AU70" s="235"/>
      <c r="AV70" s="180"/>
      <c r="AW70" s="180"/>
      <c r="AY70" s="180"/>
      <c r="AZ70" s="180"/>
      <c r="BB70" s="180"/>
      <c r="BC70" s="235"/>
      <c r="BD70" s="180"/>
      <c r="BE70" s="180"/>
      <c r="BG70" s="180"/>
      <c r="BH70" s="180"/>
      <c r="BJ70" s="180"/>
      <c r="BK70" s="235"/>
      <c r="BL70" s="180"/>
      <c r="BM70" s="180"/>
      <c r="BO70" s="180"/>
      <c r="BP70" s="180"/>
      <c r="BR70" s="180"/>
      <c r="BS70" s="235"/>
      <c r="BT70" s="180"/>
      <c r="BU70" s="180"/>
      <c r="BW70" s="180"/>
      <c r="BX70" s="180"/>
      <c r="BZ70" s="180"/>
      <c r="CA70" s="235"/>
      <c r="CB70" s="180"/>
      <c r="CD70" s="180"/>
      <c r="CE70" s="180"/>
    </row>
    <row r="71" spans="1:83" ht="15.75" customHeight="1" x14ac:dyDescent="0.35">
      <c r="A71" s="180"/>
      <c r="B71" s="180"/>
      <c r="D71" s="236" t="str">
        <f t="shared" ref="D71:BO73" si="31">D36</f>
        <v>ESOP - allocated</v>
      </c>
      <c r="E71" s="243">
        <f t="shared" si="31"/>
        <v>0</v>
      </c>
      <c r="F71" s="244">
        <f t="shared" si="31"/>
        <v>0</v>
      </c>
      <c r="G71" s="245">
        <f t="shared" si="31"/>
        <v>0</v>
      </c>
      <c r="H71" s="243">
        <f t="shared" si="31"/>
        <v>0</v>
      </c>
      <c r="I71" s="246">
        <f t="shared" si="31"/>
        <v>0</v>
      </c>
      <c r="J71" s="327">
        <f t="shared" si="31"/>
        <v>0</v>
      </c>
      <c r="K71" s="327">
        <f t="shared" si="31"/>
        <v>0</v>
      </c>
      <c r="L71" s="224">
        <f t="shared" si="31"/>
        <v>0</v>
      </c>
      <c r="M71" s="293">
        <f t="shared" si="31"/>
        <v>0</v>
      </c>
      <c r="N71" s="328">
        <f t="shared" si="31"/>
        <v>0</v>
      </c>
      <c r="O71" s="295" t="e">
        <f t="shared" si="31"/>
        <v>#DIV/0!</v>
      </c>
      <c r="P71" s="243">
        <f t="shared" si="31"/>
        <v>0</v>
      </c>
      <c r="Q71" s="246">
        <f t="shared" si="31"/>
        <v>0</v>
      </c>
      <c r="R71" s="327">
        <f t="shared" si="31"/>
        <v>0</v>
      </c>
      <c r="S71" s="327">
        <f t="shared" si="31"/>
        <v>0</v>
      </c>
      <c r="T71" s="224">
        <f t="shared" si="31"/>
        <v>0</v>
      </c>
      <c r="U71" s="293">
        <f t="shared" si="31"/>
        <v>0</v>
      </c>
      <c r="V71" s="328">
        <f t="shared" si="31"/>
        <v>0</v>
      </c>
      <c r="W71" s="295" t="e">
        <f t="shared" si="31"/>
        <v>#DIV/0!</v>
      </c>
      <c r="X71" s="243">
        <f t="shared" si="31"/>
        <v>0</v>
      </c>
      <c r="Y71" s="246">
        <f t="shared" si="31"/>
        <v>0</v>
      </c>
      <c r="Z71" s="327">
        <f t="shared" si="31"/>
        <v>0</v>
      </c>
      <c r="AA71" s="327">
        <f t="shared" si="31"/>
        <v>0</v>
      </c>
      <c r="AB71" s="224">
        <f t="shared" si="31"/>
        <v>0</v>
      </c>
      <c r="AC71" s="293">
        <f t="shared" si="31"/>
        <v>0</v>
      </c>
      <c r="AD71" s="328">
        <f t="shared" si="31"/>
        <v>0</v>
      </c>
      <c r="AE71" s="295" t="e">
        <f t="shared" si="31"/>
        <v>#DIV/0!</v>
      </c>
      <c r="AF71" s="243">
        <f t="shared" si="31"/>
        <v>0</v>
      </c>
      <c r="AG71" s="246">
        <f t="shared" si="31"/>
        <v>0</v>
      </c>
      <c r="AH71" s="327">
        <f t="shared" si="31"/>
        <v>0</v>
      </c>
      <c r="AI71" s="327">
        <f t="shared" si="31"/>
        <v>0</v>
      </c>
      <c r="AJ71" s="224">
        <f t="shared" si="31"/>
        <v>0</v>
      </c>
      <c r="AK71" s="293">
        <f t="shared" si="31"/>
        <v>0</v>
      </c>
      <c r="AL71" s="328">
        <f t="shared" si="31"/>
        <v>0</v>
      </c>
      <c r="AM71" s="295" t="e">
        <f t="shared" si="31"/>
        <v>#DIV/0!</v>
      </c>
      <c r="AN71" s="243">
        <f t="shared" si="31"/>
        <v>0</v>
      </c>
      <c r="AO71" s="246">
        <f t="shared" si="31"/>
        <v>0</v>
      </c>
      <c r="AP71" s="327">
        <f t="shared" si="31"/>
        <v>0</v>
      </c>
      <c r="AQ71" s="327">
        <f t="shared" si="31"/>
        <v>0</v>
      </c>
      <c r="AR71" s="224">
        <f t="shared" si="31"/>
        <v>0</v>
      </c>
      <c r="AS71" s="293">
        <f t="shared" si="31"/>
        <v>0</v>
      </c>
      <c r="AT71" s="328">
        <f t="shared" si="31"/>
        <v>0</v>
      </c>
      <c r="AU71" s="295" t="e">
        <f t="shared" si="31"/>
        <v>#DIV/0!</v>
      </c>
      <c r="AV71" s="243">
        <f t="shared" si="31"/>
        <v>0</v>
      </c>
      <c r="AW71" s="246">
        <f t="shared" si="31"/>
        <v>0</v>
      </c>
      <c r="AX71" s="327">
        <f t="shared" si="31"/>
        <v>0</v>
      </c>
      <c r="AY71" s="327">
        <f t="shared" si="31"/>
        <v>0</v>
      </c>
      <c r="AZ71" s="224">
        <f t="shared" si="31"/>
        <v>0</v>
      </c>
      <c r="BA71" s="293">
        <f t="shared" si="31"/>
        <v>0</v>
      </c>
      <c r="BB71" s="328">
        <f t="shared" si="31"/>
        <v>0</v>
      </c>
      <c r="BC71" s="295" t="e">
        <f t="shared" si="31"/>
        <v>#DIV/0!</v>
      </c>
      <c r="BD71" s="243">
        <f t="shared" si="31"/>
        <v>0</v>
      </c>
      <c r="BE71" s="246">
        <f t="shared" si="31"/>
        <v>0</v>
      </c>
      <c r="BF71" s="327">
        <f t="shared" si="31"/>
        <v>0</v>
      </c>
      <c r="BG71" s="327">
        <f t="shared" si="31"/>
        <v>0</v>
      </c>
      <c r="BH71" s="224">
        <f t="shared" si="31"/>
        <v>0</v>
      </c>
      <c r="BI71" s="293">
        <f t="shared" si="31"/>
        <v>0</v>
      </c>
      <c r="BJ71" s="328">
        <f t="shared" si="31"/>
        <v>0</v>
      </c>
      <c r="BK71" s="295" t="e">
        <f t="shared" si="31"/>
        <v>#DIV/0!</v>
      </c>
      <c r="BL71" s="243">
        <f t="shared" si="31"/>
        <v>0</v>
      </c>
      <c r="BM71" s="246">
        <f t="shared" si="31"/>
        <v>0</v>
      </c>
      <c r="BN71" s="327">
        <f t="shared" si="31"/>
        <v>0</v>
      </c>
      <c r="BO71" s="327">
        <f t="shared" si="31"/>
        <v>0</v>
      </c>
      <c r="BP71" s="224">
        <f t="shared" ref="BP71:CC73" si="32">BP36</f>
        <v>0</v>
      </c>
      <c r="BQ71" s="293">
        <f t="shared" si="32"/>
        <v>0</v>
      </c>
      <c r="BR71" s="328">
        <f t="shared" si="32"/>
        <v>0</v>
      </c>
      <c r="BS71" s="295" t="e">
        <f t="shared" si="32"/>
        <v>#DIV/0!</v>
      </c>
      <c r="BT71" s="243">
        <f t="shared" si="32"/>
        <v>0</v>
      </c>
      <c r="BU71" s="246">
        <f t="shared" si="32"/>
        <v>0</v>
      </c>
      <c r="BV71" s="327">
        <f t="shared" si="32"/>
        <v>0</v>
      </c>
      <c r="BW71" s="327">
        <f t="shared" si="32"/>
        <v>0</v>
      </c>
      <c r="BX71" s="224">
        <f t="shared" si="32"/>
        <v>0</v>
      </c>
      <c r="BY71" s="293">
        <f t="shared" si="32"/>
        <v>0</v>
      </c>
      <c r="BZ71" s="328">
        <f t="shared" si="32"/>
        <v>0</v>
      </c>
      <c r="CA71" s="295" t="e">
        <f t="shared" si="32"/>
        <v>#DIV/0!</v>
      </c>
      <c r="CB71" s="180">
        <f t="shared" si="32"/>
        <v>0</v>
      </c>
      <c r="CC71" s="328">
        <f t="shared" si="32"/>
        <v>0</v>
      </c>
      <c r="CD71" s="180"/>
      <c r="CE71" s="180"/>
    </row>
    <row r="72" spans="1:83" ht="15.75" customHeight="1" x14ac:dyDescent="0.35">
      <c r="A72" s="180"/>
      <c r="B72" s="180"/>
      <c r="C72" s="247"/>
      <c r="D72" s="236" t="str">
        <f>D37</f>
        <v>Available ESOP</v>
      </c>
      <c r="E72" s="248">
        <f t="shared" si="31"/>
        <v>0</v>
      </c>
      <c r="F72" s="249">
        <f t="shared" si="31"/>
        <v>0</v>
      </c>
      <c r="G72" s="245">
        <f t="shared" si="31"/>
        <v>0</v>
      </c>
      <c r="H72" s="248">
        <f t="shared" si="31"/>
        <v>0</v>
      </c>
      <c r="I72" s="250">
        <f t="shared" si="31"/>
        <v>0</v>
      </c>
      <c r="J72" s="222">
        <f t="shared" si="31"/>
        <v>0</v>
      </c>
      <c r="K72" s="222">
        <f t="shared" si="31"/>
        <v>0</v>
      </c>
      <c r="L72" s="228">
        <f t="shared" si="31"/>
        <v>0</v>
      </c>
      <c r="M72" s="293">
        <f t="shared" si="31"/>
        <v>0</v>
      </c>
      <c r="N72" s="329">
        <f t="shared" si="31"/>
        <v>0</v>
      </c>
      <c r="O72" s="295" t="e">
        <f t="shared" si="31"/>
        <v>#DIV/0!</v>
      </c>
      <c r="P72" s="248">
        <f t="shared" si="31"/>
        <v>0</v>
      </c>
      <c r="Q72" s="250">
        <f t="shared" si="31"/>
        <v>0</v>
      </c>
      <c r="R72" s="222">
        <f t="shared" si="31"/>
        <v>0</v>
      </c>
      <c r="S72" s="222">
        <f t="shared" si="31"/>
        <v>0</v>
      </c>
      <c r="T72" s="228">
        <f t="shared" si="31"/>
        <v>0</v>
      </c>
      <c r="U72" s="293">
        <f t="shared" si="31"/>
        <v>0</v>
      </c>
      <c r="V72" s="329">
        <f t="shared" si="31"/>
        <v>0</v>
      </c>
      <c r="W72" s="295" t="e">
        <f t="shared" si="31"/>
        <v>#DIV/0!</v>
      </c>
      <c r="X72" s="248">
        <f t="shared" si="31"/>
        <v>0</v>
      </c>
      <c r="Y72" s="250">
        <f t="shared" si="31"/>
        <v>0</v>
      </c>
      <c r="Z72" s="222">
        <f t="shared" si="31"/>
        <v>0</v>
      </c>
      <c r="AA72" s="222">
        <f t="shared" si="31"/>
        <v>0</v>
      </c>
      <c r="AB72" s="228">
        <f t="shared" si="31"/>
        <v>0</v>
      </c>
      <c r="AC72" s="293">
        <f t="shared" si="31"/>
        <v>0</v>
      </c>
      <c r="AD72" s="329">
        <f t="shared" si="31"/>
        <v>0</v>
      </c>
      <c r="AE72" s="295" t="e">
        <f t="shared" si="31"/>
        <v>#DIV/0!</v>
      </c>
      <c r="AF72" s="248">
        <f t="shared" si="31"/>
        <v>0</v>
      </c>
      <c r="AG72" s="250">
        <f t="shared" si="31"/>
        <v>0</v>
      </c>
      <c r="AH72" s="222">
        <f t="shared" si="31"/>
        <v>0</v>
      </c>
      <c r="AI72" s="222">
        <f t="shared" si="31"/>
        <v>0</v>
      </c>
      <c r="AJ72" s="228">
        <f t="shared" si="31"/>
        <v>0</v>
      </c>
      <c r="AK72" s="293">
        <f t="shared" si="31"/>
        <v>0</v>
      </c>
      <c r="AL72" s="329">
        <f t="shared" si="31"/>
        <v>0</v>
      </c>
      <c r="AM72" s="295" t="e">
        <f t="shared" si="31"/>
        <v>#DIV/0!</v>
      </c>
      <c r="AN72" s="248">
        <f t="shared" si="31"/>
        <v>0</v>
      </c>
      <c r="AO72" s="250">
        <f t="shared" si="31"/>
        <v>0</v>
      </c>
      <c r="AP72" s="222">
        <f t="shared" si="31"/>
        <v>0</v>
      </c>
      <c r="AQ72" s="222">
        <f t="shared" si="31"/>
        <v>0</v>
      </c>
      <c r="AR72" s="228">
        <f t="shared" si="31"/>
        <v>0</v>
      </c>
      <c r="AS72" s="293">
        <f t="shared" si="31"/>
        <v>0</v>
      </c>
      <c r="AT72" s="329">
        <f t="shared" si="31"/>
        <v>0</v>
      </c>
      <c r="AU72" s="295" t="e">
        <f t="shared" si="31"/>
        <v>#DIV/0!</v>
      </c>
      <c r="AV72" s="248">
        <f t="shared" si="31"/>
        <v>0</v>
      </c>
      <c r="AW72" s="250">
        <f t="shared" si="31"/>
        <v>0</v>
      </c>
      <c r="AX72" s="222">
        <f t="shared" si="31"/>
        <v>0</v>
      </c>
      <c r="AY72" s="222">
        <f t="shared" si="31"/>
        <v>0</v>
      </c>
      <c r="AZ72" s="228">
        <f t="shared" si="31"/>
        <v>0</v>
      </c>
      <c r="BA72" s="293">
        <f t="shared" si="31"/>
        <v>0</v>
      </c>
      <c r="BB72" s="329">
        <f t="shared" si="31"/>
        <v>0</v>
      </c>
      <c r="BC72" s="295" t="e">
        <f t="shared" si="31"/>
        <v>#DIV/0!</v>
      </c>
      <c r="BD72" s="248">
        <f t="shared" si="31"/>
        <v>0</v>
      </c>
      <c r="BE72" s="250">
        <f t="shared" si="31"/>
        <v>0</v>
      </c>
      <c r="BF72" s="222">
        <f t="shared" si="31"/>
        <v>0</v>
      </c>
      <c r="BG72" s="222">
        <f t="shared" si="31"/>
        <v>0</v>
      </c>
      <c r="BH72" s="228">
        <f t="shared" si="31"/>
        <v>0</v>
      </c>
      <c r="BI72" s="293">
        <f t="shared" si="31"/>
        <v>0</v>
      </c>
      <c r="BJ72" s="329">
        <f t="shared" si="31"/>
        <v>0</v>
      </c>
      <c r="BK72" s="295" t="e">
        <f t="shared" si="31"/>
        <v>#DIV/0!</v>
      </c>
      <c r="BL72" s="248">
        <f t="shared" si="31"/>
        <v>0</v>
      </c>
      <c r="BM72" s="250">
        <f t="shared" si="31"/>
        <v>0</v>
      </c>
      <c r="BN72" s="222">
        <f t="shared" si="31"/>
        <v>0</v>
      </c>
      <c r="BO72" s="222">
        <f t="shared" si="31"/>
        <v>0</v>
      </c>
      <c r="BP72" s="228">
        <f t="shared" si="32"/>
        <v>0</v>
      </c>
      <c r="BQ72" s="293">
        <f t="shared" si="32"/>
        <v>0</v>
      </c>
      <c r="BR72" s="329">
        <f t="shared" si="32"/>
        <v>0</v>
      </c>
      <c r="BS72" s="295" t="e">
        <f t="shared" si="32"/>
        <v>#DIV/0!</v>
      </c>
      <c r="BT72" s="248">
        <f t="shared" si="32"/>
        <v>0</v>
      </c>
      <c r="BU72" s="250">
        <f t="shared" si="32"/>
        <v>0</v>
      </c>
      <c r="BV72" s="222">
        <f t="shared" si="32"/>
        <v>0</v>
      </c>
      <c r="BW72" s="222">
        <f t="shared" si="32"/>
        <v>0</v>
      </c>
      <c r="BX72" s="228">
        <f t="shared" si="32"/>
        <v>0</v>
      </c>
      <c r="BY72" s="293">
        <f t="shared" si="32"/>
        <v>0</v>
      </c>
      <c r="BZ72" s="329">
        <f t="shared" si="32"/>
        <v>0</v>
      </c>
      <c r="CA72" s="295" t="e">
        <f t="shared" si="32"/>
        <v>#DIV/0!</v>
      </c>
      <c r="CB72" s="180">
        <f t="shared" si="32"/>
        <v>0</v>
      </c>
      <c r="CC72" s="329">
        <f t="shared" si="32"/>
        <v>0</v>
      </c>
      <c r="CD72" s="180"/>
      <c r="CE72" s="180"/>
    </row>
    <row r="73" spans="1:83" ht="15.75" customHeight="1" x14ac:dyDescent="0.35">
      <c r="A73" s="180"/>
      <c r="B73" s="180"/>
      <c r="C73" s="247" t="s">
        <v>76</v>
      </c>
      <c r="D73" s="236" t="str">
        <f>D38</f>
        <v>New ESOP</v>
      </c>
      <c r="E73" s="245" t="str">
        <f t="shared" si="31"/>
        <v>Pre-Money</v>
      </c>
      <c r="F73" s="251">
        <f t="shared" si="31"/>
        <v>0</v>
      </c>
      <c r="G73" s="245">
        <f t="shared" si="31"/>
        <v>0</v>
      </c>
      <c r="H73" s="251">
        <f t="shared" si="31"/>
        <v>0</v>
      </c>
      <c r="I73" s="252">
        <f t="shared" si="31"/>
        <v>0</v>
      </c>
      <c r="J73" s="231">
        <f t="shared" si="31"/>
        <v>0</v>
      </c>
      <c r="K73" s="231">
        <f t="shared" si="31"/>
        <v>0</v>
      </c>
      <c r="L73" s="232">
        <f t="shared" si="31"/>
        <v>0</v>
      </c>
      <c r="M73" s="293">
        <f t="shared" si="31"/>
        <v>0</v>
      </c>
      <c r="N73" s="330">
        <f t="shared" si="31"/>
        <v>0</v>
      </c>
      <c r="O73" s="295" t="e">
        <f t="shared" si="31"/>
        <v>#DIV/0!</v>
      </c>
      <c r="P73" s="251">
        <f t="shared" si="31"/>
        <v>0</v>
      </c>
      <c r="Q73" s="252">
        <f t="shared" si="31"/>
        <v>0</v>
      </c>
      <c r="R73" s="231">
        <f t="shared" si="31"/>
        <v>0</v>
      </c>
      <c r="S73" s="231">
        <f t="shared" si="31"/>
        <v>0</v>
      </c>
      <c r="T73" s="232">
        <f t="shared" si="31"/>
        <v>0</v>
      </c>
      <c r="U73" s="293">
        <f t="shared" si="31"/>
        <v>0</v>
      </c>
      <c r="V73" s="330">
        <f t="shared" si="31"/>
        <v>0</v>
      </c>
      <c r="W73" s="295" t="e">
        <f t="shared" si="31"/>
        <v>#DIV/0!</v>
      </c>
      <c r="X73" s="251">
        <f t="shared" si="31"/>
        <v>0</v>
      </c>
      <c r="Y73" s="252">
        <f t="shared" si="31"/>
        <v>0</v>
      </c>
      <c r="Z73" s="231">
        <f t="shared" si="31"/>
        <v>0</v>
      </c>
      <c r="AA73" s="231">
        <f t="shared" si="31"/>
        <v>0</v>
      </c>
      <c r="AB73" s="232">
        <f t="shared" si="31"/>
        <v>0</v>
      </c>
      <c r="AC73" s="293">
        <f t="shared" si="31"/>
        <v>0</v>
      </c>
      <c r="AD73" s="330">
        <f t="shared" si="31"/>
        <v>0</v>
      </c>
      <c r="AE73" s="295" t="e">
        <f t="shared" si="31"/>
        <v>#DIV/0!</v>
      </c>
      <c r="AF73" s="251">
        <f t="shared" si="31"/>
        <v>0</v>
      </c>
      <c r="AG73" s="252">
        <f t="shared" si="31"/>
        <v>0</v>
      </c>
      <c r="AH73" s="231">
        <f t="shared" si="31"/>
        <v>0</v>
      </c>
      <c r="AI73" s="231">
        <f t="shared" si="31"/>
        <v>0</v>
      </c>
      <c r="AJ73" s="232">
        <f t="shared" si="31"/>
        <v>0</v>
      </c>
      <c r="AK73" s="293">
        <f t="shared" si="31"/>
        <v>0</v>
      </c>
      <c r="AL73" s="330">
        <f t="shared" si="31"/>
        <v>0</v>
      </c>
      <c r="AM73" s="295" t="e">
        <f t="shared" si="31"/>
        <v>#DIV/0!</v>
      </c>
      <c r="AN73" s="251">
        <f t="shared" si="31"/>
        <v>0</v>
      </c>
      <c r="AO73" s="252">
        <f t="shared" si="31"/>
        <v>0</v>
      </c>
      <c r="AP73" s="231">
        <f t="shared" si="31"/>
        <v>0</v>
      </c>
      <c r="AQ73" s="231">
        <f t="shared" si="31"/>
        <v>0</v>
      </c>
      <c r="AR73" s="232">
        <f t="shared" si="31"/>
        <v>0</v>
      </c>
      <c r="AS73" s="293">
        <f t="shared" si="31"/>
        <v>0</v>
      </c>
      <c r="AT73" s="330">
        <f t="shared" si="31"/>
        <v>0</v>
      </c>
      <c r="AU73" s="295" t="e">
        <f t="shared" si="31"/>
        <v>#DIV/0!</v>
      </c>
      <c r="AV73" s="251">
        <f t="shared" si="31"/>
        <v>0</v>
      </c>
      <c r="AW73" s="252">
        <f t="shared" si="31"/>
        <v>0</v>
      </c>
      <c r="AX73" s="231">
        <f t="shared" si="31"/>
        <v>0</v>
      </c>
      <c r="AY73" s="231">
        <f t="shared" si="31"/>
        <v>0</v>
      </c>
      <c r="AZ73" s="232">
        <f t="shared" si="31"/>
        <v>0</v>
      </c>
      <c r="BA73" s="293">
        <f t="shared" si="31"/>
        <v>0</v>
      </c>
      <c r="BB73" s="330">
        <f t="shared" si="31"/>
        <v>0</v>
      </c>
      <c r="BC73" s="295" t="e">
        <f t="shared" si="31"/>
        <v>#DIV/0!</v>
      </c>
      <c r="BD73" s="251">
        <f t="shared" si="31"/>
        <v>0</v>
      </c>
      <c r="BE73" s="252">
        <f t="shared" si="31"/>
        <v>0</v>
      </c>
      <c r="BF73" s="231">
        <f t="shared" si="31"/>
        <v>0</v>
      </c>
      <c r="BG73" s="231">
        <f t="shared" si="31"/>
        <v>0</v>
      </c>
      <c r="BH73" s="232">
        <f t="shared" si="31"/>
        <v>0</v>
      </c>
      <c r="BI73" s="293">
        <f t="shared" si="31"/>
        <v>0</v>
      </c>
      <c r="BJ73" s="330">
        <f t="shared" si="31"/>
        <v>0</v>
      </c>
      <c r="BK73" s="295" t="e">
        <f t="shared" si="31"/>
        <v>#DIV/0!</v>
      </c>
      <c r="BL73" s="251">
        <f t="shared" si="31"/>
        <v>0</v>
      </c>
      <c r="BM73" s="252">
        <f t="shared" si="31"/>
        <v>0</v>
      </c>
      <c r="BN73" s="231">
        <f t="shared" si="31"/>
        <v>0</v>
      </c>
      <c r="BO73" s="231">
        <f t="shared" si="31"/>
        <v>0</v>
      </c>
      <c r="BP73" s="232">
        <f t="shared" si="32"/>
        <v>0</v>
      </c>
      <c r="BQ73" s="293">
        <f t="shared" si="32"/>
        <v>0</v>
      </c>
      <c r="BR73" s="330">
        <f t="shared" si="32"/>
        <v>0</v>
      </c>
      <c r="BS73" s="295" t="e">
        <f t="shared" si="32"/>
        <v>#DIV/0!</v>
      </c>
      <c r="BT73" s="251">
        <f t="shared" si="32"/>
        <v>0</v>
      </c>
      <c r="BU73" s="252">
        <f t="shared" si="32"/>
        <v>0</v>
      </c>
      <c r="BV73" s="231">
        <f t="shared" si="32"/>
        <v>0</v>
      </c>
      <c r="BW73" s="231">
        <f t="shared" si="32"/>
        <v>0</v>
      </c>
      <c r="BX73" s="232">
        <f t="shared" si="32"/>
        <v>0</v>
      </c>
      <c r="BY73" s="293">
        <f t="shared" si="32"/>
        <v>0</v>
      </c>
      <c r="BZ73" s="330">
        <f t="shared" si="32"/>
        <v>0</v>
      </c>
      <c r="CA73" s="295" t="e">
        <f t="shared" si="32"/>
        <v>#DIV/0!</v>
      </c>
      <c r="CB73" s="180">
        <f t="shared" si="32"/>
        <v>0</v>
      </c>
      <c r="CC73" s="330">
        <f t="shared" si="32"/>
        <v>0</v>
      </c>
      <c r="CD73" s="180"/>
      <c r="CE73" s="180"/>
    </row>
    <row r="74" spans="1:83" s="181" customFormat="1" ht="7.5" customHeight="1" x14ac:dyDescent="0.35">
      <c r="A74" s="180"/>
      <c r="B74" s="180"/>
      <c r="C74" s="179"/>
      <c r="D74" s="180"/>
      <c r="E74" s="180"/>
      <c r="F74" s="180"/>
      <c r="G74" s="235"/>
      <c r="N74" s="180"/>
      <c r="Q74" s="180"/>
      <c r="R74" s="180"/>
      <c r="T74" s="180"/>
      <c r="U74" s="331"/>
      <c r="V74" s="180"/>
      <c r="W74" s="180"/>
      <c r="Y74" s="180"/>
      <c r="Z74" s="180"/>
      <c r="AB74" s="180"/>
      <c r="AC74" s="331"/>
      <c r="AD74" s="180"/>
      <c r="AE74" s="180"/>
      <c r="AG74" s="180"/>
      <c r="AH74" s="180"/>
      <c r="AJ74" s="180"/>
      <c r="AK74" s="331"/>
      <c r="AL74" s="180"/>
      <c r="AM74" s="180"/>
      <c r="AO74" s="180"/>
      <c r="AP74" s="180"/>
      <c r="AR74" s="180"/>
      <c r="AS74" s="331"/>
      <c r="AT74" s="180"/>
      <c r="AU74" s="180"/>
      <c r="AW74" s="180"/>
      <c r="AX74" s="180"/>
      <c r="AZ74" s="180"/>
      <c r="BA74" s="331"/>
      <c r="BB74" s="180"/>
      <c r="BC74" s="180"/>
      <c r="BE74" s="180"/>
      <c r="BF74" s="180"/>
      <c r="BH74" s="180"/>
      <c r="BI74" s="331"/>
      <c r="BJ74" s="180"/>
      <c r="BK74" s="180"/>
      <c r="BM74" s="180"/>
      <c r="BN74" s="180"/>
      <c r="BP74" s="180"/>
      <c r="BQ74" s="331"/>
      <c r="BR74" s="180"/>
      <c r="BS74" s="180"/>
      <c r="BU74" s="180"/>
      <c r="BV74" s="180"/>
      <c r="BX74" s="180"/>
      <c r="BY74" s="331"/>
      <c r="BZ74" s="180"/>
      <c r="CA74" s="180"/>
    </row>
    <row r="75" spans="1:83" s="190" customFormat="1" ht="15.75" customHeight="1" x14ac:dyDescent="0.35">
      <c r="A75" s="180"/>
      <c r="B75" s="180"/>
      <c r="D75" s="303" t="s">
        <v>78</v>
      </c>
      <c r="E75" s="304">
        <f>SUM(E55:E72)</f>
        <v>0</v>
      </c>
      <c r="F75" s="304">
        <f>SUM(F55:F72)</f>
        <v>0</v>
      </c>
      <c r="G75" s="304">
        <f>SUM(G55:G73)</f>
        <v>0</v>
      </c>
      <c r="H75" s="304">
        <f>SUM(H55:H69)</f>
        <v>0</v>
      </c>
      <c r="I75" s="304">
        <f>SUM(I55:I69)</f>
        <v>0</v>
      </c>
      <c r="J75" s="304" t="e">
        <f>SUM(J55:J69)</f>
        <v>#DIV/0!</v>
      </c>
      <c r="K75" s="305">
        <f>SUM(K55:K69)</f>
        <v>0</v>
      </c>
      <c r="L75" s="304">
        <f>SUM(L55:L69)</f>
        <v>0</v>
      </c>
      <c r="M75" s="304">
        <f>SUM(M55:M73)</f>
        <v>0</v>
      </c>
      <c r="N75" s="305" t="e">
        <f>SUM(N55:N69)</f>
        <v>#DIV/0!</v>
      </c>
      <c r="O75" s="305" t="e">
        <f>SUM(O55:O73)</f>
        <v>#DIV/0!</v>
      </c>
      <c r="P75" s="304">
        <f>SUM(P55:P69)</f>
        <v>0</v>
      </c>
      <c r="Q75" s="304">
        <f>SUM(Q55:Q69)</f>
        <v>0</v>
      </c>
      <c r="R75" s="304">
        <f>SUM(R55:R69)</f>
        <v>0</v>
      </c>
      <c r="S75" s="305">
        <f>SUM(S55:S69)</f>
        <v>0</v>
      </c>
      <c r="T75" s="304">
        <f>SUM(T55:T69)</f>
        <v>0</v>
      </c>
      <c r="U75" s="304">
        <f>SUM(U55:U73)</f>
        <v>0</v>
      </c>
      <c r="V75" s="305" t="e">
        <f>SUM(V55:V69)</f>
        <v>#DIV/0!</v>
      </c>
      <c r="W75" s="305" t="e">
        <f>SUM(W55:W73)</f>
        <v>#DIV/0!</v>
      </c>
      <c r="X75" s="304">
        <f>SUM(X55:X69)</f>
        <v>0</v>
      </c>
      <c r="Y75" s="304">
        <f>SUM(Y55:Y69)</f>
        <v>0</v>
      </c>
      <c r="Z75" s="304">
        <f>SUM(Z55:Z69)</f>
        <v>0</v>
      </c>
      <c r="AA75" s="305">
        <f>SUM(AA55:AA69)</f>
        <v>0</v>
      </c>
      <c r="AB75" s="304">
        <f>SUM(AB55:AB69)</f>
        <v>0</v>
      </c>
      <c r="AC75" s="304">
        <f>SUM(AC55:AC73)</f>
        <v>0</v>
      </c>
      <c r="AD75" s="305" t="e">
        <f>SUM(AD55:AD69)</f>
        <v>#DIV/0!</v>
      </c>
      <c r="AE75" s="305" t="e">
        <f>SUM(AE55:AE73)</f>
        <v>#DIV/0!</v>
      </c>
      <c r="AF75" s="304">
        <f>SUM(AF55:AF69)</f>
        <v>0</v>
      </c>
      <c r="AG75" s="304">
        <f>SUM(AG55:AG69)</f>
        <v>0</v>
      </c>
      <c r="AH75" s="304">
        <f>SUM(AH55:AH69)</f>
        <v>0</v>
      </c>
      <c r="AI75" s="305">
        <f>SUM(AI55:AI69)</f>
        <v>0</v>
      </c>
      <c r="AJ75" s="304">
        <f>SUM(AJ55:AJ69)</f>
        <v>0</v>
      </c>
      <c r="AK75" s="304">
        <f>SUM(AK55:AK73)</f>
        <v>0</v>
      </c>
      <c r="AL75" s="305" t="e">
        <f>SUM(AL55:AL69)</f>
        <v>#DIV/0!</v>
      </c>
      <c r="AM75" s="305" t="e">
        <f>SUM(AM55:AM73)</f>
        <v>#DIV/0!</v>
      </c>
      <c r="AN75" s="304">
        <f>SUM(AN55:AN69)</f>
        <v>0</v>
      </c>
      <c r="AO75" s="304">
        <f>SUM(AO55:AO69)</f>
        <v>0</v>
      </c>
      <c r="AP75" s="304">
        <f>SUM(AP55:AP69)</f>
        <v>0</v>
      </c>
      <c r="AQ75" s="305">
        <f>SUM(AQ55:AQ69)</f>
        <v>0</v>
      </c>
      <c r="AR75" s="304">
        <f>SUM(AR55:AR69)</f>
        <v>0</v>
      </c>
      <c r="AS75" s="304">
        <f>SUM(AS55:AS73)</f>
        <v>0</v>
      </c>
      <c r="AT75" s="305" t="e">
        <f>SUM(AT55:AT69)</f>
        <v>#DIV/0!</v>
      </c>
      <c r="AU75" s="305" t="e">
        <f>SUM(AU55:AU73)</f>
        <v>#DIV/0!</v>
      </c>
      <c r="AV75" s="304">
        <f>SUM(AV55:AV69)</f>
        <v>0</v>
      </c>
      <c r="AW75" s="304">
        <f>SUM(AW55:AW69)</f>
        <v>0</v>
      </c>
      <c r="AX75" s="304">
        <f>SUM(AX55:AX69)</f>
        <v>0</v>
      </c>
      <c r="AY75" s="305">
        <f>SUM(AY55:AY69)</f>
        <v>0</v>
      </c>
      <c r="AZ75" s="304">
        <f>SUM(AZ55:AZ69)</f>
        <v>0</v>
      </c>
      <c r="BA75" s="304">
        <f>SUM(BA55:BA73)</f>
        <v>0</v>
      </c>
      <c r="BB75" s="305" t="e">
        <f>SUM(BB55:BB69)</f>
        <v>#DIV/0!</v>
      </c>
      <c r="BC75" s="305" t="e">
        <f>SUM(BC55:BC73)</f>
        <v>#DIV/0!</v>
      </c>
      <c r="BD75" s="304">
        <f>SUM(BD55:BD69)</f>
        <v>0</v>
      </c>
      <c r="BE75" s="304">
        <f>SUM(BE55:BE69)</f>
        <v>0</v>
      </c>
      <c r="BF75" s="304">
        <f>SUM(BF55:BF69)</f>
        <v>0</v>
      </c>
      <c r="BG75" s="305">
        <f>SUM(BG55:BG69)</f>
        <v>0</v>
      </c>
      <c r="BH75" s="304">
        <f>SUM(BH55:BH69)</f>
        <v>0</v>
      </c>
      <c r="BI75" s="304">
        <f>SUM(BI55:BI73)</f>
        <v>0</v>
      </c>
      <c r="BJ75" s="305" t="e">
        <f>SUM(BJ55:BJ69)</f>
        <v>#DIV/0!</v>
      </c>
      <c r="BK75" s="305" t="e">
        <f>SUM(BK55:BK73)</f>
        <v>#DIV/0!</v>
      </c>
      <c r="BL75" s="304">
        <f>SUM(BL55:BL69)</f>
        <v>0</v>
      </c>
      <c r="BM75" s="304">
        <f>SUM(BM55:BM69)</f>
        <v>0</v>
      </c>
      <c r="BN75" s="304">
        <f>SUM(BN55:BN69)</f>
        <v>0</v>
      </c>
      <c r="BO75" s="305">
        <f>SUM(BO55:BO69)</f>
        <v>0</v>
      </c>
      <c r="BP75" s="304">
        <f>SUM(BP55:BP69)</f>
        <v>0</v>
      </c>
      <c r="BQ75" s="304">
        <f>SUM(BQ55:BQ73)</f>
        <v>0</v>
      </c>
      <c r="BR75" s="305" t="e">
        <f>SUM(BR55:BR69)</f>
        <v>#DIV/0!</v>
      </c>
      <c r="BS75" s="305" t="e">
        <f>SUM(BS55:BS73)</f>
        <v>#DIV/0!</v>
      </c>
      <c r="BT75" s="304">
        <f>SUM(BT55:BT69)</f>
        <v>0</v>
      </c>
      <c r="BU75" s="304">
        <f>SUM(BU55:BU69)</f>
        <v>0</v>
      </c>
      <c r="BV75" s="304">
        <f>SUM(BV55:BV69)</f>
        <v>0</v>
      </c>
      <c r="BW75" s="305">
        <f>SUM(BW55:BW69)</f>
        <v>0</v>
      </c>
      <c r="BX75" s="304">
        <f>SUM(BX55:BX69)</f>
        <v>0</v>
      </c>
      <c r="BY75" s="304">
        <f>SUM(BY55:BY73)</f>
        <v>0</v>
      </c>
      <c r="BZ75" s="305" t="e">
        <f>SUM(BZ55:BZ69)</f>
        <v>#DIV/0!</v>
      </c>
      <c r="CA75" s="305" t="e">
        <f>SUM(CA55:CA73)</f>
        <v>#DIV/0!</v>
      </c>
      <c r="CB75" s="180"/>
      <c r="CC75" s="304" t="e">
        <f t="shared" ref="CC75" si="33">SUM(J75,R75,Z75,AH75,AP75,AX75,BF75,BN75,BV75)</f>
        <v>#DIV/0!</v>
      </c>
      <c r="CD75" s="180"/>
      <c r="CE75" s="180"/>
    </row>
    <row r="76" spans="1:83" s="255" customFormat="1" ht="15.75" customHeight="1" x14ac:dyDescent="0.35">
      <c r="A76" s="254"/>
      <c r="B76" s="254"/>
      <c r="D76" s="256" t="str">
        <f t="shared" ref="D76:BO76" si="34">D41</f>
        <v>CHECK</v>
      </c>
      <c r="E76" s="257">
        <f t="shared" si="34"/>
        <v>0</v>
      </c>
      <c r="F76" s="257">
        <f t="shared" si="34"/>
        <v>0</v>
      </c>
      <c r="G76" s="257">
        <f t="shared" si="34"/>
        <v>0</v>
      </c>
      <c r="H76" s="1360" t="e">
        <f t="shared" si="34"/>
        <v>#DIV/0!</v>
      </c>
      <c r="I76" s="1361">
        <f t="shared" si="34"/>
        <v>0</v>
      </c>
      <c r="J76" s="1361">
        <f t="shared" si="34"/>
        <v>0</v>
      </c>
      <c r="K76" s="257">
        <f t="shared" si="34"/>
        <v>0</v>
      </c>
      <c r="L76" s="257">
        <f t="shared" si="34"/>
        <v>0</v>
      </c>
      <c r="M76" s="258">
        <f t="shared" si="34"/>
        <v>0</v>
      </c>
      <c r="N76" s="258">
        <f t="shared" si="34"/>
        <v>0</v>
      </c>
      <c r="O76" s="259">
        <f t="shared" si="34"/>
        <v>0</v>
      </c>
      <c r="P76" s="1360" t="str">
        <f t="shared" si="34"/>
        <v>DTCV OK; Investors OK</v>
      </c>
      <c r="Q76" s="1361">
        <f t="shared" si="34"/>
        <v>0</v>
      </c>
      <c r="R76" s="1361">
        <f t="shared" si="34"/>
        <v>0</v>
      </c>
      <c r="S76" s="257">
        <f t="shared" si="34"/>
        <v>0</v>
      </c>
      <c r="T76" s="257">
        <f t="shared" si="34"/>
        <v>0</v>
      </c>
      <c r="U76" s="258">
        <f t="shared" si="34"/>
        <v>0</v>
      </c>
      <c r="V76" s="258">
        <f t="shared" si="34"/>
        <v>0</v>
      </c>
      <c r="W76" s="259">
        <f t="shared" si="34"/>
        <v>0</v>
      </c>
      <c r="X76" s="1360" t="str">
        <f t="shared" si="34"/>
        <v>DTCV OK; Investors OK</v>
      </c>
      <c r="Y76" s="1361">
        <f t="shared" si="34"/>
        <v>0</v>
      </c>
      <c r="Z76" s="1361">
        <f t="shared" si="34"/>
        <v>0</v>
      </c>
      <c r="AA76" s="257">
        <f t="shared" si="34"/>
        <v>0</v>
      </c>
      <c r="AB76" s="257">
        <f t="shared" si="34"/>
        <v>0</v>
      </c>
      <c r="AC76" s="258">
        <f t="shared" si="34"/>
        <v>0</v>
      </c>
      <c r="AD76" s="258">
        <f t="shared" si="34"/>
        <v>0</v>
      </c>
      <c r="AE76" s="259">
        <f t="shared" si="34"/>
        <v>0</v>
      </c>
      <c r="AF76" s="1360" t="str">
        <f t="shared" si="34"/>
        <v>DTCV OK; Investors OK</v>
      </c>
      <c r="AG76" s="1361">
        <f t="shared" si="34"/>
        <v>0</v>
      </c>
      <c r="AH76" s="1361">
        <f t="shared" si="34"/>
        <v>0</v>
      </c>
      <c r="AI76" s="257">
        <f t="shared" si="34"/>
        <v>0</v>
      </c>
      <c r="AJ76" s="257">
        <f t="shared" si="34"/>
        <v>0</v>
      </c>
      <c r="AK76" s="258">
        <f t="shared" si="34"/>
        <v>0</v>
      </c>
      <c r="AL76" s="258">
        <f t="shared" si="34"/>
        <v>0</v>
      </c>
      <c r="AM76" s="259">
        <f t="shared" si="34"/>
        <v>0</v>
      </c>
      <c r="AN76" s="1360" t="str">
        <f t="shared" si="34"/>
        <v>DTCV OK; Investors OK</v>
      </c>
      <c r="AO76" s="1361">
        <f t="shared" si="34"/>
        <v>0</v>
      </c>
      <c r="AP76" s="1361">
        <f t="shared" si="34"/>
        <v>0</v>
      </c>
      <c r="AQ76" s="257">
        <f t="shared" si="34"/>
        <v>0</v>
      </c>
      <c r="AR76" s="257">
        <f t="shared" si="34"/>
        <v>0</v>
      </c>
      <c r="AS76" s="258">
        <f t="shared" si="34"/>
        <v>0</v>
      </c>
      <c r="AT76" s="258">
        <f t="shared" si="34"/>
        <v>0</v>
      </c>
      <c r="AU76" s="259">
        <f t="shared" si="34"/>
        <v>0</v>
      </c>
      <c r="AV76" s="1360" t="str">
        <f t="shared" si="34"/>
        <v>DTCV OK; Investors OK</v>
      </c>
      <c r="AW76" s="1361">
        <f t="shared" si="34"/>
        <v>0</v>
      </c>
      <c r="AX76" s="1361">
        <f t="shared" si="34"/>
        <v>0</v>
      </c>
      <c r="AY76" s="257">
        <f t="shared" si="34"/>
        <v>0</v>
      </c>
      <c r="AZ76" s="257">
        <f t="shared" si="34"/>
        <v>0</v>
      </c>
      <c r="BA76" s="258">
        <f t="shared" si="34"/>
        <v>0</v>
      </c>
      <c r="BB76" s="258">
        <f t="shared" si="34"/>
        <v>0</v>
      </c>
      <c r="BC76" s="259">
        <f t="shared" si="34"/>
        <v>0</v>
      </c>
      <c r="BD76" s="1360" t="str">
        <f t="shared" si="34"/>
        <v>DTCV OK; Investors OK</v>
      </c>
      <c r="BE76" s="1361">
        <f t="shared" si="34"/>
        <v>0</v>
      </c>
      <c r="BF76" s="1361">
        <f t="shared" si="34"/>
        <v>0</v>
      </c>
      <c r="BG76" s="257">
        <f t="shared" si="34"/>
        <v>0</v>
      </c>
      <c r="BH76" s="257">
        <f t="shared" si="34"/>
        <v>0</v>
      </c>
      <c r="BI76" s="258">
        <f t="shared" si="34"/>
        <v>0</v>
      </c>
      <c r="BJ76" s="258">
        <f t="shared" si="34"/>
        <v>0</v>
      </c>
      <c r="BK76" s="259">
        <f t="shared" si="34"/>
        <v>0</v>
      </c>
      <c r="BL76" s="1360" t="str">
        <f t="shared" si="34"/>
        <v>DTCV OK; Investors OK</v>
      </c>
      <c r="BM76" s="1361">
        <f t="shared" si="34"/>
        <v>0</v>
      </c>
      <c r="BN76" s="1361">
        <f t="shared" si="34"/>
        <v>0</v>
      </c>
      <c r="BO76" s="257">
        <f t="shared" si="34"/>
        <v>0</v>
      </c>
      <c r="BP76" s="257">
        <f t="shared" ref="BP76:CC76" si="35">BP41</f>
        <v>0</v>
      </c>
      <c r="BQ76" s="258">
        <f t="shared" si="35"/>
        <v>0</v>
      </c>
      <c r="BR76" s="258">
        <f t="shared" si="35"/>
        <v>0</v>
      </c>
      <c r="BS76" s="259">
        <f t="shared" si="35"/>
        <v>0</v>
      </c>
      <c r="BT76" s="1360" t="str">
        <f t="shared" si="35"/>
        <v>DTCV OK; Investors OK</v>
      </c>
      <c r="BU76" s="1361">
        <f t="shared" si="35"/>
        <v>0</v>
      </c>
      <c r="BV76" s="1361">
        <f t="shared" si="35"/>
        <v>0</v>
      </c>
      <c r="BW76" s="257">
        <f t="shared" si="35"/>
        <v>0</v>
      </c>
      <c r="BX76" s="257">
        <f t="shared" si="35"/>
        <v>0</v>
      </c>
      <c r="BY76" s="258">
        <f t="shared" si="35"/>
        <v>0</v>
      </c>
      <c r="BZ76" s="258">
        <f t="shared" si="35"/>
        <v>0</v>
      </c>
      <c r="CA76" s="259">
        <f t="shared" si="35"/>
        <v>0</v>
      </c>
      <c r="CB76" s="180">
        <f t="shared" si="35"/>
        <v>0</v>
      </c>
      <c r="CC76" s="188">
        <f t="shared" si="35"/>
        <v>0</v>
      </c>
      <c r="CD76" s="180"/>
      <c r="CE76" s="180"/>
    </row>
    <row r="79" spans="1:83" ht="15.75" customHeight="1" thickBot="1" x14ac:dyDescent="0.4">
      <c r="D79" s="711" t="s">
        <v>239</v>
      </c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  <c r="AZ79" s="282"/>
      <c r="BA79" s="282"/>
      <c r="BB79" s="282"/>
      <c r="BC79" s="282"/>
      <c r="BD79" s="282"/>
      <c r="BE79" s="282"/>
      <c r="BF79" s="282"/>
      <c r="BG79" s="282"/>
      <c r="BH79" s="282"/>
      <c r="BI79" s="282"/>
      <c r="BJ79" s="282"/>
      <c r="BK79" s="282"/>
      <c r="BL79" s="282"/>
      <c r="BM79" s="282"/>
      <c r="BN79" s="282"/>
      <c r="BO79" s="282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282"/>
      <c r="CA79" s="282"/>
      <c r="CB79" s="332"/>
    </row>
    <row r="80" spans="1:83" ht="15.75" customHeight="1" x14ac:dyDescent="0.35">
      <c r="D80" s="333">
        <v>1</v>
      </c>
      <c r="J80" s="334">
        <f>IF(H$53=$D80,J$75,0)/1000000</f>
        <v>0</v>
      </c>
      <c r="K80" s="335"/>
      <c r="L80" s="335"/>
      <c r="M80" s="335"/>
      <c r="N80" s="335"/>
      <c r="O80" s="335"/>
      <c r="P80" s="335"/>
      <c r="Q80" s="335"/>
      <c r="R80" s="334">
        <f>IF(P$53=$D80,R$75,0)/1000000</f>
        <v>0</v>
      </c>
      <c r="S80" s="335"/>
      <c r="T80" s="335"/>
      <c r="U80" s="335"/>
      <c r="V80" s="335"/>
      <c r="W80" s="335"/>
      <c r="X80" s="336"/>
      <c r="Y80" s="336"/>
      <c r="Z80" s="334">
        <f>IF(X$53=$D80,Z$75,0)/1000000</f>
        <v>0</v>
      </c>
      <c r="AA80" s="336"/>
      <c r="AB80" s="336"/>
      <c r="AC80" s="336"/>
      <c r="AD80" s="336"/>
      <c r="AE80" s="336"/>
      <c r="AF80" s="336"/>
      <c r="AG80" s="336"/>
      <c r="AH80" s="334">
        <f>IF(AF$53=$D80,AH$75,0)/1000000</f>
        <v>0</v>
      </c>
      <c r="AI80" s="336"/>
      <c r="AJ80" s="336"/>
      <c r="AK80" s="336"/>
      <c r="AL80" s="336"/>
      <c r="AM80" s="336"/>
      <c r="AN80" s="335"/>
      <c r="AO80" s="335"/>
      <c r="AP80" s="334">
        <f>IF(AN$53=$D80,AP$75,0)/1000000</f>
        <v>0</v>
      </c>
      <c r="AQ80" s="335"/>
      <c r="AR80" s="335"/>
      <c r="AS80" s="335"/>
      <c r="AT80" s="335"/>
      <c r="AU80" s="335"/>
      <c r="AV80" s="335"/>
      <c r="AW80" s="335"/>
      <c r="AX80" s="334">
        <f>IF(AV$53=$D80,AX$75,0)/1000000</f>
        <v>0</v>
      </c>
      <c r="AY80" s="335"/>
      <c r="AZ80" s="335"/>
      <c r="BA80" s="335"/>
      <c r="BB80" s="335"/>
      <c r="BC80" s="335"/>
      <c r="BD80" s="335"/>
      <c r="BE80" s="335"/>
      <c r="BF80" s="334">
        <f>IF(BD$53=$D80,BF$75,0)/1000000</f>
        <v>0</v>
      </c>
      <c r="BG80" s="335"/>
      <c r="BH80" s="335"/>
      <c r="BI80" s="335"/>
      <c r="BJ80" s="335"/>
      <c r="BK80" s="335"/>
      <c r="BL80" s="335"/>
      <c r="BM80" s="335"/>
      <c r="BN80" s="334">
        <f>IF(BL$53=$D80,BN$75,0)/1000000</f>
        <v>0</v>
      </c>
      <c r="BO80" s="335"/>
      <c r="BP80" s="335"/>
      <c r="BQ80" s="335"/>
      <c r="BR80" s="335"/>
      <c r="BS80" s="335"/>
      <c r="BT80" s="336"/>
      <c r="BU80" s="336"/>
      <c r="BV80" s="334">
        <f>IF(BT$53=$D80,BV$75,0)/1000000</f>
        <v>0</v>
      </c>
      <c r="CC80" s="337">
        <f>SUM(BV80,BN80,BF80,AX80,AP80,AH80,Z80,R80,J80)</f>
        <v>0</v>
      </c>
    </row>
    <row r="81" spans="4:81" ht="15.75" customHeight="1" x14ac:dyDescent="0.35">
      <c r="D81" s="326">
        <v>2</v>
      </c>
      <c r="J81" s="334">
        <f>IF(H$53=$D81,J$75,0)/1000000</f>
        <v>0</v>
      </c>
      <c r="K81" s="335"/>
      <c r="L81" s="335"/>
      <c r="M81" s="335"/>
      <c r="N81" s="335"/>
      <c r="O81" s="335"/>
      <c r="P81" s="335"/>
      <c r="Q81" s="335"/>
      <c r="R81" s="334">
        <f>IF(P$53=$D81,R$75,0)/1000000</f>
        <v>0</v>
      </c>
      <c r="S81" s="335"/>
      <c r="T81" s="335"/>
      <c r="U81" s="335"/>
      <c r="V81" s="335"/>
      <c r="W81" s="335"/>
      <c r="X81" s="336"/>
      <c r="Y81" s="336"/>
      <c r="Z81" s="334">
        <f>IF(X$53=$D81,Z$75,0)/1000000</f>
        <v>0</v>
      </c>
      <c r="AA81" s="336"/>
      <c r="AB81" s="336"/>
      <c r="AC81" s="336"/>
      <c r="AD81" s="336"/>
      <c r="AE81" s="336"/>
      <c r="AF81" s="336"/>
      <c r="AG81" s="336"/>
      <c r="AH81" s="334">
        <f>IF(AF$53=$D81,AH$75,0)/1000000</f>
        <v>0</v>
      </c>
      <c r="AI81" s="336"/>
      <c r="AJ81" s="336"/>
      <c r="AK81" s="336"/>
      <c r="AL81" s="336"/>
      <c r="AM81" s="336"/>
      <c r="AN81" s="335"/>
      <c r="AO81" s="335"/>
      <c r="AP81" s="334">
        <f>IF(AN$53=$D81,AP$75,0)/1000000</f>
        <v>0</v>
      </c>
      <c r="AQ81" s="335"/>
      <c r="AR81" s="335"/>
      <c r="AS81" s="335"/>
      <c r="AT81" s="335"/>
      <c r="AU81" s="335"/>
      <c r="AV81" s="335"/>
      <c r="AW81" s="335"/>
      <c r="AX81" s="334">
        <f>IF(AV$53=$D81,AX$75,0)/1000000</f>
        <v>0</v>
      </c>
      <c r="AY81" s="335"/>
      <c r="AZ81" s="335"/>
      <c r="BA81" s="335"/>
      <c r="BB81" s="335"/>
      <c r="BC81" s="335"/>
      <c r="BD81" s="335"/>
      <c r="BE81" s="335"/>
      <c r="BF81" s="334">
        <f>IF(BD$53=$D81,BF$75,0)/1000000</f>
        <v>0</v>
      </c>
      <c r="BG81" s="335"/>
      <c r="BH81" s="335"/>
      <c r="BI81" s="335"/>
      <c r="BJ81" s="335"/>
      <c r="BK81" s="335"/>
      <c r="BL81" s="335"/>
      <c r="BM81" s="335"/>
      <c r="BN81" s="334">
        <f>IF(BL$53=$D81,BN$75,0)/1000000</f>
        <v>0</v>
      </c>
      <c r="BO81" s="335"/>
      <c r="BP81" s="335"/>
      <c r="BQ81" s="335"/>
      <c r="BR81" s="335"/>
      <c r="BS81" s="335"/>
      <c r="BT81" s="336"/>
      <c r="BU81" s="336"/>
      <c r="BV81" s="334">
        <f>IF(BT$53=$D81,BV$75,0)/1000000</f>
        <v>0</v>
      </c>
      <c r="CC81" s="338">
        <f>SUM(BV81,BN81,BF81,AX81,AP81,AH81,Z81,R81,J81)</f>
        <v>0</v>
      </c>
    </row>
    <row r="82" spans="4:81" ht="15.75" customHeight="1" x14ac:dyDescent="0.35">
      <c r="D82" s="326">
        <v>3</v>
      </c>
      <c r="E82" s="282"/>
      <c r="F82" s="282"/>
      <c r="G82" s="282"/>
      <c r="H82" s="282"/>
      <c r="I82" s="282"/>
      <c r="J82" s="334" t="e">
        <f>IF(H$53=$D82,J$75,0)/1000000</f>
        <v>#DIV/0!</v>
      </c>
      <c r="K82" s="339"/>
      <c r="L82" s="339"/>
      <c r="M82" s="339"/>
      <c r="N82" s="339"/>
      <c r="O82" s="339"/>
      <c r="P82" s="339"/>
      <c r="Q82" s="339"/>
      <c r="R82" s="334">
        <f>IF(P$53=$D82,R$75,0)/1000000</f>
        <v>0</v>
      </c>
      <c r="S82" s="339"/>
      <c r="T82" s="339"/>
      <c r="U82" s="339"/>
      <c r="V82" s="339"/>
      <c r="W82" s="339"/>
      <c r="X82" s="340"/>
      <c r="Y82" s="340"/>
      <c r="Z82" s="334">
        <f>IF(X$53=$D82,Z$75,0)/1000000</f>
        <v>0</v>
      </c>
      <c r="AA82" s="340"/>
      <c r="AB82" s="340"/>
      <c r="AC82" s="340"/>
      <c r="AD82" s="340"/>
      <c r="AE82" s="340"/>
      <c r="AF82" s="340"/>
      <c r="AG82" s="340"/>
      <c r="AH82" s="334">
        <f>IF(AF$53=$D82,AH$75,0)/1000000</f>
        <v>0</v>
      </c>
      <c r="AI82" s="340"/>
      <c r="AJ82" s="340"/>
      <c r="AK82" s="340"/>
      <c r="AL82" s="340"/>
      <c r="AM82" s="340"/>
      <c r="AN82" s="339"/>
      <c r="AO82" s="339"/>
      <c r="AP82" s="334">
        <f>IF(AN$53=$D82,AP$75,0)/1000000</f>
        <v>0</v>
      </c>
      <c r="AQ82" s="339"/>
      <c r="AR82" s="339"/>
      <c r="AS82" s="339"/>
      <c r="AT82" s="339"/>
      <c r="AU82" s="339"/>
      <c r="AV82" s="339"/>
      <c r="AW82" s="339"/>
      <c r="AX82" s="334">
        <f>IF(AV$53=$D82,AX$75,0)/1000000</f>
        <v>0</v>
      </c>
      <c r="AY82" s="339"/>
      <c r="AZ82" s="339"/>
      <c r="BA82" s="339"/>
      <c r="BB82" s="339"/>
      <c r="BC82" s="339"/>
      <c r="BD82" s="339"/>
      <c r="BE82" s="339"/>
      <c r="BF82" s="334">
        <f>IF(BD$53=$D82,BF$75,0)/1000000</f>
        <v>0</v>
      </c>
      <c r="BG82" s="339"/>
      <c r="BH82" s="339"/>
      <c r="BI82" s="339"/>
      <c r="BJ82" s="339"/>
      <c r="BK82" s="339"/>
      <c r="BL82" s="339"/>
      <c r="BM82" s="339"/>
      <c r="BN82" s="334">
        <f>IF(BL$53=$D82,BN$75,0)/1000000</f>
        <v>0</v>
      </c>
      <c r="BO82" s="339"/>
      <c r="BP82" s="339"/>
      <c r="BQ82" s="339"/>
      <c r="BR82" s="339"/>
      <c r="BS82" s="339"/>
      <c r="BT82" s="340"/>
      <c r="BU82" s="340"/>
      <c r="BV82" s="334">
        <f>IF(BT$53=$D82,BV$75,0)/1000000</f>
        <v>0</v>
      </c>
      <c r="BW82" s="282"/>
      <c r="BX82" s="282"/>
      <c r="BY82" s="282"/>
      <c r="BZ82" s="282"/>
      <c r="CA82" s="282"/>
      <c r="CB82" s="332"/>
      <c r="CC82" s="338" t="e">
        <f>SUM(BV82,BN82,BF82,AX82,AP82,AH82,Z82,R82,J82)</f>
        <v>#DIV/0!</v>
      </c>
    </row>
    <row r="83" spans="4:81" ht="15.75" customHeight="1" x14ac:dyDescent="0.35"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6"/>
      <c r="Y83" s="336"/>
      <c r="Z83" s="335"/>
      <c r="AA83" s="336"/>
      <c r="AB83" s="336"/>
      <c r="AC83" s="336"/>
      <c r="AD83" s="336"/>
      <c r="AE83" s="336"/>
      <c r="AF83" s="336"/>
      <c r="AG83" s="336"/>
      <c r="AH83" s="335"/>
      <c r="AI83" s="336"/>
      <c r="AJ83" s="336"/>
      <c r="AK83" s="336"/>
      <c r="AL83" s="336"/>
      <c r="AM83" s="336"/>
      <c r="AN83" s="335"/>
      <c r="AO83" s="335"/>
      <c r="AP83" s="335"/>
      <c r="AQ83" s="335"/>
      <c r="AR83" s="335"/>
      <c r="AS83" s="335"/>
      <c r="AT83" s="335"/>
      <c r="AU83" s="335"/>
      <c r="AV83" s="335"/>
      <c r="AW83" s="335"/>
      <c r="AX83" s="335"/>
      <c r="AY83" s="335"/>
      <c r="AZ83" s="335"/>
      <c r="BA83" s="335"/>
      <c r="BB83" s="335"/>
      <c r="BC83" s="335"/>
      <c r="BD83" s="335"/>
      <c r="BE83" s="335"/>
      <c r="BF83" s="335"/>
      <c r="BG83" s="335"/>
      <c r="BH83" s="335"/>
      <c r="BI83" s="335"/>
      <c r="BJ83" s="335"/>
      <c r="BK83" s="335"/>
      <c r="BL83" s="335"/>
      <c r="BM83" s="335"/>
      <c r="BN83" s="335"/>
      <c r="BO83" s="335"/>
      <c r="BP83" s="335"/>
      <c r="BQ83" s="335"/>
      <c r="BR83" s="335"/>
      <c r="BS83" s="335"/>
      <c r="BT83" s="336"/>
      <c r="BU83" s="336"/>
      <c r="BV83" s="335"/>
      <c r="CC83" s="341"/>
    </row>
    <row r="84" spans="4:81" ht="15.75" customHeight="1" x14ac:dyDescent="0.35">
      <c r="D84" s="711" t="s">
        <v>240</v>
      </c>
      <c r="E84" s="282"/>
      <c r="F84" s="282"/>
      <c r="G84" s="282"/>
      <c r="H84" s="282"/>
      <c r="I84" s="282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40"/>
      <c r="Y84" s="340"/>
      <c r="Z84" s="339"/>
      <c r="AA84" s="340"/>
      <c r="AB84" s="340"/>
      <c r="AC84" s="340"/>
      <c r="AD84" s="340"/>
      <c r="AE84" s="340"/>
      <c r="AF84" s="340"/>
      <c r="AG84" s="340"/>
      <c r="AH84" s="339"/>
      <c r="AI84" s="340"/>
      <c r="AJ84" s="340"/>
      <c r="AK84" s="340"/>
      <c r="AL84" s="340"/>
      <c r="AM84" s="340"/>
      <c r="AN84" s="339"/>
      <c r="AO84" s="339"/>
      <c r="AP84" s="339"/>
      <c r="AQ84" s="339"/>
      <c r="AR84" s="339"/>
      <c r="AS84" s="339"/>
      <c r="AT84" s="339"/>
      <c r="AU84" s="339"/>
      <c r="AV84" s="339"/>
      <c r="AW84" s="339"/>
      <c r="AX84" s="339"/>
      <c r="AY84" s="339"/>
      <c r="AZ84" s="339"/>
      <c r="BA84" s="339"/>
      <c r="BB84" s="339"/>
      <c r="BC84" s="339"/>
      <c r="BD84" s="339"/>
      <c r="BE84" s="339"/>
      <c r="BF84" s="339"/>
      <c r="BG84" s="339"/>
      <c r="BH84" s="339"/>
      <c r="BI84" s="339"/>
      <c r="BJ84" s="339"/>
      <c r="BK84" s="339"/>
      <c r="BL84" s="339"/>
      <c r="BM84" s="339"/>
      <c r="BN84" s="339"/>
      <c r="BO84" s="339"/>
      <c r="BP84" s="339"/>
      <c r="BQ84" s="339"/>
      <c r="BR84" s="339"/>
      <c r="BS84" s="339"/>
      <c r="BT84" s="340"/>
      <c r="BU84" s="340"/>
      <c r="BV84" s="339"/>
      <c r="BW84" s="282"/>
      <c r="BX84" s="282"/>
      <c r="BY84" s="282"/>
      <c r="BZ84" s="282"/>
      <c r="CA84" s="282"/>
      <c r="CB84" s="332"/>
      <c r="CC84" s="342"/>
    </row>
    <row r="85" spans="4:81" ht="15.75" customHeight="1" x14ac:dyDescent="0.35">
      <c r="D85" s="333">
        <v>1</v>
      </c>
      <c r="J85" s="334">
        <f>IF(H$53=$D85,J$55,0)/1000000</f>
        <v>0</v>
      </c>
      <c r="K85" s="335"/>
      <c r="L85" s="335"/>
      <c r="M85" s="335"/>
      <c r="N85" s="335"/>
      <c r="O85" s="335"/>
      <c r="P85" s="335"/>
      <c r="Q85" s="335"/>
      <c r="R85" s="334">
        <f>IF(P$53=$D85,R$55,0)/1000000</f>
        <v>0</v>
      </c>
      <c r="S85" s="335"/>
      <c r="T85" s="335"/>
      <c r="U85" s="335"/>
      <c r="V85" s="335"/>
      <c r="W85" s="335"/>
      <c r="X85" s="336"/>
      <c r="Y85" s="336"/>
      <c r="Z85" s="334">
        <f>IF(X$53=$D85,Z$55,0)/1000000</f>
        <v>0</v>
      </c>
      <c r="AA85" s="336"/>
      <c r="AB85" s="336"/>
      <c r="AC85" s="336"/>
      <c r="AD85" s="336"/>
      <c r="AE85" s="336"/>
      <c r="AF85" s="336"/>
      <c r="AG85" s="336"/>
      <c r="AH85" s="334">
        <f>IF(AF$53=$D85,AH$55,0)/1000000</f>
        <v>0</v>
      </c>
      <c r="AI85" s="336"/>
      <c r="AJ85" s="336"/>
      <c r="AK85" s="336"/>
      <c r="AL85" s="336"/>
      <c r="AM85" s="336"/>
      <c r="AN85" s="335"/>
      <c r="AO85" s="335"/>
      <c r="AP85" s="334">
        <f>IF(AN$53=$D85,AP$55,0)/1000000</f>
        <v>0</v>
      </c>
      <c r="AQ85" s="335"/>
      <c r="AR85" s="335"/>
      <c r="AS85" s="335"/>
      <c r="AT85" s="335"/>
      <c r="AU85" s="335"/>
      <c r="AV85" s="335"/>
      <c r="AW85" s="335"/>
      <c r="AX85" s="334">
        <f>IF(AV$53=$D85,AX$55,0)/1000000</f>
        <v>0</v>
      </c>
      <c r="AY85" s="335"/>
      <c r="AZ85" s="335"/>
      <c r="BA85" s="335"/>
      <c r="BB85" s="335"/>
      <c r="BC85" s="335"/>
      <c r="BD85" s="335"/>
      <c r="BE85" s="335"/>
      <c r="BF85" s="334">
        <f>IF(BD$53=$D85,BF$55,0)/1000000</f>
        <v>0</v>
      </c>
      <c r="BG85" s="335"/>
      <c r="BH85" s="335"/>
      <c r="BI85" s="335"/>
      <c r="BJ85" s="335"/>
      <c r="BK85" s="335"/>
      <c r="BL85" s="335"/>
      <c r="BM85" s="335"/>
      <c r="BN85" s="334">
        <f>IF(BL$53=$D85,BN$55,0)/1000000</f>
        <v>0</v>
      </c>
      <c r="BO85" s="335"/>
      <c r="BP85" s="335"/>
      <c r="BQ85" s="335"/>
      <c r="BR85" s="335"/>
      <c r="BS85" s="335"/>
      <c r="BT85" s="336"/>
      <c r="BU85" s="336"/>
      <c r="BV85" s="334">
        <f>IF(BT$53=$D85,BV$55,0)/1000000</f>
        <v>0</v>
      </c>
      <c r="CC85" s="338">
        <f>SUM(BV85,BN85,BF85,AX85,AP85,AH85,Z85,R85,J85)</f>
        <v>0</v>
      </c>
    </row>
    <row r="86" spans="4:81" ht="15.75" customHeight="1" x14ac:dyDescent="0.35">
      <c r="D86" s="326">
        <v>2</v>
      </c>
      <c r="J86" s="334">
        <f>IF(H$53=$D86,J$55,0)/1000000</f>
        <v>0</v>
      </c>
      <c r="K86" s="335"/>
      <c r="L86" s="335"/>
      <c r="M86" s="335"/>
      <c r="N86" s="335"/>
      <c r="O86" s="335"/>
      <c r="P86" s="335"/>
      <c r="Q86" s="335"/>
      <c r="R86" s="334">
        <f>IF(P$53=$D86,R$55,0)/1000000</f>
        <v>0</v>
      </c>
      <c r="S86" s="335"/>
      <c r="T86" s="335"/>
      <c r="U86" s="335"/>
      <c r="V86" s="335"/>
      <c r="W86" s="335"/>
      <c r="X86" s="336"/>
      <c r="Y86" s="336"/>
      <c r="Z86" s="334">
        <f>IF(X$53=$D86,Z$55,0)/1000000</f>
        <v>0</v>
      </c>
      <c r="AA86" s="336"/>
      <c r="AB86" s="336"/>
      <c r="AC86" s="336"/>
      <c r="AD86" s="336"/>
      <c r="AE86" s="336"/>
      <c r="AF86" s="336"/>
      <c r="AG86" s="336"/>
      <c r="AH86" s="334">
        <f>IF(AF$53=$D86,AH$55,0)/1000000</f>
        <v>0</v>
      </c>
      <c r="AI86" s="336"/>
      <c r="AJ86" s="336"/>
      <c r="AK86" s="336"/>
      <c r="AL86" s="336"/>
      <c r="AM86" s="336"/>
      <c r="AN86" s="335"/>
      <c r="AO86" s="335"/>
      <c r="AP86" s="334">
        <f>IF(AN$53=$D86,AP$55,0)/1000000</f>
        <v>0</v>
      </c>
      <c r="AQ86" s="335"/>
      <c r="AR86" s="335"/>
      <c r="AS86" s="335"/>
      <c r="AT86" s="335"/>
      <c r="AU86" s="335"/>
      <c r="AV86" s="335"/>
      <c r="AW86" s="335"/>
      <c r="AX86" s="334">
        <f>IF(AV$53=$D86,AX$55,0)/1000000</f>
        <v>0</v>
      </c>
      <c r="AY86" s="335"/>
      <c r="AZ86" s="335"/>
      <c r="BA86" s="335"/>
      <c r="BB86" s="335"/>
      <c r="BC86" s="335"/>
      <c r="BD86" s="335"/>
      <c r="BE86" s="335"/>
      <c r="BF86" s="334">
        <f>IF(BD$53=$D86,BF$55,0)/1000000</f>
        <v>0</v>
      </c>
      <c r="BG86" s="335"/>
      <c r="BH86" s="335"/>
      <c r="BI86" s="335"/>
      <c r="BJ86" s="335"/>
      <c r="BK86" s="335"/>
      <c r="BL86" s="335"/>
      <c r="BM86" s="335"/>
      <c r="BN86" s="334">
        <f>IF(BL$53=$D86,BN$55,0)/1000000</f>
        <v>0</v>
      </c>
      <c r="BO86" s="335"/>
      <c r="BP86" s="335"/>
      <c r="BQ86" s="335"/>
      <c r="BR86" s="335"/>
      <c r="BS86" s="335"/>
      <c r="BT86" s="336"/>
      <c r="BU86" s="336"/>
      <c r="BV86" s="334">
        <f>IF(BT$53=$D86,BV$55,0)/1000000</f>
        <v>0</v>
      </c>
      <c r="CC86" s="338">
        <f>SUM(BV86,BN86,BF86,AX86,AP86,AH86,Z86,R86,J86)</f>
        <v>0</v>
      </c>
    </row>
    <row r="87" spans="4:81" ht="15.75" customHeight="1" thickBot="1" x14ac:dyDescent="0.4">
      <c r="D87" s="326">
        <v>3</v>
      </c>
      <c r="E87" s="282"/>
      <c r="F87" s="282"/>
      <c r="G87" s="282"/>
      <c r="H87" s="282"/>
      <c r="I87" s="282"/>
      <c r="J87" s="334" t="e">
        <f>IF(H$53=$D87,J$55,0)/1000000</f>
        <v>#DIV/0!</v>
      </c>
      <c r="K87" s="339"/>
      <c r="L87" s="339"/>
      <c r="M87" s="339"/>
      <c r="N87" s="339"/>
      <c r="O87" s="339"/>
      <c r="P87" s="339"/>
      <c r="Q87" s="339"/>
      <c r="R87" s="334">
        <f>IF(P$53=$D87,R$55,0)/1000000</f>
        <v>0</v>
      </c>
      <c r="S87" s="339"/>
      <c r="T87" s="339"/>
      <c r="U87" s="339"/>
      <c r="V87" s="339"/>
      <c r="W87" s="339"/>
      <c r="X87" s="340"/>
      <c r="Y87" s="340"/>
      <c r="Z87" s="334">
        <f>IF(X$53=$D87,Z$55,0)/1000000</f>
        <v>0</v>
      </c>
      <c r="AA87" s="340"/>
      <c r="AB87" s="340"/>
      <c r="AC87" s="340"/>
      <c r="AD87" s="340"/>
      <c r="AE87" s="340"/>
      <c r="AF87" s="340"/>
      <c r="AG87" s="340"/>
      <c r="AH87" s="334">
        <f>IF(AF$53=$D87,AH$55,0)/1000000</f>
        <v>0</v>
      </c>
      <c r="AI87" s="340"/>
      <c r="AJ87" s="340"/>
      <c r="AK87" s="340"/>
      <c r="AL87" s="340"/>
      <c r="AM87" s="340"/>
      <c r="AN87" s="339"/>
      <c r="AO87" s="339"/>
      <c r="AP87" s="334">
        <f>IF(AN$53=$D87,AP$55,0)/1000000</f>
        <v>0</v>
      </c>
      <c r="AQ87" s="339"/>
      <c r="AR87" s="339"/>
      <c r="AS87" s="339"/>
      <c r="AT87" s="339"/>
      <c r="AU87" s="339"/>
      <c r="AV87" s="339"/>
      <c r="AW87" s="339"/>
      <c r="AX87" s="334">
        <f>IF(AV$53=$D87,AX$55,0)/1000000</f>
        <v>0</v>
      </c>
      <c r="AY87" s="339"/>
      <c r="AZ87" s="339"/>
      <c r="BA87" s="339"/>
      <c r="BB87" s="339"/>
      <c r="BC87" s="339"/>
      <c r="BD87" s="339"/>
      <c r="BE87" s="339"/>
      <c r="BF87" s="334">
        <f>IF(BD$53=$D87,BF$55,0)/1000000</f>
        <v>0</v>
      </c>
      <c r="BG87" s="339"/>
      <c r="BH87" s="339"/>
      <c r="BI87" s="339"/>
      <c r="BJ87" s="339"/>
      <c r="BK87" s="339"/>
      <c r="BL87" s="339"/>
      <c r="BM87" s="339"/>
      <c r="BN87" s="334">
        <f>IF(BL$53=$D87,BN$55,0)/1000000</f>
        <v>0</v>
      </c>
      <c r="BO87" s="339"/>
      <c r="BP87" s="339"/>
      <c r="BQ87" s="339"/>
      <c r="BR87" s="339"/>
      <c r="BS87" s="339"/>
      <c r="BT87" s="340"/>
      <c r="BU87" s="340"/>
      <c r="BV87" s="334">
        <f>IF(BT$53=$D87,BV$55,0)/1000000</f>
        <v>0</v>
      </c>
      <c r="BW87" s="282"/>
      <c r="BX87" s="282"/>
      <c r="BY87" s="282"/>
      <c r="BZ87" s="282"/>
      <c r="CA87" s="282"/>
      <c r="CB87" s="332"/>
      <c r="CC87" s="343" t="e">
        <f>SUM(BV87,BN87,BF87,AX87,AP87,AH87,Z87,R87,J87)</f>
        <v>#DIV/0!</v>
      </c>
    </row>
  </sheetData>
  <mergeCells count="47">
    <mergeCell ref="E11:F11"/>
    <mergeCell ref="E6:F6"/>
    <mergeCell ref="E7:F7"/>
    <mergeCell ref="E8:F8"/>
    <mergeCell ref="E9:F9"/>
    <mergeCell ref="E10:F10"/>
    <mergeCell ref="BD13:BK13"/>
    <mergeCell ref="BL13:BS13"/>
    <mergeCell ref="BT13:CA13"/>
    <mergeCell ref="H14:O14"/>
    <mergeCell ref="P14:W14"/>
    <mergeCell ref="X14:AE14"/>
    <mergeCell ref="AF14:AM14"/>
    <mergeCell ref="AN14:AU14"/>
    <mergeCell ref="AV14:BC14"/>
    <mergeCell ref="BD14:BK14"/>
    <mergeCell ref="H13:O13"/>
    <mergeCell ref="P13:W13"/>
    <mergeCell ref="X13:AE13"/>
    <mergeCell ref="AF13:AM13"/>
    <mergeCell ref="AN13:AU13"/>
    <mergeCell ref="AV13:BC13"/>
    <mergeCell ref="BL14:BS14"/>
    <mergeCell ref="BT14:CA14"/>
    <mergeCell ref="H41:J41"/>
    <mergeCell ref="P41:R41"/>
    <mergeCell ref="X41:Z41"/>
    <mergeCell ref="AF41:AH41"/>
    <mergeCell ref="AN41:AP41"/>
    <mergeCell ref="AV41:AX41"/>
    <mergeCell ref="BD41:BF41"/>
    <mergeCell ref="BL41:BN41"/>
    <mergeCell ref="BT41:BV41"/>
    <mergeCell ref="F44:G44"/>
    <mergeCell ref="F45:G45"/>
    <mergeCell ref="F46:G46"/>
    <mergeCell ref="F47:G47"/>
    <mergeCell ref="BD76:BF76"/>
    <mergeCell ref="H49:I49"/>
    <mergeCell ref="BL76:BN76"/>
    <mergeCell ref="BT76:BV76"/>
    <mergeCell ref="H76:J76"/>
    <mergeCell ref="P76:R76"/>
    <mergeCell ref="X76:Z76"/>
    <mergeCell ref="AF76:AH76"/>
    <mergeCell ref="AN76:AP76"/>
    <mergeCell ref="AV76:AX76"/>
  </mergeCells>
  <conditionalFormatting sqref="A47:C47 F47 CB47:XFD47">
    <cfRule type="containsText" dxfId="93" priority="55" operator="containsText" text="double check">
      <formula>NOT(ISERROR(SEARCH("double check",A47)))</formula>
    </cfRule>
  </conditionalFormatting>
  <conditionalFormatting sqref="D11:G11">
    <cfRule type="containsText" dxfId="92" priority="72" operator="containsText" text="review">
      <formula>NOT(ISERROR(SEARCH("review",D11)))</formula>
    </cfRule>
  </conditionalFormatting>
  <conditionalFormatting sqref="H41:H43">
    <cfRule type="containsText" dxfId="91" priority="62" operator="containsText" text="Check">
      <formula>NOT(ISERROR(SEARCH("Check",H41)))</formula>
    </cfRule>
  </conditionalFormatting>
  <conditionalFormatting sqref="H76">
    <cfRule type="containsText" dxfId="90" priority="71" operator="containsText" text="Check">
      <formula>NOT(ISERROR(SEARCH("Check",H76)))</formula>
    </cfRule>
  </conditionalFormatting>
  <conditionalFormatting sqref="H47:AF47">
    <cfRule type="containsText" dxfId="89" priority="14" operator="containsText" text="double check">
      <formula>NOT(ISERROR(SEARCH("double check",H47)))</formula>
    </cfRule>
  </conditionalFormatting>
  <conditionalFormatting sqref="K43:M43">
    <cfRule type="containsText" dxfId="88" priority="17" operator="containsText" text="double check">
      <formula>NOT(ISERROR(SEARCH("double check",K43)))</formula>
    </cfRule>
  </conditionalFormatting>
  <conditionalFormatting sqref="P41:P43">
    <cfRule type="containsText" dxfId="87" priority="24" operator="containsText" text="Check">
      <formula>NOT(ISERROR(SEARCH("Check",P41)))</formula>
    </cfRule>
  </conditionalFormatting>
  <conditionalFormatting sqref="P76">
    <cfRule type="containsText" dxfId="86" priority="70" operator="containsText" text="Check">
      <formula>NOT(ISERROR(SEARCH("Check",P76)))</formula>
    </cfRule>
  </conditionalFormatting>
  <conditionalFormatting sqref="S43:U43">
    <cfRule type="containsText" dxfId="85" priority="15" operator="containsText" text="double check">
      <formula>NOT(ISERROR(SEARCH("double check",S43)))</formula>
    </cfRule>
  </conditionalFormatting>
  <conditionalFormatting sqref="X41:X43">
    <cfRule type="containsText" dxfId="84" priority="23" operator="containsText" text="Check">
      <formula>NOT(ISERROR(SEARCH("Check",X41)))</formula>
    </cfRule>
  </conditionalFormatting>
  <conditionalFormatting sqref="X76">
    <cfRule type="containsText" dxfId="83" priority="69" operator="containsText" text="Check">
      <formula>NOT(ISERROR(SEARCH("Check",X76)))</formula>
    </cfRule>
  </conditionalFormatting>
  <conditionalFormatting sqref="AA43:AC43">
    <cfRule type="containsText" dxfId="82" priority="13" operator="containsText" text="double check">
      <formula>NOT(ISERROR(SEARCH("double check",AA43)))</formula>
    </cfRule>
  </conditionalFormatting>
  <conditionalFormatting sqref="AF41:AF43">
    <cfRule type="containsText" dxfId="81" priority="22" operator="containsText" text="Check">
      <formula>NOT(ISERROR(SEARCH("Check",AF41)))</formula>
    </cfRule>
  </conditionalFormatting>
  <conditionalFormatting sqref="AF76">
    <cfRule type="containsText" dxfId="80" priority="68" operator="containsText" text="Check">
      <formula>NOT(ISERROR(SEARCH("Check",AF76)))</formula>
    </cfRule>
  </conditionalFormatting>
  <conditionalFormatting sqref="AG47:AH47">
    <cfRule type="containsText" dxfId="79" priority="54" operator="containsText" text="review">
      <formula>NOT(ISERROR(SEARCH("review",AG47)))</formula>
    </cfRule>
  </conditionalFormatting>
  <conditionalFormatting sqref="AI43:AK43">
    <cfRule type="containsText" dxfId="78" priority="11" operator="containsText" text="double check">
      <formula>NOT(ISERROR(SEARCH("double check",AI43)))</formula>
    </cfRule>
  </conditionalFormatting>
  <conditionalFormatting sqref="AI47:AN47">
    <cfRule type="containsText" dxfId="77" priority="12" operator="containsText" text="double check">
      <formula>NOT(ISERROR(SEARCH("double check",AI47)))</formula>
    </cfRule>
  </conditionalFormatting>
  <conditionalFormatting sqref="AN41:AN43">
    <cfRule type="containsText" dxfId="76" priority="21" operator="containsText" text="Check">
      <formula>NOT(ISERROR(SEARCH("Check",AN41)))</formula>
    </cfRule>
  </conditionalFormatting>
  <conditionalFormatting sqref="AN76">
    <cfRule type="containsText" dxfId="75" priority="67" operator="containsText" text="Check">
      <formula>NOT(ISERROR(SEARCH("Check",AN76)))</formula>
    </cfRule>
  </conditionalFormatting>
  <conditionalFormatting sqref="AO47:AP47">
    <cfRule type="containsText" dxfId="74" priority="50" operator="containsText" text="review">
      <formula>NOT(ISERROR(SEARCH("review",AO47)))</formula>
    </cfRule>
  </conditionalFormatting>
  <conditionalFormatting sqref="AQ43:AS43">
    <cfRule type="containsText" dxfId="73" priority="9" operator="containsText" text="double check">
      <formula>NOT(ISERROR(SEARCH("double check",AQ43)))</formula>
    </cfRule>
  </conditionalFormatting>
  <conditionalFormatting sqref="AQ47:AS47">
    <cfRule type="containsText" dxfId="72" priority="10" operator="containsText" text="double check">
      <formula>NOT(ISERROR(SEARCH("double check",AQ47)))</formula>
    </cfRule>
  </conditionalFormatting>
  <conditionalFormatting sqref="AT47:AU47">
    <cfRule type="containsText" dxfId="71" priority="51" operator="containsText" text="review">
      <formula>NOT(ISERROR(SEARCH("review",AT47)))</formula>
    </cfRule>
  </conditionalFormatting>
  <conditionalFormatting sqref="AV41:AV43">
    <cfRule type="containsText" dxfId="70" priority="20" operator="containsText" text="Check">
      <formula>NOT(ISERROR(SEARCH("Check",AV41)))</formula>
    </cfRule>
  </conditionalFormatting>
  <conditionalFormatting sqref="AV47">
    <cfRule type="containsText" dxfId="69" priority="28" operator="containsText" text="double check">
      <formula>NOT(ISERROR(SEARCH("double check",AV47)))</formula>
    </cfRule>
  </conditionalFormatting>
  <conditionalFormatting sqref="AV76">
    <cfRule type="containsText" dxfId="68" priority="66" operator="containsText" text="Check">
      <formula>NOT(ISERROR(SEARCH("Check",AV76)))</formula>
    </cfRule>
  </conditionalFormatting>
  <conditionalFormatting sqref="AW47:AX47">
    <cfRule type="containsText" dxfId="67" priority="46" operator="containsText" text="review">
      <formula>NOT(ISERROR(SEARCH("review",AW47)))</formula>
    </cfRule>
  </conditionalFormatting>
  <conditionalFormatting sqref="AY43:BA43">
    <cfRule type="containsText" dxfId="66" priority="7" operator="containsText" text="double check">
      <formula>NOT(ISERROR(SEARCH("double check",AY43)))</formula>
    </cfRule>
  </conditionalFormatting>
  <conditionalFormatting sqref="AY47:BA47">
    <cfRule type="containsText" dxfId="65" priority="8" operator="containsText" text="double check">
      <formula>NOT(ISERROR(SEARCH("double check",AY47)))</formula>
    </cfRule>
  </conditionalFormatting>
  <conditionalFormatting sqref="BB47:BC47">
    <cfRule type="containsText" dxfId="64" priority="47" operator="containsText" text="review">
      <formula>NOT(ISERROR(SEARCH("review",BB47)))</formula>
    </cfRule>
  </conditionalFormatting>
  <conditionalFormatting sqref="BD41:BD43">
    <cfRule type="containsText" dxfId="63" priority="19" operator="containsText" text="Check">
      <formula>NOT(ISERROR(SEARCH("Check",BD41)))</formula>
    </cfRule>
  </conditionalFormatting>
  <conditionalFormatting sqref="BD47">
    <cfRule type="containsText" dxfId="62" priority="27" operator="containsText" text="double check">
      <formula>NOT(ISERROR(SEARCH("double check",BD47)))</formula>
    </cfRule>
  </conditionalFormatting>
  <conditionalFormatting sqref="BD76">
    <cfRule type="containsText" dxfId="61" priority="65" operator="containsText" text="Check">
      <formula>NOT(ISERROR(SEARCH("Check",BD76)))</formula>
    </cfRule>
  </conditionalFormatting>
  <conditionalFormatting sqref="BE47:BF47">
    <cfRule type="containsText" dxfId="60" priority="42" operator="containsText" text="review">
      <formula>NOT(ISERROR(SEARCH("review",BE47)))</formula>
    </cfRule>
  </conditionalFormatting>
  <conditionalFormatting sqref="BG43:BI43">
    <cfRule type="containsText" dxfId="59" priority="5" operator="containsText" text="double check">
      <formula>NOT(ISERROR(SEARCH("double check",BG43)))</formula>
    </cfRule>
  </conditionalFormatting>
  <conditionalFormatting sqref="BG47:BI47">
    <cfRule type="containsText" dxfId="58" priority="6" operator="containsText" text="double check">
      <formula>NOT(ISERROR(SEARCH("double check",BG47)))</formula>
    </cfRule>
  </conditionalFormatting>
  <conditionalFormatting sqref="BJ47:BK47">
    <cfRule type="containsText" dxfId="57" priority="43" operator="containsText" text="review">
      <formula>NOT(ISERROR(SEARCH("review",BJ47)))</formula>
    </cfRule>
  </conditionalFormatting>
  <conditionalFormatting sqref="BL41:BL43">
    <cfRule type="containsText" dxfId="56" priority="18" operator="containsText" text="Check">
      <formula>NOT(ISERROR(SEARCH("Check",BL41)))</formula>
    </cfRule>
  </conditionalFormatting>
  <conditionalFormatting sqref="BL47">
    <cfRule type="containsText" dxfId="55" priority="26" operator="containsText" text="double check">
      <formula>NOT(ISERROR(SEARCH("double check",BL47)))</formula>
    </cfRule>
  </conditionalFormatting>
  <conditionalFormatting sqref="BL76">
    <cfRule type="containsText" dxfId="54" priority="64" operator="containsText" text="Check">
      <formula>NOT(ISERROR(SEARCH("Check",BL76)))</formula>
    </cfRule>
  </conditionalFormatting>
  <conditionalFormatting sqref="BM47:BN47">
    <cfRule type="containsText" dxfId="53" priority="38" operator="containsText" text="review">
      <formula>NOT(ISERROR(SEARCH("review",BM47)))</formula>
    </cfRule>
  </conditionalFormatting>
  <conditionalFormatting sqref="BO43:BQ43">
    <cfRule type="containsText" dxfId="52" priority="3" operator="containsText" text="double check">
      <formula>NOT(ISERROR(SEARCH("double check",BO43)))</formula>
    </cfRule>
  </conditionalFormatting>
  <conditionalFormatting sqref="BO47:BQ47">
    <cfRule type="containsText" dxfId="51" priority="4" operator="containsText" text="double check">
      <formula>NOT(ISERROR(SEARCH("double check",BO47)))</formula>
    </cfRule>
  </conditionalFormatting>
  <conditionalFormatting sqref="BR47:BS47">
    <cfRule type="containsText" dxfId="50" priority="39" operator="containsText" text="review">
      <formula>NOT(ISERROR(SEARCH("review",BR47)))</formula>
    </cfRule>
  </conditionalFormatting>
  <conditionalFormatting sqref="BT41:BT43">
    <cfRule type="containsText" dxfId="49" priority="33" operator="containsText" text="Check">
      <formula>NOT(ISERROR(SEARCH("Check",BT41)))</formula>
    </cfRule>
  </conditionalFormatting>
  <conditionalFormatting sqref="BT47">
    <cfRule type="containsText" dxfId="48" priority="25" operator="containsText" text="double check">
      <formula>NOT(ISERROR(SEARCH("double check",BT47)))</formula>
    </cfRule>
  </conditionalFormatting>
  <conditionalFormatting sqref="BT76">
    <cfRule type="containsText" dxfId="47" priority="63" operator="containsText" text="Check">
      <formula>NOT(ISERROR(SEARCH("Check",BT76)))</formula>
    </cfRule>
  </conditionalFormatting>
  <conditionalFormatting sqref="BU47:BV47">
    <cfRule type="containsText" dxfId="46" priority="34" operator="containsText" text="review">
      <formula>NOT(ISERROR(SEARCH("review",BU47)))</formula>
    </cfRule>
  </conditionalFormatting>
  <conditionalFormatting sqref="BW43:BY43">
    <cfRule type="containsText" dxfId="45" priority="1" operator="containsText" text="double check">
      <formula>NOT(ISERROR(SEARCH("double check",BW43)))</formula>
    </cfRule>
  </conditionalFormatting>
  <conditionalFormatting sqref="BW47:BY47">
    <cfRule type="containsText" dxfId="44" priority="2" operator="containsText" text="double check">
      <formula>NOT(ISERROR(SEARCH("double check",BW47)))</formula>
    </cfRule>
  </conditionalFormatting>
  <conditionalFormatting sqref="BZ47:CA47">
    <cfRule type="containsText" dxfId="43" priority="35" operator="containsText" text="review">
      <formula>NOT(ISERROR(SEARCH("review",BZ47)))</formula>
    </cfRule>
  </conditionalFormatting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FFE7-30B2-4E38-A618-DD777725A6FA}">
  <dimension ref="A1:CG87"/>
  <sheetViews>
    <sheetView zoomScale="85" zoomScaleNormal="85" workbookViewId="0">
      <selection activeCell="H34" sqref="H34"/>
    </sheetView>
  </sheetViews>
  <sheetFormatPr defaultColWidth="8.7265625" defaultRowHeight="15.5" x14ac:dyDescent="0.35"/>
  <cols>
    <col min="1" max="1" width="0.81640625" style="181" customWidth="1"/>
    <col min="2" max="2" width="1" style="181" customWidth="1"/>
    <col min="3" max="3" width="3.7265625" style="191" customWidth="1"/>
    <col min="4" max="4" width="37.1796875" style="191" customWidth="1"/>
    <col min="5" max="7" width="13.81640625" style="191" customWidth="1"/>
    <col min="8" max="8" width="16.453125" style="191" customWidth="1"/>
    <col min="9" max="10" width="13.81640625" style="191" customWidth="1"/>
    <col min="11" max="11" width="13.81640625" style="191" hidden="1" customWidth="1"/>
    <col min="12" max="12" width="16.1796875" style="191" hidden="1" customWidth="1"/>
    <col min="13" max="15" width="13.81640625" style="191" hidden="1" customWidth="1"/>
    <col min="16" max="16" width="16.453125" style="191" customWidth="1"/>
    <col min="17" max="18" width="13.81640625" style="191" customWidth="1"/>
    <col min="19" max="19" width="13.81640625" style="191" hidden="1" customWidth="1"/>
    <col min="20" max="20" width="16.1796875" style="191" hidden="1" customWidth="1"/>
    <col min="21" max="23" width="13.81640625" style="191" hidden="1" customWidth="1"/>
    <col min="24" max="24" width="16.453125" style="191" customWidth="1"/>
    <col min="25" max="26" width="13.81640625" style="191" customWidth="1"/>
    <col min="27" max="27" width="13.81640625" style="191" hidden="1" customWidth="1"/>
    <col min="28" max="28" width="16.1796875" style="191" hidden="1" customWidth="1"/>
    <col min="29" max="31" width="13.81640625" style="191" hidden="1" customWidth="1"/>
    <col min="32" max="32" width="16.453125" style="191" customWidth="1"/>
    <col min="33" max="34" width="13.81640625" style="191" customWidth="1"/>
    <col min="35" max="35" width="13.81640625" style="191" hidden="1" customWidth="1"/>
    <col min="36" max="36" width="16.1796875" style="191" hidden="1" customWidth="1"/>
    <col min="37" max="39" width="13.81640625" style="191" hidden="1" customWidth="1"/>
    <col min="40" max="40" width="16.453125" style="191" customWidth="1"/>
    <col min="41" max="42" width="13.81640625" style="191" customWidth="1"/>
    <col min="43" max="43" width="13.81640625" style="191" hidden="1" customWidth="1"/>
    <col min="44" max="44" width="16.1796875" style="191" hidden="1" customWidth="1"/>
    <col min="45" max="47" width="13.81640625" style="191" hidden="1" customWidth="1"/>
    <col min="48" max="48" width="16.453125" style="191" customWidth="1"/>
    <col min="49" max="50" width="13.81640625" style="191" customWidth="1"/>
    <col min="51" max="51" width="13.81640625" style="191" hidden="1" customWidth="1"/>
    <col min="52" max="52" width="16.1796875" style="191" hidden="1" customWidth="1"/>
    <col min="53" max="55" width="13.81640625" style="191" hidden="1" customWidth="1"/>
    <col min="56" max="56" width="16.453125" style="191" customWidth="1"/>
    <col min="57" max="58" width="13.81640625" style="191" customWidth="1"/>
    <col min="59" max="59" width="13.81640625" style="191" hidden="1" customWidth="1"/>
    <col min="60" max="60" width="16.1796875" style="191" hidden="1" customWidth="1"/>
    <col min="61" max="63" width="13.81640625" style="191" hidden="1" customWidth="1"/>
    <col min="64" max="64" width="16.453125" style="191" customWidth="1"/>
    <col min="65" max="66" width="13.81640625" style="191" customWidth="1"/>
    <col min="67" max="67" width="13.81640625" style="191" hidden="1" customWidth="1"/>
    <col min="68" max="68" width="16.1796875" style="191" hidden="1" customWidth="1"/>
    <col min="69" max="71" width="13.81640625" style="191" hidden="1" customWidth="1"/>
    <col min="72" max="72" width="16.453125" style="191" customWidth="1"/>
    <col min="73" max="74" width="13.81640625" style="191" customWidth="1"/>
    <col min="75" max="75" width="13.81640625" style="191" hidden="1" customWidth="1"/>
    <col min="76" max="76" width="16.1796875" style="191" hidden="1" customWidth="1"/>
    <col min="77" max="78" width="13.81640625" style="191" hidden="1" customWidth="1"/>
    <col min="79" max="79" width="14" style="191" hidden="1" customWidth="1"/>
    <col min="80" max="80" width="1.26953125" style="181" customWidth="1"/>
    <col min="81" max="81" width="13.81640625" style="191" customWidth="1"/>
    <col min="82" max="83" width="1.26953125" style="181" customWidth="1"/>
    <col min="84" max="16384" width="8.7265625" style="191"/>
  </cols>
  <sheetData>
    <row r="1" spans="1:83" s="181" customFormat="1" ht="7.5" customHeight="1" x14ac:dyDescent="0.35">
      <c r="A1" s="178"/>
      <c r="B1" s="178"/>
      <c r="C1" s="179"/>
      <c r="D1" s="180"/>
      <c r="E1" s="180"/>
      <c r="F1" s="180"/>
      <c r="G1" s="180"/>
      <c r="H1" s="180"/>
      <c r="I1" s="180"/>
      <c r="K1" s="180"/>
      <c r="L1" s="180"/>
      <c r="O1" s="180"/>
      <c r="P1" s="180"/>
      <c r="Q1" s="180"/>
      <c r="R1" s="180"/>
      <c r="T1" s="180"/>
      <c r="Y1" s="180"/>
      <c r="CB1" s="180"/>
      <c r="CD1" s="180"/>
      <c r="CE1" s="180"/>
    </row>
    <row r="2" spans="1:83" s="186" customFormat="1" ht="21.5" thickBot="1" x14ac:dyDescent="0.55000000000000004">
      <c r="A2" s="182"/>
      <c r="B2" s="182"/>
      <c r="C2" s="183" t="str">
        <f xml:space="preserve"> "Project " &amp; 'Master Inputs'!D8 &amp; " - Capitalization Table"</f>
        <v>Project MODEL - Capitalization Table</v>
      </c>
      <c r="D2" s="18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4"/>
      <c r="W2" s="184"/>
      <c r="X2" s="184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2"/>
      <c r="CC2" s="185"/>
      <c r="CD2" s="182"/>
      <c r="CE2" s="182"/>
    </row>
    <row r="3" spans="1:83" s="26" customFormat="1" x14ac:dyDescent="0.35">
      <c r="C3" s="27" t="s">
        <v>18</v>
      </c>
      <c r="Q3" s="187" t="str">
        <f>K6</f>
        <v>Seed</v>
      </c>
    </row>
    <row r="4" spans="1:83" s="181" customFormat="1" ht="8.15" customHeight="1" x14ac:dyDescent="0.35">
      <c r="A4" s="180"/>
      <c r="B4" s="180"/>
      <c r="C4" s="179"/>
      <c r="D4" s="180"/>
      <c r="E4" s="180"/>
      <c r="F4" s="180"/>
      <c r="G4" s="180"/>
      <c r="H4" s="188"/>
      <c r="I4" s="180"/>
      <c r="K4" s="180"/>
      <c r="L4" s="180"/>
      <c r="O4" s="180"/>
      <c r="P4" s="180"/>
      <c r="Q4" s="247" t="str">
        <f>K7</f>
        <v>Series A</v>
      </c>
      <c r="R4" s="180"/>
      <c r="S4" s="202"/>
      <c r="T4" s="180"/>
      <c r="Y4" s="180"/>
      <c r="CB4" s="189"/>
      <c r="CD4" s="189"/>
      <c r="CE4" s="189"/>
    </row>
    <row r="5" spans="1:83" ht="15.75" hidden="1" customHeight="1" x14ac:dyDescent="0.35">
      <c r="A5" s="180"/>
      <c r="B5" s="180"/>
      <c r="C5" s="190"/>
      <c r="D5" s="190"/>
      <c r="E5" s="190"/>
      <c r="H5" s="192"/>
      <c r="K5" s="323" t="s">
        <v>19</v>
      </c>
      <c r="L5" s="324"/>
      <c r="M5" s="324"/>
      <c r="N5" s="325"/>
      <c r="P5" s="196"/>
      <c r="Q5" s="247" t="str">
        <f>K8</f>
        <v>Series B</v>
      </c>
      <c r="R5" s="196"/>
      <c r="S5" s="196"/>
      <c r="T5" s="196"/>
      <c r="CB5" s="180"/>
      <c r="CD5" s="180"/>
      <c r="CE5" s="180"/>
    </row>
    <row r="6" spans="1:83" ht="15.75" hidden="1" customHeight="1" x14ac:dyDescent="0.35">
      <c r="A6" s="191"/>
      <c r="B6" s="191"/>
      <c r="D6" s="197" t="str">
        <f>'NoPlay-Cap Table'!D6</f>
        <v>Current Funding Series</v>
      </c>
      <c r="E6" s="1368" t="str">
        <f>'NoPlay-Cap Table'!E6</f>
        <v>Series A</v>
      </c>
      <c r="F6" s="1369">
        <v>0</v>
      </c>
      <c r="G6" s="191">
        <f>'NoPlay-Cap Table'!G6</f>
        <v>0</v>
      </c>
      <c r="H6" s="192">
        <f>'NoPlay-Cap Table'!H6</f>
        <v>0</v>
      </c>
      <c r="I6" s="191">
        <f>'NoPlay-Cap Table'!I6</f>
        <v>0</v>
      </c>
      <c r="J6" s="191">
        <f>'NoPlay-Cap Table'!J6</f>
        <v>0</v>
      </c>
      <c r="K6" s="193" t="str">
        <f>'NoPlay-Cap Table'!K6</f>
        <v>Seed</v>
      </c>
      <c r="L6" s="194" t="e">
        <f>'NoPlay-Cap Table'!L6</f>
        <v>#DIV/0!</v>
      </c>
      <c r="M6" s="195" t="str">
        <f>'NoPlay-Cap Table'!M6</f>
        <v>Series E-1</v>
      </c>
      <c r="N6" s="194" t="e">
        <f>'NoPlay-Cap Table'!N6</f>
        <v>#DIV/0!</v>
      </c>
      <c r="O6" s="191">
        <f>'NoPlay-Cap Table'!O6</f>
        <v>0</v>
      </c>
      <c r="P6" s="196">
        <f>'NoPlay-Cap Table'!P6</f>
        <v>0</v>
      </c>
      <c r="Q6" s="247" t="str">
        <f>'NoPlay-Cap Table'!Q6</f>
        <v>Series C</v>
      </c>
      <c r="R6" s="196">
        <f>'NoPlay-Cap Table'!R6</f>
        <v>0</v>
      </c>
      <c r="S6" s="196">
        <f>'NoPlay-Cap Table'!S6</f>
        <v>0</v>
      </c>
      <c r="T6" s="196">
        <f>'NoPlay-Cap Table'!T6</f>
        <v>0</v>
      </c>
      <c r="U6" s="191">
        <f>'NoPlay-Cap Table'!U6</f>
        <v>0</v>
      </c>
      <c r="V6" s="191">
        <f>'NoPlay-Cap Table'!V6</f>
        <v>0</v>
      </c>
      <c r="W6" s="191">
        <f>'NoPlay-Cap Table'!W6</f>
        <v>0</v>
      </c>
      <c r="X6" s="191">
        <f>'NoPlay-Cap Table'!X6</f>
        <v>0</v>
      </c>
      <c r="Y6" s="191">
        <f>'NoPlay-Cap Table'!Y6</f>
        <v>0</v>
      </c>
      <c r="Z6" s="191">
        <f>'NoPlay-Cap Table'!Z6</f>
        <v>0</v>
      </c>
      <c r="AA6" s="191">
        <f>'NoPlay-Cap Table'!AA6</f>
        <v>0</v>
      </c>
      <c r="AB6" s="191">
        <f>'NoPlay-Cap Table'!AB6</f>
        <v>0</v>
      </c>
      <c r="AC6" s="191">
        <f>'NoPlay-Cap Table'!AC6</f>
        <v>0</v>
      </c>
      <c r="AD6" s="191">
        <f>'NoPlay-Cap Table'!AD6</f>
        <v>0</v>
      </c>
      <c r="AE6" s="191">
        <f>'NoPlay-Cap Table'!AE6</f>
        <v>0</v>
      </c>
      <c r="AF6" s="191">
        <f>'NoPlay-Cap Table'!AF6</f>
        <v>0</v>
      </c>
      <c r="AG6" s="191">
        <f>'NoPlay-Cap Table'!AG6</f>
        <v>0</v>
      </c>
      <c r="AH6" s="191">
        <f>'NoPlay-Cap Table'!AH6</f>
        <v>0</v>
      </c>
      <c r="AI6" s="191">
        <f>'NoPlay-Cap Table'!AI6</f>
        <v>0</v>
      </c>
      <c r="AJ6" s="191">
        <f>'NoPlay-Cap Table'!AJ6</f>
        <v>0</v>
      </c>
      <c r="AK6" s="201">
        <f>'NoPlay-Cap Table'!AK6</f>
        <v>0</v>
      </c>
      <c r="AL6" s="201">
        <f>'NoPlay-Cap Table'!AL6</f>
        <v>0</v>
      </c>
      <c r="AM6" s="191">
        <f>'NoPlay-Cap Table'!AM6</f>
        <v>0</v>
      </c>
      <c r="AN6" s="191">
        <f>'NoPlay-Cap Table'!AN6</f>
        <v>0</v>
      </c>
      <c r="AO6" s="191">
        <f>'NoPlay-Cap Table'!AO6</f>
        <v>0</v>
      </c>
      <c r="AP6" s="191">
        <f>'NoPlay-Cap Table'!AP6</f>
        <v>0</v>
      </c>
      <c r="AQ6" s="191">
        <f>'NoPlay-Cap Table'!AQ6</f>
        <v>0</v>
      </c>
      <c r="AR6" s="191">
        <f>'NoPlay-Cap Table'!AR6</f>
        <v>0</v>
      </c>
      <c r="AS6" s="191">
        <f>'NoPlay-Cap Table'!AS6</f>
        <v>0</v>
      </c>
      <c r="AT6" s="191">
        <f>'NoPlay-Cap Table'!AT6</f>
        <v>0</v>
      </c>
      <c r="AU6" s="191">
        <f>'NoPlay-Cap Table'!AU6</f>
        <v>0</v>
      </c>
      <c r="AV6" s="191">
        <f>'NoPlay-Cap Table'!AV6</f>
        <v>0</v>
      </c>
      <c r="AW6" s="191">
        <f>'NoPlay-Cap Table'!AW6</f>
        <v>0</v>
      </c>
      <c r="AX6" s="191">
        <f>'NoPlay-Cap Table'!AX6</f>
        <v>0</v>
      </c>
      <c r="AY6" s="191">
        <f>'NoPlay-Cap Table'!AY6</f>
        <v>0</v>
      </c>
      <c r="AZ6" s="191">
        <f>'NoPlay-Cap Table'!AZ6</f>
        <v>0</v>
      </c>
      <c r="BA6" s="191">
        <f>'NoPlay-Cap Table'!BA6</f>
        <v>0</v>
      </c>
      <c r="BB6" s="191">
        <f>'NoPlay-Cap Table'!BB6</f>
        <v>0</v>
      </c>
      <c r="BC6" s="191">
        <f>'NoPlay-Cap Table'!BC6</f>
        <v>0</v>
      </c>
      <c r="BD6" s="191">
        <f>'NoPlay-Cap Table'!BD6</f>
        <v>0</v>
      </c>
      <c r="BE6" s="191">
        <f>'NoPlay-Cap Table'!BE6</f>
        <v>0</v>
      </c>
      <c r="BF6" s="191">
        <f>'NoPlay-Cap Table'!BF6</f>
        <v>0</v>
      </c>
      <c r="BG6" s="191">
        <f>'NoPlay-Cap Table'!BG6</f>
        <v>0</v>
      </c>
      <c r="BH6" s="191">
        <f>'NoPlay-Cap Table'!BH6</f>
        <v>0</v>
      </c>
      <c r="BI6" s="191">
        <f>'NoPlay-Cap Table'!BI6</f>
        <v>0</v>
      </c>
      <c r="BJ6" s="191">
        <f>'NoPlay-Cap Table'!BJ6</f>
        <v>0</v>
      </c>
      <c r="BK6" s="191">
        <f>'NoPlay-Cap Table'!BK6</f>
        <v>0</v>
      </c>
      <c r="BL6" s="191">
        <f>'NoPlay-Cap Table'!BL6</f>
        <v>0</v>
      </c>
      <c r="BM6" s="191">
        <f>'NoPlay-Cap Table'!BM6</f>
        <v>0</v>
      </c>
      <c r="BN6" s="191">
        <f>'NoPlay-Cap Table'!BN6</f>
        <v>0</v>
      </c>
      <c r="BO6" s="191">
        <f>'NoPlay-Cap Table'!BO6</f>
        <v>0</v>
      </c>
      <c r="BP6" s="191">
        <f>'NoPlay-Cap Table'!BP6</f>
        <v>0</v>
      </c>
      <c r="BQ6" s="191">
        <f>'NoPlay-Cap Table'!BQ6</f>
        <v>0</v>
      </c>
      <c r="BR6" s="191">
        <f>'NoPlay-Cap Table'!BR6</f>
        <v>0</v>
      </c>
      <c r="BS6" s="191">
        <f>'NoPlay-Cap Table'!BS6</f>
        <v>0</v>
      </c>
      <c r="BT6" s="191">
        <f>'NoPlay-Cap Table'!BT6</f>
        <v>0</v>
      </c>
      <c r="BU6" s="191">
        <f>'NoPlay-Cap Table'!BU6</f>
        <v>0</v>
      </c>
      <c r="BV6" s="191">
        <f>'NoPlay-Cap Table'!BV6</f>
        <v>0</v>
      </c>
      <c r="BW6" s="191">
        <f>'NoPlay-Cap Table'!BW6</f>
        <v>0</v>
      </c>
      <c r="BX6" s="191">
        <f>'NoPlay-Cap Table'!BX6</f>
        <v>0</v>
      </c>
      <c r="BY6" s="191">
        <f>'NoPlay-Cap Table'!BY6</f>
        <v>0</v>
      </c>
      <c r="BZ6" s="191">
        <f>'NoPlay-Cap Table'!BZ6</f>
        <v>0</v>
      </c>
      <c r="CA6" s="191">
        <f>'NoPlay-Cap Table'!CA6</f>
        <v>0</v>
      </c>
      <c r="CB6" s="180">
        <f>'NoPlay-Cap Table'!CB6</f>
        <v>0</v>
      </c>
      <c r="CC6" s="191">
        <f>'NoPlay-Cap Table'!CC6</f>
        <v>0</v>
      </c>
      <c r="CD6" s="180"/>
      <c r="CE6" s="180"/>
    </row>
    <row r="7" spans="1:83" ht="15.75" hidden="1" customHeight="1" x14ac:dyDescent="0.35">
      <c r="A7" s="202"/>
      <c r="B7" s="202"/>
      <c r="D7" s="197" t="str">
        <f>'NoPlay-Cap Table'!D7</f>
        <v>DTC Ventures Investment in Series A</v>
      </c>
      <c r="E7" s="1370">
        <f>'NoPlay-Cap Table'!E7</f>
        <v>0</v>
      </c>
      <c r="F7" s="1371">
        <v>0</v>
      </c>
      <c r="G7" s="191">
        <f>'NoPlay-Cap Table'!G7</f>
        <v>0</v>
      </c>
      <c r="H7" s="192">
        <f>'NoPlay-Cap Table'!H7</f>
        <v>0</v>
      </c>
      <c r="I7" s="191">
        <f>'NoPlay-Cap Table'!I7</f>
        <v>0</v>
      </c>
      <c r="J7" s="191">
        <f>'NoPlay-Cap Table'!J7</f>
        <v>0</v>
      </c>
      <c r="K7" s="198" t="str">
        <f>'NoPlay-Cap Table'!K7</f>
        <v>Series A</v>
      </c>
      <c r="L7" s="199" t="e">
        <f>'NoPlay-Cap Table'!L7</f>
        <v>#DIV/0!</v>
      </c>
      <c r="M7" s="200" t="str">
        <f>'NoPlay-Cap Table'!M7</f>
        <v>Series F</v>
      </c>
      <c r="N7" s="199" t="e">
        <f>'NoPlay-Cap Table'!N7</f>
        <v>#DIV/0!</v>
      </c>
      <c r="O7" s="191">
        <f>'NoPlay-Cap Table'!O7</f>
        <v>0</v>
      </c>
      <c r="P7" s="196">
        <f>'NoPlay-Cap Table'!P7</f>
        <v>0</v>
      </c>
      <c r="Q7" s="247" t="str">
        <f>'NoPlay-Cap Table'!Q7</f>
        <v>Series D</v>
      </c>
      <c r="R7" s="196">
        <f>'NoPlay-Cap Table'!R7</f>
        <v>0</v>
      </c>
      <c r="S7" s="196">
        <f>'NoPlay-Cap Table'!S7</f>
        <v>0</v>
      </c>
      <c r="T7" s="196">
        <f>'NoPlay-Cap Table'!T7</f>
        <v>0</v>
      </c>
      <c r="U7" s="191">
        <f>'NoPlay-Cap Table'!U7</f>
        <v>0</v>
      </c>
      <c r="V7" s="191">
        <f>'NoPlay-Cap Table'!V7</f>
        <v>0</v>
      </c>
      <c r="W7" s="191">
        <f>'NoPlay-Cap Table'!W7</f>
        <v>0</v>
      </c>
      <c r="X7" s="191">
        <f>'NoPlay-Cap Table'!X7</f>
        <v>0</v>
      </c>
      <c r="Y7" s="191">
        <f>'NoPlay-Cap Table'!Y7</f>
        <v>0</v>
      </c>
      <c r="Z7" s="191">
        <f>'NoPlay-Cap Table'!Z7</f>
        <v>0</v>
      </c>
      <c r="AA7" s="191">
        <f>'NoPlay-Cap Table'!AA7</f>
        <v>0</v>
      </c>
      <c r="AB7" s="191">
        <f>'NoPlay-Cap Table'!AB7</f>
        <v>0</v>
      </c>
      <c r="AC7" s="191">
        <f>'NoPlay-Cap Table'!AC7</f>
        <v>0</v>
      </c>
      <c r="AD7" s="191">
        <f>'NoPlay-Cap Table'!AD7</f>
        <v>0</v>
      </c>
      <c r="AE7" s="191">
        <f>'NoPlay-Cap Table'!AE7</f>
        <v>0</v>
      </c>
      <c r="AF7" s="191">
        <f>'NoPlay-Cap Table'!AF7</f>
        <v>0</v>
      </c>
      <c r="AG7" s="191">
        <f>'NoPlay-Cap Table'!AG7</f>
        <v>0</v>
      </c>
      <c r="AH7" s="191">
        <f>'NoPlay-Cap Table'!AH7</f>
        <v>0</v>
      </c>
      <c r="AI7" s="191">
        <f>'NoPlay-Cap Table'!AI7</f>
        <v>0</v>
      </c>
      <c r="AJ7" s="191">
        <f>'NoPlay-Cap Table'!AJ7</f>
        <v>0</v>
      </c>
      <c r="AK7" s="201">
        <f>'NoPlay-Cap Table'!AK7</f>
        <v>0</v>
      </c>
      <c r="AL7" s="201">
        <f>'NoPlay-Cap Table'!AL7</f>
        <v>0</v>
      </c>
      <c r="AM7" s="191">
        <f>'NoPlay-Cap Table'!AM7</f>
        <v>0</v>
      </c>
      <c r="AN7" s="191">
        <f>'NoPlay-Cap Table'!AN7</f>
        <v>0</v>
      </c>
      <c r="AO7" s="191">
        <f>'NoPlay-Cap Table'!AO7</f>
        <v>0</v>
      </c>
      <c r="AP7" s="191">
        <f>'NoPlay-Cap Table'!AP7</f>
        <v>0</v>
      </c>
      <c r="AQ7" s="191">
        <f>'NoPlay-Cap Table'!AQ7</f>
        <v>0</v>
      </c>
      <c r="AR7" s="191">
        <f>'NoPlay-Cap Table'!AR7</f>
        <v>0</v>
      </c>
      <c r="AS7" s="191">
        <f>'NoPlay-Cap Table'!AS7</f>
        <v>0</v>
      </c>
      <c r="AT7" s="191">
        <f>'NoPlay-Cap Table'!AT7</f>
        <v>0</v>
      </c>
      <c r="AU7" s="191">
        <f>'NoPlay-Cap Table'!AU7</f>
        <v>0</v>
      </c>
      <c r="AV7" s="191">
        <f>'NoPlay-Cap Table'!AV7</f>
        <v>0</v>
      </c>
      <c r="AW7" s="191">
        <f>'NoPlay-Cap Table'!AW7</f>
        <v>0</v>
      </c>
      <c r="AX7" s="191">
        <f>'NoPlay-Cap Table'!AX7</f>
        <v>0</v>
      </c>
      <c r="AY7" s="191">
        <f>'NoPlay-Cap Table'!AY7</f>
        <v>0</v>
      </c>
      <c r="AZ7" s="191">
        <f>'NoPlay-Cap Table'!AZ7</f>
        <v>0</v>
      </c>
      <c r="BA7" s="191">
        <f>'NoPlay-Cap Table'!BA7</f>
        <v>0</v>
      </c>
      <c r="BB7" s="191">
        <f>'NoPlay-Cap Table'!BB7</f>
        <v>0</v>
      </c>
      <c r="BC7" s="191">
        <f>'NoPlay-Cap Table'!BC7</f>
        <v>0</v>
      </c>
      <c r="BD7" s="191">
        <f>'NoPlay-Cap Table'!BD7</f>
        <v>0</v>
      </c>
      <c r="BE7" s="191">
        <f>'NoPlay-Cap Table'!BE7</f>
        <v>0</v>
      </c>
      <c r="BF7" s="191">
        <f>'NoPlay-Cap Table'!BF7</f>
        <v>0</v>
      </c>
      <c r="BG7" s="191">
        <f>'NoPlay-Cap Table'!BG7</f>
        <v>0</v>
      </c>
      <c r="BH7" s="191">
        <f>'NoPlay-Cap Table'!BH7</f>
        <v>0</v>
      </c>
      <c r="BI7" s="191">
        <f>'NoPlay-Cap Table'!BI7</f>
        <v>0</v>
      </c>
      <c r="BJ7" s="191">
        <f>'NoPlay-Cap Table'!BJ7</f>
        <v>0</v>
      </c>
      <c r="BK7" s="191">
        <f>'NoPlay-Cap Table'!BK7</f>
        <v>0</v>
      </c>
      <c r="BL7" s="191">
        <f>'NoPlay-Cap Table'!BL7</f>
        <v>0</v>
      </c>
      <c r="BM7" s="191">
        <f>'NoPlay-Cap Table'!BM7</f>
        <v>0</v>
      </c>
      <c r="BN7" s="191">
        <f>'NoPlay-Cap Table'!BN7</f>
        <v>0</v>
      </c>
      <c r="BO7" s="191">
        <f>'NoPlay-Cap Table'!BO7</f>
        <v>0</v>
      </c>
      <c r="BP7" s="191">
        <f>'NoPlay-Cap Table'!BP7</f>
        <v>0</v>
      </c>
      <c r="BQ7" s="191">
        <f>'NoPlay-Cap Table'!BQ7</f>
        <v>0</v>
      </c>
      <c r="BR7" s="191">
        <f>'NoPlay-Cap Table'!BR7</f>
        <v>0</v>
      </c>
      <c r="BS7" s="191">
        <f>'NoPlay-Cap Table'!BS7</f>
        <v>0</v>
      </c>
      <c r="BT7" s="191">
        <f>'NoPlay-Cap Table'!BT7</f>
        <v>0</v>
      </c>
      <c r="BU7" s="191">
        <f>'NoPlay-Cap Table'!BU7</f>
        <v>0</v>
      </c>
      <c r="BV7" s="191">
        <f>'NoPlay-Cap Table'!BV7</f>
        <v>0</v>
      </c>
      <c r="BW7" s="191">
        <f>'NoPlay-Cap Table'!BW7</f>
        <v>0</v>
      </c>
      <c r="BX7" s="191">
        <f>'NoPlay-Cap Table'!BX7</f>
        <v>0</v>
      </c>
      <c r="BY7" s="191">
        <f>'NoPlay-Cap Table'!BY7</f>
        <v>0</v>
      </c>
      <c r="BZ7" s="191">
        <f>'NoPlay-Cap Table'!BZ7</f>
        <v>0</v>
      </c>
      <c r="CA7" s="191">
        <f>'NoPlay-Cap Table'!CA7</f>
        <v>0</v>
      </c>
      <c r="CB7" s="180">
        <f>'NoPlay-Cap Table'!CB7</f>
        <v>0</v>
      </c>
      <c r="CC7" s="191">
        <f>'NoPlay-Cap Table'!CC7</f>
        <v>0</v>
      </c>
      <c r="CD7" s="180"/>
      <c r="CE7" s="180"/>
    </row>
    <row r="8" spans="1:83" ht="15.75" hidden="1" customHeight="1" x14ac:dyDescent="0.35">
      <c r="A8" s="180"/>
      <c r="B8" s="180"/>
      <c r="D8" s="197" t="str">
        <f>'NoPlay-Cap Table'!D8</f>
        <v>Pre-Money Valuation</v>
      </c>
      <c r="E8" s="1370">
        <f>'NoPlay-Cap Table'!E8</f>
        <v>0</v>
      </c>
      <c r="F8" s="1371">
        <v>0</v>
      </c>
      <c r="G8" s="191">
        <f>'NoPlay-Cap Table'!G8</f>
        <v>0</v>
      </c>
      <c r="H8" s="191">
        <f>'NoPlay-Cap Table'!H8</f>
        <v>0</v>
      </c>
      <c r="I8" s="191">
        <f>'NoPlay-Cap Table'!I8</f>
        <v>0</v>
      </c>
      <c r="J8" s="191">
        <f>'NoPlay-Cap Table'!J8</f>
        <v>0</v>
      </c>
      <c r="K8" s="198" t="str">
        <f>'NoPlay-Cap Table'!K8</f>
        <v>Series B</v>
      </c>
      <c r="L8" s="199" t="e">
        <f>'NoPlay-Cap Table'!L8</f>
        <v>#DIV/0!</v>
      </c>
      <c r="M8" s="198" t="str">
        <f>'NoPlay-Cap Table'!M8</f>
        <v>Series G</v>
      </c>
      <c r="N8" s="199" t="e">
        <f>'NoPlay-Cap Table'!N8</f>
        <v>#DIV/0!</v>
      </c>
      <c r="O8" s="191">
        <f>'NoPlay-Cap Table'!O8</f>
        <v>0</v>
      </c>
      <c r="P8" s="196">
        <f>'NoPlay-Cap Table'!P8</f>
        <v>0</v>
      </c>
      <c r="Q8" s="247" t="str">
        <f>'NoPlay-Cap Table'!Q8</f>
        <v>Series E</v>
      </c>
      <c r="R8" s="196">
        <f>'NoPlay-Cap Table'!R8</f>
        <v>0</v>
      </c>
      <c r="S8" s="196">
        <f>'NoPlay-Cap Table'!S8</f>
        <v>0</v>
      </c>
      <c r="T8" s="196">
        <f>'NoPlay-Cap Table'!T8</f>
        <v>0</v>
      </c>
      <c r="U8" s="191">
        <f>'NoPlay-Cap Table'!U8</f>
        <v>0</v>
      </c>
      <c r="V8" s="191">
        <f>'NoPlay-Cap Table'!V8</f>
        <v>0</v>
      </c>
      <c r="W8" s="191">
        <f>'NoPlay-Cap Table'!W8</f>
        <v>0</v>
      </c>
      <c r="X8" s="191">
        <f>'NoPlay-Cap Table'!X8</f>
        <v>0</v>
      </c>
      <c r="Y8" s="191">
        <f>'NoPlay-Cap Table'!Y8</f>
        <v>0</v>
      </c>
      <c r="Z8" s="191">
        <f>'NoPlay-Cap Table'!Z8</f>
        <v>0</v>
      </c>
      <c r="AA8" s="191">
        <f>'NoPlay-Cap Table'!AA8</f>
        <v>0</v>
      </c>
      <c r="AB8" s="191">
        <f>'NoPlay-Cap Table'!AB8</f>
        <v>0</v>
      </c>
      <c r="AC8" s="191">
        <f>'NoPlay-Cap Table'!AC8</f>
        <v>0</v>
      </c>
      <c r="AD8" s="191">
        <f>'NoPlay-Cap Table'!AD8</f>
        <v>0</v>
      </c>
      <c r="AE8" s="191">
        <f>'NoPlay-Cap Table'!AE8</f>
        <v>0</v>
      </c>
      <c r="AF8" s="191">
        <f>'NoPlay-Cap Table'!AF8</f>
        <v>0</v>
      </c>
      <c r="AG8" s="191">
        <f>'NoPlay-Cap Table'!AG8</f>
        <v>0</v>
      </c>
      <c r="AH8" s="191">
        <f>'NoPlay-Cap Table'!AH8</f>
        <v>0</v>
      </c>
      <c r="AI8" s="191">
        <f>'NoPlay-Cap Table'!AI8</f>
        <v>0</v>
      </c>
      <c r="AJ8" s="191">
        <f>'NoPlay-Cap Table'!AJ8</f>
        <v>0</v>
      </c>
      <c r="AK8" s="201">
        <f>'NoPlay-Cap Table'!AK8</f>
        <v>0</v>
      </c>
      <c r="AL8" s="201">
        <f>'NoPlay-Cap Table'!AL8</f>
        <v>0</v>
      </c>
      <c r="AM8" s="191">
        <f>'NoPlay-Cap Table'!AM8</f>
        <v>0</v>
      </c>
      <c r="AN8" s="191">
        <f>'NoPlay-Cap Table'!AN8</f>
        <v>0</v>
      </c>
      <c r="AO8" s="191">
        <f>'NoPlay-Cap Table'!AO8</f>
        <v>0</v>
      </c>
      <c r="AP8" s="191">
        <f>'NoPlay-Cap Table'!AP8</f>
        <v>0</v>
      </c>
      <c r="AQ8" s="191">
        <f>'NoPlay-Cap Table'!AQ8</f>
        <v>0</v>
      </c>
      <c r="AR8" s="191">
        <f>'NoPlay-Cap Table'!AR8</f>
        <v>0</v>
      </c>
      <c r="AS8" s="191">
        <f>'NoPlay-Cap Table'!AS8</f>
        <v>0</v>
      </c>
      <c r="AT8" s="191">
        <f>'NoPlay-Cap Table'!AT8</f>
        <v>0</v>
      </c>
      <c r="AU8" s="191">
        <f>'NoPlay-Cap Table'!AU8</f>
        <v>0</v>
      </c>
      <c r="AV8" s="191">
        <f>'NoPlay-Cap Table'!AV8</f>
        <v>0</v>
      </c>
      <c r="AW8" s="191">
        <f>'NoPlay-Cap Table'!AW8</f>
        <v>0</v>
      </c>
      <c r="AX8" s="191">
        <f>'NoPlay-Cap Table'!AX8</f>
        <v>0</v>
      </c>
      <c r="AY8" s="191">
        <f>'NoPlay-Cap Table'!AY8</f>
        <v>0</v>
      </c>
      <c r="AZ8" s="191">
        <f>'NoPlay-Cap Table'!AZ8</f>
        <v>0</v>
      </c>
      <c r="BA8" s="191">
        <f>'NoPlay-Cap Table'!BA8</f>
        <v>0</v>
      </c>
      <c r="BB8" s="191">
        <f>'NoPlay-Cap Table'!BB8</f>
        <v>0</v>
      </c>
      <c r="BC8" s="191">
        <f>'NoPlay-Cap Table'!BC8</f>
        <v>0</v>
      </c>
      <c r="BD8" s="191">
        <f>'NoPlay-Cap Table'!BD8</f>
        <v>0</v>
      </c>
      <c r="BE8" s="191">
        <f>'NoPlay-Cap Table'!BE8</f>
        <v>0</v>
      </c>
      <c r="BF8" s="191">
        <f>'NoPlay-Cap Table'!BF8</f>
        <v>0</v>
      </c>
      <c r="BG8" s="191">
        <f>'NoPlay-Cap Table'!BG8</f>
        <v>0</v>
      </c>
      <c r="BH8" s="191">
        <f>'NoPlay-Cap Table'!BH8</f>
        <v>0</v>
      </c>
      <c r="BI8" s="191">
        <f>'NoPlay-Cap Table'!BI8</f>
        <v>0</v>
      </c>
      <c r="BJ8" s="191">
        <f>'NoPlay-Cap Table'!BJ8</f>
        <v>0</v>
      </c>
      <c r="BK8" s="191">
        <f>'NoPlay-Cap Table'!BK8</f>
        <v>0</v>
      </c>
      <c r="BL8" s="191">
        <f>'NoPlay-Cap Table'!BL8</f>
        <v>0</v>
      </c>
      <c r="BM8" s="191">
        <f>'NoPlay-Cap Table'!BM8</f>
        <v>0</v>
      </c>
      <c r="BN8" s="191">
        <f>'NoPlay-Cap Table'!BN8</f>
        <v>0</v>
      </c>
      <c r="BO8" s="191">
        <f>'NoPlay-Cap Table'!BO8</f>
        <v>0</v>
      </c>
      <c r="BP8" s="191">
        <f>'NoPlay-Cap Table'!BP8</f>
        <v>0</v>
      </c>
      <c r="BQ8" s="191">
        <f>'NoPlay-Cap Table'!BQ8</f>
        <v>0</v>
      </c>
      <c r="BR8" s="191">
        <f>'NoPlay-Cap Table'!BR8</f>
        <v>0</v>
      </c>
      <c r="BS8" s="191">
        <f>'NoPlay-Cap Table'!BS8</f>
        <v>0</v>
      </c>
      <c r="BT8" s="191">
        <f>'NoPlay-Cap Table'!BT8</f>
        <v>0</v>
      </c>
      <c r="BU8" s="191">
        <f>'NoPlay-Cap Table'!BU8</f>
        <v>0</v>
      </c>
      <c r="BV8" s="191">
        <f>'NoPlay-Cap Table'!BV8</f>
        <v>0</v>
      </c>
      <c r="BW8" s="191">
        <f>'NoPlay-Cap Table'!BW8</f>
        <v>0</v>
      </c>
      <c r="BX8" s="191">
        <f>'NoPlay-Cap Table'!BX8</f>
        <v>0</v>
      </c>
      <c r="BY8" s="191">
        <f>'NoPlay-Cap Table'!BY8</f>
        <v>0</v>
      </c>
      <c r="BZ8" s="191">
        <f>'NoPlay-Cap Table'!BZ8</f>
        <v>0</v>
      </c>
      <c r="CA8" s="191">
        <f>'NoPlay-Cap Table'!CA8</f>
        <v>0</v>
      </c>
      <c r="CB8" s="203">
        <f>'NoPlay-Cap Table'!CB8</f>
        <v>0</v>
      </c>
      <c r="CC8" s="191">
        <f>'NoPlay-Cap Table'!CC8</f>
        <v>0</v>
      </c>
      <c r="CD8" s="203"/>
      <c r="CE8" s="203"/>
    </row>
    <row r="9" spans="1:83" ht="15.75" hidden="1" customHeight="1" x14ac:dyDescent="0.35">
      <c r="A9" s="180"/>
      <c r="B9" s="180"/>
      <c r="D9" s="197" t="str">
        <f>'NoPlay-Cap Table'!D9</f>
        <v>Total Series A Funding Round</v>
      </c>
      <c r="E9" s="1370">
        <f>'NoPlay-Cap Table'!E9</f>
        <v>0</v>
      </c>
      <c r="F9" s="1371">
        <v>0</v>
      </c>
      <c r="G9" s="191">
        <f>'NoPlay-Cap Table'!G9</f>
        <v>0</v>
      </c>
      <c r="H9" s="191">
        <f>'NoPlay-Cap Table'!H9</f>
        <v>0</v>
      </c>
      <c r="I9" s="191">
        <f>'NoPlay-Cap Table'!I9</f>
        <v>0</v>
      </c>
      <c r="J9" s="191">
        <f>'NoPlay-Cap Table'!J9</f>
        <v>0</v>
      </c>
      <c r="K9" s="198" t="str">
        <f>'NoPlay-Cap Table'!K9</f>
        <v>Series C</v>
      </c>
      <c r="L9" s="199" t="e">
        <f>'NoPlay-Cap Table'!L9</f>
        <v>#DIV/0!</v>
      </c>
      <c r="M9" s="198" t="str">
        <f>'NoPlay-Cap Table'!M9</f>
        <v>Options</v>
      </c>
      <c r="N9" s="199" t="e">
        <f>'NoPlay-Cap Table'!N9</f>
        <v>#DIV/0!</v>
      </c>
      <c r="O9" s="191">
        <f>'NoPlay-Cap Table'!O9</f>
        <v>0</v>
      </c>
      <c r="P9" s="196">
        <f>'NoPlay-Cap Table'!P9</f>
        <v>0</v>
      </c>
      <c r="Q9" s="187" t="str">
        <f>'NoPlay-Cap Table'!Q9</f>
        <v>Series E-1</v>
      </c>
      <c r="R9" s="196">
        <f>'NoPlay-Cap Table'!R9</f>
        <v>0</v>
      </c>
      <c r="S9" s="196">
        <f>'NoPlay-Cap Table'!S9</f>
        <v>0</v>
      </c>
      <c r="T9" s="196">
        <f>'NoPlay-Cap Table'!T9</f>
        <v>0</v>
      </c>
      <c r="U9" s="191">
        <f>'NoPlay-Cap Table'!U9</f>
        <v>0</v>
      </c>
      <c r="V9" s="191">
        <f>'NoPlay-Cap Table'!V9</f>
        <v>0</v>
      </c>
      <c r="W9" s="191">
        <f>'NoPlay-Cap Table'!W9</f>
        <v>0</v>
      </c>
      <c r="X9" s="191">
        <f>'NoPlay-Cap Table'!X9</f>
        <v>0</v>
      </c>
      <c r="Y9" s="191">
        <f>'NoPlay-Cap Table'!Y9</f>
        <v>0</v>
      </c>
      <c r="Z9" s="191">
        <f>'NoPlay-Cap Table'!Z9</f>
        <v>0</v>
      </c>
      <c r="AA9" s="191">
        <f>'NoPlay-Cap Table'!AA9</f>
        <v>0</v>
      </c>
      <c r="AB9" s="191">
        <f>'NoPlay-Cap Table'!AB9</f>
        <v>0</v>
      </c>
      <c r="AC9" s="191">
        <f>'NoPlay-Cap Table'!AC9</f>
        <v>0</v>
      </c>
      <c r="AD9" s="191">
        <f>'NoPlay-Cap Table'!AD9</f>
        <v>0</v>
      </c>
      <c r="AE9" s="191">
        <f>'NoPlay-Cap Table'!AE9</f>
        <v>0</v>
      </c>
      <c r="AF9" s="191">
        <f>'NoPlay-Cap Table'!AF9</f>
        <v>0</v>
      </c>
      <c r="AG9" s="191">
        <f>'NoPlay-Cap Table'!AG9</f>
        <v>0</v>
      </c>
      <c r="AH9" s="191">
        <f>'NoPlay-Cap Table'!AH9</f>
        <v>0</v>
      </c>
      <c r="AI9" s="191">
        <f>'NoPlay-Cap Table'!AI9</f>
        <v>0</v>
      </c>
      <c r="AJ9" s="191">
        <f>'NoPlay-Cap Table'!AJ9</f>
        <v>0</v>
      </c>
      <c r="AK9" s="201">
        <f>'NoPlay-Cap Table'!AK9</f>
        <v>0</v>
      </c>
      <c r="AL9" s="201">
        <f>'NoPlay-Cap Table'!AL9</f>
        <v>0</v>
      </c>
      <c r="AM9" s="191">
        <f>'NoPlay-Cap Table'!AM9</f>
        <v>0</v>
      </c>
      <c r="AN9" s="191">
        <f>'NoPlay-Cap Table'!AN9</f>
        <v>0</v>
      </c>
      <c r="AO9" s="191">
        <f>'NoPlay-Cap Table'!AO9</f>
        <v>0</v>
      </c>
      <c r="AP9" s="191">
        <f>'NoPlay-Cap Table'!AP9</f>
        <v>0</v>
      </c>
      <c r="AQ9" s="191">
        <f>'NoPlay-Cap Table'!AQ9</f>
        <v>0</v>
      </c>
      <c r="AR9" s="191">
        <f>'NoPlay-Cap Table'!AR9</f>
        <v>0</v>
      </c>
      <c r="AS9" s="191">
        <f>'NoPlay-Cap Table'!AS9</f>
        <v>0</v>
      </c>
      <c r="AT9" s="191">
        <f>'NoPlay-Cap Table'!AT9</f>
        <v>0</v>
      </c>
      <c r="AU9" s="191">
        <f>'NoPlay-Cap Table'!AU9</f>
        <v>0</v>
      </c>
      <c r="AV9" s="191">
        <f>'NoPlay-Cap Table'!AV9</f>
        <v>0</v>
      </c>
      <c r="AW9" s="191">
        <f>'NoPlay-Cap Table'!AW9</f>
        <v>0</v>
      </c>
      <c r="AX9" s="191">
        <f>'NoPlay-Cap Table'!AX9</f>
        <v>0</v>
      </c>
      <c r="AY9" s="191">
        <f>'NoPlay-Cap Table'!AY9</f>
        <v>0</v>
      </c>
      <c r="AZ9" s="191">
        <f>'NoPlay-Cap Table'!AZ9</f>
        <v>0</v>
      </c>
      <c r="BA9" s="191">
        <f>'NoPlay-Cap Table'!BA9</f>
        <v>0</v>
      </c>
      <c r="BB9" s="191">
        <f>'NoPlay-Cap Table'!BB9</f>
        <v>0</v>
      </c>
      <c r="BC9" s="191">
        <f>'NoPlay-Cap Table'!BC9</f>
        <v>0</v>
      </c>
      <c r="BD9" s="191">
        <f>'NoPlay-Cap Table'!BD9</f>
        <v>0</v>
      </c>
      <c r="BE9" s="191">
        <f>'NoPlay-Cap Table'!BE9</f>
        <v>0</v>
      </c>
      <c r="BF9" s="191">
        <f>'NoPlay-Cap Table'!BF9</f>
        <v>0</v>
      </c>
      <c r="BG9" s="191">
        <f>'NoPlay-Cap Table'!BG9</f>
        <v>0</v>
      </c>
      <c r="BH9" s="191">
        <f>'NoPlay-Cap Table'!BH9</f>
        <v>0</v>
      </c>
      <c r="BI9" s="191">
        <f>'NoPlay-Cap Table'!BI9</f>
        <v>0</v>
      </c>
      <c r="BJ9" s="191">
        <f>'NoPlay-Cap Table'!BJ9</f>
        <v>0</v>
      </c>
      <c r="BK9" s="191">
        <f>'NoPlay-Cap Table'!BK9</f>
        <v>0</v>
      </c>
      <c r="BL9" s="191">
        <f>'NoPlay-Cap Table'!BL9</f>
        <v>0</v>
      </c>
      <c r="BM9" s="191">
        <f>'NoPlay-Cap Table'!BM9</f>
        <v>0</v>
      </c>
      <c r="BN9" s="191">
        <f>'NoPlay-Cap Table'!BN9</f>
        <v>0</v>
      </c>
      <c r="BO9" s="191">
        <f>'NoPlay-Cap Table'!BO9</f>
        <v>0</v>
      </c>
      <c r="BP9" s="191">
        <f>'NoPlay-Cap Table'!BP9</f>
        <v>0</v>
      </c>
      <c r="BQ9" s="191">
        <f>'NoPlay-Cap Table'!BQ9</f>
        <v>0</v>
      </c>
      <c r="BR9" s="191">
        <f>'NoPlay-Cap Table'!BR9</f>
        <v>0</v>
      </c>
      <c r="BS9" s="191">
        <f>'NoPlay-Cap Table'!BS9</f>
        <v>0</v>
      </c>
      <c r="BT9" s="191">
        <f>'NoPlay-Cap Table'!BT9</f>
        <v>0</v>
      </c>
      <c r="BU9" s="191">
        <f>'NoPlay-Cap Table'!BU9</f>
        <v>0</v>
      </c>
      <c r="BV9" s="191">
        <f>'NoPlay-Cap Table'!BV9</f>
        <v>0</v>
      </c>
      <c r="BW9" s="191">
        <f>'NoPlay-Cap Table'!BW9</f>
        <v>0</v>
      </c>
      <c r="BX9" s="191">
        <f>'NoPlay-Cap Table'!BX9</f>
        <v>0</v>
      </c>
      <c r="BY9" s="191">
        <f>'NoPlay-Cap Table'!BY9</f>
        <v>0</v>
      </c>
      <c r="BZ9" s="191">
        <f>'NoPlay-Cap Table'!BZ9</f>
        <v>0</v>
      </c>
      <c r="CA9" s="191">
        <f>'NoPlay-Cap Table'!CA9</f>
        <v>0</v>
      </c>
      <c r="CB9" s="180">
        <f>'NoPlay-Cap Table'!CB9</f>
        <v>0</v>
      </c>
      <c r="CC9" s="191">
        <f>'NoPlay-Cap Table'!CC9</f>
        <v>0</v>
      </c>
      <c r="CD9" s="180"/>
      <c r="CE9" s="180"/>
    </row>
    <row r="10" spans="1:83" ht="15.65" hidden="1" customHeight="1" x14ac:dyDescent="0.35">
      <c r="A10" s="180"/>
      <c r="B10" s="180"/>
      <c r="D10" s="197" t="str">
        <f>'NoPlay-Cap Table'!D10</f>
        <v>Post-Money Valuation</v>
      </c>
      <c r="E10" s="1354">
        <f>'NoPlay-Cap Table'!E10</f>
        <v>0</v>
      </c>
      <c r="F10" s="1355">
        <v>0</v>
      </c>
      <c r="G10" s="204">
        <f>'NoPlay-Cap Table'!G10</f>
        <v>0</v>
      </c>
      <c r="H10" s="191">
        <f>'NoPlay-Cap Table'!H10</f>
        <v>0</v>
      </c>
      <c r="I10" s="191">
        <f>'NoPlay-Cap Table'!I10</f>
        <v>0</v>
      </c>
      <c r="J10" s="191">
        <f>'NoPlay-Cap Table'!J10</f>
        <v>0</v>
      </c>
      <c r="K10" s="198" t="str">
        <f>'NoPlay-Cap Table'!K10</f>
        <v>Series D</v>
      </c>
      <c r="L10" s="199" t="e">
        <f>'NoPlay-Cap Table'!L10</f>
        <v>#DIV/0!</v>
      </c>
      <c r="M10" s="198" t="str">
        <f>'NoPlay-Cap Table'!M10</f>
        <v>Warrants</v>
      </c>
      <c r="N10" s="199" t="e">
        <f>'NoPlay-Cap Table'!N10</f>
        <v>#DIV/0!</v>
      </c>
      <c r="O10" s="191">
        <f>'NoPlay-Cap Table'!O10</f>
        <v>0</v>
      </c>
      <c r="P10" s="196">
        <f>'NoPlay-Cap Table'!P10</f>
        <v>0</v>
      </c>
      <c r="Q10" s="187" t="str">
        <f>'NoPlay-Cap Table'!Q10</f>
        <v>Series F</v>
      </c>
      <c r="R10" s="196">
        <f>'NoPlay-Cap Table'!R10</f>
        <v>0</v>
      </c>
      <c r="S10" s="196">
        <f>'NoPlay-Cap Table'!S10</f>
        <v>0</v>
      </c>
      <c r="T10" s="196">
        <f>'NoPlay-Cap Table'!T10</f>
        <v>0</v>
      </c>
      <c r="U10" s="191">
        <f>'NoPlay-Cap Table'!U10</f>
        <v>0</v>
      </c>
      <c r="V10" s="191">
        <f>'NoPlay-Cap Table'!V10</f>
        <v>0</v>
      </c>
      <c r="W10" s="191">
        <f>'NoPlay-Cap Table'!W10</f>
        <v>0</v>
      </c>
      <c r="X10" s="191">
        <f>'NoPlay-Cap Table'!X10</f>
        <v>0</v>
      </c>
      <c r="Y10" s="191">
        <f>'NoPlay-Cap Table'!Y10</f>
        <v>0</v>
      </c>
      <c r="Z10" s="191">
        <f>'NoPlay-Cap Table'!Z10</f>
        <v>0</v>
      </c>
      <c r="AA10" s="191">
        <f>'NoPlay-Cap Table'!AA10</f>
        <v>0</v>
      </c>
      <c r="AB10" s="191">
        <f>'NoPlay-Cap Table'!AB10</f>
        <v>0</v>
      </c>
      <c r="AC10" s="191">
        <f>'NoPlay-Cap Table'!AC10</f>
        <v>0</v>
      </c>
      <c r="AD10" s="191">
        <f>'NoPlay-Cap Table'!AD10</f>
        <v>0</v>
      </c>
      <c r="AE10" s="191">
        <f>'NoPlay-Cap Table'!AE10</f>
        <v>0</v>
      </c>
      <c r="AF10" s="191">
        <f>'NoPlay-Cap Table'!AF10</f>
        <v>0</v>
      </c>
      <c r="AG10" s="191">
        <f>'NoPlay-Cap Table'!AG10</f>
        <v>0</v>
      </c>
      <c r="AH10" s="191">
        <f>'NoPlay-Cap Table'!AH10</f>
        <v>0</v>
      </c>
      <c r="AI10" s="191">
        <f>'NoPlay-Cap Table'!AI10</f>
        <v>0</v>
      </c>
      <c r="AJ10" s="191">
        <f>'NoPlay-Cap Table'!AJ10</f>
        <v>0</v>
      </c>
      <c r="AK10" s="201">
        <f>'NoPlay-Cap Table'!AK10</f>
        <v>0</v>
      </c>
      <c r="AL10" s="201">
        <f>'NoPlay-Cap Table'!AL10</f>
        <v>0</v>
      </c>
      <c r="AM10" s="191">
        <f>'NoPlay-Cap Table'!AM10</f>
        <v>0</v>
      </c>
      <c r="AN10" s="191">
        <f>'NoPlay-Cap Table'!AN10</f>
        <v>0</v>
      </c>
      <c r="AO10" s="191">
        <f>'NoPlay-Cap Table'!AO10</f>
        <v>0</v>
      </c>
      <c r="AP10" s="191">
        <f>'NoPlay-Cap Table'!AP10</f>
        <v>0</v>
      </c>
      <c r="AQ10" s="191">
        <f>'NoPlay-Cap Table'!AQ10</f>
        <v>0</v>
      </c>
      <c r="AR10" s="191">
        <f>'NoPlay-Cap Table'!AR10</f>
        <v>0</v>
      </c>
      <c r="AS10" s="191">
        <f>'NoPlay-Cap Table'!AS10</f>
        <v>0</v>
      </c>
      <c r="AT10" s="191">
        <f>'NoPlay-Cap Table'!AT10</f>
        <v>0</v>
      </c>
      <c r="AU10" s="191">
        <f>'NoPlay-Cap Table'!AU10</f>
        <v>0</v>
      </c>
      <c r="AV10" s="191">
        <f>'NoPlay-Cap Table'!AV10</f>
        <v>0</v>
      </c>
      <c r="AW10" s="191">
        <f>'NoPlay-Cap Table'!AW10</f>
        <v>0</v>
      </c>
      <c r="AX10" s="191">
        <f>'NoPlay-Cap Table'!AX10</f>
        <v>0</v>
      </c>
      <c r="AY10" s="191">
        <f>'NoPlay-Cap Table'!AY10</f>
        <v>0</v>
      </c>
      <c r="AZ10" s="191">
        <f>'NoPlay-Cap Table'!AZ10</f>
        <v>0</v>
      </c>
      <c r="BA10" s="191">
        <f>'NoPlay-Cap Table'!BA10</f>
        <v>0</v>
      </c>
      <c r="BB10" s="191">
        <f>'NoPlay-Cap Table'!BB10</f>
        <v>0</v>
      </c>
      <c r="BC10" s="191">
        <f>'NoPlay-Cap Table'!BC10</f>
        <v>0</v>
      </c>
      <c r="BD10" s="191">
        <f>'NoPlay-Cap Table'!BD10</f>
        <v>0</v>
      </c>
      <c r="BE10" s="191">
        <f>'NoPlay-Cap Table'!BE10</f>
        <v>0</v>
      </c>
      <c r="BF10" s="191">
        <f>'NoPlay-Cap Table'!BF10</f>
        <v>0</v>
      </c>
      <c r="BG10" s="191">
        <f>'NoPlay-Cap Table'!BG10</f>
        <v>0</v>
      </c>
      <c r="BH10" s="191">
        <f>'NoPlay-Cap Table'!BH10</f>
        <v>0</v>
      </c>
      <c r="BI10" s="191">
        <f>'NoPlay-Cap Table'!BI10</f>
        <v>0</v>
      </c>
      <c r="BJ10" s="191">
        <f>'NoPlay-Cap Table'!BJ10</f>
        <v>0</v>
      </c>
      <c r="BK10" s="191">
        <f>'NoPlay-Cap Table'!BK10</f>
        <v>0</v>
      </c>
      <c r="BL10" s="191">
        <f>'NoPlay-Cap Table'!BL10</f>
        <v>0</v>
      </c>
      <c r="BM10" s="191">
        <f>'NoPlay-Cap Table'!BM10</f>
        <v>0</v>
      </c>
      <c r="BN10" s="191">
        <f>'NoPlay-Cap Table'!BN10</f>
        <v>0</v>
      </c>
      <c r="BO10" s="191">
        <f>'NoPlay-Cap Table'!BO10</f>
        <v>0</v>
      </c>
      <c r="BP10" s="191">
        <f>'NoPlay-Cap Table'!BP10</f>
        <v>0</v>
      </c>
      <c r="BQ10" s="191">
        <f>'NoPlay-Cap Table'!BQ10</f>
        <v>0</v>
      </c>
      <c r="BR10" s="191">
        <f>'NoPlay-Cap Table'!BR10</f>
        <v>0</v>
      </c>
      <c r="BS10" s="191">
        <f>'NoPlay-Cap Table'!BS10</f>
        <v>0</v>
      </c>
      <c r="BT10" s="191">
        <f>'NoPlay-Cap Table'!BT10</f>
        <v>0</v>
      </c>
      <c r="BU10" s="191">
        <f>'NoPlay-Cap Table'!BU10</f>
        <v>0</v>
      </c>
      <c r="BV10" s="191">
        <f>'NoPlay-Cap Table'!BV10</f>
        <v>0</v>
      </c>
      <c r="BW10" s="191">
        <f>'NoPlay-Cap Table'!BW10</f>
        <v>0</v>
      </c>
      <c r="BX10" s="191">
        <f>'NoPlay-Cap Table'!BX10</f>
        <v>0</v>
      </c>
      <c r="BY10" s="191">
        <f>'NoPlay-Cap Table'!BY10</f>
        <v>0</v>
      </c>
      <c r="BZ10" s="191">
        <f>'NoPlay-Cap Table'!BZ10</f>
        <v>0</v>
      </c>
      <c r="CA10" s="191">
        <f>'NoPlay-Cap Table'!CA10</f>
        <v>0</v>
      </c>
      <c r="CB10" s="180">
        <f>'NoPlay-Cap Table'!CB10</f>
        <v>0</v>
      </c>
      <c r="CC10" s="191">
        <f>'NoPlay-Cap Table'!CC10</f>
        <v>0</v>
      </c>
      <c r="CD10" s="180"/>
      <c r="CE10" s="180"/>
    </row>
    <row r="11" spans="1:83" hidden="1" x14ac:dyDescent="0.35">
      <c r="A11" s="37"/>
      <c r="B11" s="37"/>
      <c r="D11" s="207" t="str">
        <f>'NoPlay-Cap Table'!D11</f>
        <v>Validation</v>
      </c>
      <c r="E11" s="1324" t="str">
        <f>'NoPlay-Cap Table'!E11</f>
        <v>ok</v>
      </c>
      <c r="F11" s="1324">
        <v>0</v>
      </c>
      <c r="G11" s="208">
        <f>'NoPlay-Cap Table'!G11</f>
        <v>0</v>
      </c>
      <c r="H11" s="191">
        <f>'NoPlay-Cap Table'!H11</f>
        <v>0</v>
      </c>
      <c r="I11" s="191">
        <f>'NoPlay-Cap Table'!I11</f>
        <v>0</v>
      </c>
      <c r="J11" s="191">
        <f>'NoPlay-Cap Table'!J11</f>
        <v>0</v>
      </c>
      <c r="K11" s="205" t="str">
        <f>'NoPlay-Cap Table'!K11</f>
        <v>Series E</v>
      </c>
      <c r="L11" s="206" t="e">
        <f>'NoPlay-Cap Table'!L11</f>
        <v>#DIV/0!</v>
      </c>
      <c r="M11" s="205" t="str">
        <f>'NoPlay-Cap Table'!M11</f>
        <v>Common</v>
      </c>
      <c r="N11" s="206" t="e">
        <f>'NoPlay-Cap Table'!N11</f>
        <v>#DIV/0!</v>
      </c>
      <c r="O11" s="191">
        <f>'NoPlay-Cap Table'!O11</f>
        <v>0</v>
      </c>
      <c r="P11" s="196">
        <f>'NoPlay-Cap Table'!P11</f>
        <v>0</v>
      </c>
      <c r="Q11" s="247" t="str">
        <f>'NoPlay-Cap Table'!Q11</f>
        <v>Series G</v>
      </c>
      <c r="R11" s="196">
        <f>'NoPlay-Cap Table'!R11</f>
        <v>0</v>
      </c>
      <c r="S11" s="196">
        <f>'NoPlay-Cap Table'!S11</f>
        <v>0</v>
      </c>
      <c r="T11" s="209">
        <f>'NoPlay-Cap Table'!T11</f>
        <v>0</v>
      </c>
      <c r="U11" s="191">
        <f>'NoPlay-Cap Table'!U11</f>
        <v>0</v>
      </c>
      <c r="V11" s="191">
        <f>'NoPlay-Cap Table'!V11</f>
        <v>0</v>
      </c>
      <c r="W11" s="191">
        <f>'NoPlay-Cap Table'!W11</f>
        <v>0</v>
      </c>
      <c r="X11" s="190">
        <f>'NoPlay-Cap Table'!X11</f>
        <v>0</v>
      </c>
      <c r="Y11" s="192">
        <f>'NoPlay-Cap Table'!Y11</f>
        <v>0</v>
      </c>
      <c r="Z11" s="192">
        <f>'NoPlay-Cap Table'!Z11</f>
        <v>0</v>
      </c>
      <c r="AA11" s="192">
        <f>'NoPlay-Cap Table'!AA11</f>
        <v>0</v>
      </c>
      <c r="AB11" s="192">
        <f>'NoPlay-Cap Table'!AB11</f>
        <v>0</v>
      </c>
      <c r="AC11" s="191">
        <f>'NoPlay-Cap Table'!AC11</f>
        <v>0</v>
      </c>
      <c r="AD11" s="191">
        <f>'NoPlay-Cap Table'!AD11</f>
        <v>0</v>
      </c>
      <c r="AE11" s="191">
        <f>'NoPlay-Cap Table'!AE11</f>
        <v>0</v>
      </c>
      <c r="AF11" s="191">
        <f>'NoPlay-Cap Table'!AF11</f>
        <v>0</v>
      </c>
      <c r="AG11" s="191">
        <f>'NoPlay-Cap Table'!AG11</f>
        <v>0</v>
      </c>
      <c r="AH11" s="191">
        <f>'NoPlay-Cap Table'!AH11</f>
        <v>0</v>
      </c>
      <c r="AI11" s="191">
        <f>'NoPlay-Cap Table'!AI11</f>
        <v>0</v>
      </c>
      <c r="AJ11" s="191">
        <f>'NoPlay-Cap Table'!AJ11</f>
        <v>0</v>
      </c>
      <c r="AK11" s="201">
        <f>'NoPlay-Cap Table'!AK11</f>
        <v>0</v>
      </c>
      <c r="AL11" s="201">
        <f>'NoPlay-Cap Table'!AL11</f>
        <v>0</v>
      </c>
      <c r="AM11" s="191">
        <f>'NoPlay-Cap Table'!AM11</f>
        <v>0</v>
      </c>
      <c r="AN11" s="191">
        <f>'NoPlay-Cap Table'!AN11</f>
        <v>0</v>
      </c>
      <c r="AO11" s="191">
        <f>'NoPlay-Cap Table'!AO11</f>
        <v>0</v>
      </c>
      <c r="AP11" s="191">
        <f>'NoPlay-Cap Table'!AP11</f>
        <v>0</v>
      </c>
      <c r="AQ11" s="191">
        <f>'NoPlay-Cap Table'!AQ11</f>
        <v>0</v>
      </c>
      <c r="AR11" s="191">
        <f>'NoPlay-Cap Table'!AR11</f>
        <v>0</v>
      </c>
      <c r="AS11" s="191">
        <f>'NoPlay-Cap Table'!AS11</f>
        <v>0</v>
      </c>
      <c r="AT11" s="191">
        <f>'NoPlay-Cap Table'!AT11</f>
        <v>0</v>
      </c>
      <c r="AU11" s="191">
        <f>'NoPlay-Cap Table'!AU11</f>
        <v>0</v>
      </c>
      <c r="AV11" s="191">
        <f>'NoPlay-Cap Table'!AV11</f>
        <v>0</v>
      </c>
      <c r="AW11" s="191">
        <f>'NoPlay-Cap Table'!AW11</f>
        <v>0</v>
      </c>
      <c r="AX11" s="191">
        <f>'NoPlay-Cap Table'!AX11</f>
        <v>0</v>
      </c>
      <c r="AY11" s="191">
        <f>'NoPlay-Cap Table'!AY11</f>
        <v>0</v>
      </c>
      <c r="AZ11" s="191">
        <f>'NoPlay-Cap Table'!AZ11</f>
        <v>0</v>
      </c>
      <c r="BA11" s="191">
        <f>'NoPlay-Cap Table'!BA11</f>
        <v>0</v>
      </c>
      <c r="BB11" s="191">
        <f>'NoPlay-Cap Table'!BB11</f>
        <v>0</v>
      </c>
      <c r="BC11" s="191">
        <f>'NoPlay-Cap Table'!BC11</f>
        <v>0</v>
      </c>
      <c r="BD11" s="210">
        <f>'NoPlay-Cap Table'!BD11</f>
        <v>0</v>
      </c>
      <c r="BE11" s="191">
        <f>'NoPlay-Cap Table'!BE11</f>
        <v>0</v>
      </c>
      <c r="BF11" s="191">
        <f>'NoPlay-Cap Table'!BF11</f>
        <v>0</v>
      </c>
      <c r="BG11" s="191">
        <f>'NoPlay-Cap Table'!BG11</f>
        <v>0</v>
      </c>
      <c r="BH11" s="191">
        <f>'NoPlay-Cap Table'!BH11</f>
        <v>0</v>
      </c>
      <c r="BI11" s="191">
        <f>'NoPlay-Cap Table'!BI11</f>
        <v>0</v>
      </c>
      <c r="BJ11" s="191">
        <f>'NoPlay-Cap Table'!BJ11</f>
        <v>0</v>
      </c>
      <c r="BK11" s="191">
        <f>'NoPlay-Cap Table'!BK11</f>
        <v>0</v>
      </c>
      <c r="BL11" s="210">
        <f>'NoPlay-Cap Table'!BL11</f>
        <v>0</v>
      </c>
      <c r="BM11" s="191">
        <f>'NoPlay-Cap Table'!BM11</f>
        <v>0</v>
      </c>
      <c r="BN11" s="210">
        <f>'NoPlay-Cap Table'!BN11</f>
        <v>0</v>
      </c>
      <c r="BO11" s="191">
        <f>'NoPlay-Cap Table'!BO11</f>
        <v>0</v>
      </c>
      <c r="BP11" s="191">
        <f>'NoPlay-Cap Table'!BP11</f>
        <v>0</v>
      </c>
      <c r="BQ11" s="191">
        <f>'NoPlay-Cap Table'!BQ11</f>
        <v>0</v>
      </c>
      <c r="BR11" s="191">
        <f>'NoPlay-Cap Table'!BR11</f>
        <v>0</v>
      </c>
      <c r="BS11" s="191">
        <f>'NoPlay-Cap Table'!BS11</f>
        <v>0</v>
      </c>
      <c r="BT11" s="191">
        <f>'NoPlay-Cap Table'!BT11</f>
        <v>0</v>
      </c>
      <c r="BU11" s="191">
        <f>'NoPlay-Cap Table'!BU11</f>
        <v>0</v>
      </c>
      <c r="BV11" s="191">
        <f>'NoPlay-Cap Table'!BV11</f>
        <v>0</v>
      </c>
      <c r="BW11" s="191">
        <f>'NoPlay-Cap Table'!BW11</f>
        <v>0</v>
      </c>
      <c r="BX11" s="191">
        <f>'NoPlay-Cap Table'!BX11</f>
        <v>0</v>
      </c>
      <c r="BY11" s="191">
        <f>'NoPlay-Cap Table'!BY11</f>
        <v>0</v>
      </c>
      <c r="BZ11" s="191">
        <f>'NoPlay-Cap Table'!BZ11</f>
        <v>0</v>
      </c>
      <c r="CA11" s="191">
        <f>'NoPlay-Cap Table'!CA11</f>
        <v>0</v>
      </c>
      <c r="CB11" s="180">
        <f>'NoPlay-Cap Table'!CB11</f>
        <v>0</v>
      </c>
      <c r="CC11" s="191">
        <f>'NoPlay-Cap Table'!CC11</f>
        <v>0</v>
      </c>
      <c r="CD11" s="180"/>
      <c r="CE11" s="180"/>
    </row>
    <row r="12" spans="1:83" ht="15.75" customHeight="1" x14ac:dyDescent="0.35">
      <c r="A12" s="37"/>
      <c r="B12" s="37"/>
      <c r="D12" s="191">
        <f>'NoPlay-Cap Table'!D12</f>
        <v>0</v>
      </c>
      <c r="E12" s="191">
        <f>'NoPlay-Cap Table'!E12</f>
        <v>0</v>
      </c>
      <c r="F12" s="191">
        <f>'NoPlay-Cap Table'!F12</f>
        <v>0</v>
      </c>
      <c r="G12" s="191">
        <f>'NoPlay-Cap Table'!G12</f>
        <v>0</v>
      </c>
      <c r="H12" s="226">
        <f>'NoPlay-Cap Table'!H12</f>
        <v>0</v>
      </c>
      <c r="I12" s="191">
        <f>'NoPlay-Cap Table'!I12</f>
        <v>0</v>
      </c>
      <c r="J12" s="191">
        <f>'NoPlay-Cap Table'!J12</f>
        <v>0</v>
      </c>
      <c r="K12" s="191">
        <f>'NoPlay-Cap Table'!K12</f>
        <v>0</v>
      </c>
      <c r="L12" s="191">
        <f>'NoPlay-Cap Table'!L12</f>
        <v>0</v>
      </c>
      <c r="M12" s="191">
        <f>'NoPlay-Cap Table'!M12</f>
        <v>0</v>
      </c>
      <c r="N12" s="191">
        <f>'NoPlay-Cap Table'!N12</f>
        <v>0</v>
      </c>
      <c r="O12" s="191">
        <f>'NoPlay-Cap Table'!O12</f>
        <v>0</v>
      </c>
      <c r="P12" s="196">
        <f>'NoPlay-Cap Table'!P12</f>
        <v>0</v>
      </c>
      <c r="Q12" s="196">
        <f>'NoPlay-Cap Table'!Q12</f>
        <v>0</v>
      </c>
      <c r="R12" s="196">
        <f>'NoPlay-Cap Table'!R12</f>
        <v>0</v>
      </c>
      <c r="S12" s="196">
        <f>'NoPlay-Cap Table'!S12</f>
        <v>0</v>
      </c>
      <c r="T12" s="209">
        <f>'NoPlay-Cap Table'!T12</f>
        <v>0</v>
      </c>
      <c r="U12" s="191">
        <f>'NoPlay-Cap Table'!U12</f>
        <v>0</v>
      </c>
      <c r="V12" s="191">
        <f>'NoPlay-Cap Table'!V12</f>
        <v>0</v>
      </c>
      <c r="W12" s="191">
        <f>'NoPlay-Cap Table'!W12</f>
        <v>0</v>
      </c>
      <c r="X12" s="190">
        <f>'NoPlay-Cap Table'!X12</f>
        <v>0</v>
      </c>
      <c r="Y12" s="192">
        <f>'NoPlay-Cap Table'!Y12</f>
        <v>0</v>
      </c>
      <c r="Z12" s="192">
        <f>'NoPlay-Cap Table'!Z12</f>
        <v>0</v>
      </c>
      <c r="AA12" s="192">
        <f>'NoPlay-Cap Table'!AA12</f>
        <v>0</v>
      </c>
      <c r="AB12" s="192">
        <f>'NoPlay-Cap Table'!AB12</f>
        <v>0</v>
      </c>
      <c r="AC12" s="191">
        <f>'NoPlay-Cap Table'!AC12</f>
        <v>0</v>
      </c>
      <c r="AD12" s="191">
        <f>'NoPlay-Cap Table'!AD12</f>
        <v>0</v>
      </c>
      <c r="AE12" s="191">
        <f>'NoPlay-Cap Table'!AE12</f>
        <v>0</v>
      </c>
      <c r="AF12" s="191">
        <f>'NoPlay-Cap Table'!AF12</f>
        <v>0</v>
      </c>
      <c r="AG12" s="191">
        <f>'NoPlay-Cap Table'!AG12</f>
        <v>0</v>
      </c>
      <c r="AH12" s="191">
        <f>'NoPlay-Cap Table'!AH12</f>
        <v>0</v>
      </c>
      <c r="AI12" s="191">
        <f>'NoPlay-Cap Table'!AI12</f>
        <v>0</v>
      </c>
      <c r="AJ12" s="191">
        <f>'NoPlay-Cap Table'!AJ12</f>
        <v>0</v>
      </c>
      <c r="AK12" s="201">
        <f>'NoPlay-Cap Table'!AK12</f>
        <v>0</v>
      </c>
      <c r="AL12" s="201">
        <f>'NoPlay-Cap Table'!AL12</f>
        <v>0</v>
      </c>
      <c r="AM12" s="191">
        <f>'NoPlay-Cap Table'!AM12</f>
        <v>0</v>
      </c>
      <c r="AN12" s="191">
        <f>'NoPlay-Cap Table'!AN12</f>
        <v>0</v>
      </c>
      <c r="AO12" s="191">
        <f>'NoPlay-Cap Table'!AO12</f>
        <v>0</v>
      </c>
      <c r="AP12" s="191">
        <f>'NoPlay-Cap Table'!AP12</f>
        <v>0</v>
      </c>
      <c r="AQ12" s="191">
        <f>'NoPlay-Cap Table'!AQ12</f>
        <v>0</v>
      </c>
      <c r="AR12" s="191">
        <f>'NoPlay-Cap Table'!AR12</f>
        <v>0</v>
      </c>
      <c r="AS12" s="191">
        <f>'NoPlay-Cap Table'!AS12</f>
        <v>0</v>
      </c>
      <c r="AT12" s="191">
        <f>'NoPlay-Cap Table'!AT12</f>
        <v>0</v>
      </c>
      <c r="AU12" s="191">
        <f>'NoPlay-Cap Table'!AU12</f>
        <v>0</v>
      </c>
      <c r="AV12" s="191">
        <f>'NoPlay-Cap Table'!AV12</f>
        <v>0</v>
      </c>
      <c r="AW12" s="191">
        <f>'NoPlay-Cap Table'!AW12</f>
        <v>0</v>
      </c>
      <c r="AX12" s="191">
        <f>'NoPlay-Cap Table'!AX12</f>
        <v>0</v>
      </c>
      <c r="AY12" s="191">
        <f>'NoPlay-Cap Table'!AY12</f>
        <v>0</v>
      </c>
      <c r="AZ12" s="191">
        <f>'NoPlay-Cap Table'!AZ12</f>
        <v>0</v>
      </c>
      <c r="BA12" s="191">
        <f>'NoPlay-Cap Table'!BA12</f>
        <v>0</v>
      </c>
      <c r="BB12" s="191">
        <f>'NoPlay-Cap Table'!BB12</f>
        <v>0</v>
      </c>
      <c r="BC12" s="191">
        <f>'NoPlay-Cap Table'!BC12</f>
        <v>0</v>
      </c>
      <c r="BD12" s="191">
        <f>'NoPlay-Cap Table'!BD12</f>
        <v>0</v>
      </c>
      <c r="BE12" s="191">
        <f>'NoPlay-Cap Table'!BE12</f>
        <v>0</v>
      </c>
      <c r="BF12" s="191">
        <f>'NoPlay-Cap Table'!BF12</f>
        <v>0</v>
      </c>
      <c r="BG12" s="191">
        <f>'NoPlay-Cap Table'!BG12</f>
        <v>0</v>
      </c>
      <c r="BH12" s="191">
        <f>'NoPlay-Cap Table'!BH12</f>
        <v>0</v>
      </c>
      <c r="BI12" s="191">
        <f>'NoPlay-Cap Table'!BI12</f>
        <v>0</v>
      </c>
      <c r="BJ12" s="191">
        <f>'NoPlay-Cap Table'!BJ12</f>
        <v>0</v>
      </c>
      <c r="BK12" s="191">
        <f>'NoPlay-Cap Table'!BK12</f>
        <v>0</v>
      </c>
      <c r="BL12" s="191">
        <f>'NoPlay-Cap Table'!BL12</f>
        <v>0</v>
      </c>
      <c r="BM12" s="191">
        <f>'NoPlay-Cap Table'!BM12</f>
        <v>0</v>
      </c>
      <c r="BN12" s="191">
        <f>'NoPlay-Cap Table'!BN12</f>
        <v>0</v>
      </c>
      <c r="BO12" s="191">
        <f>'NoPlay-Cap Table'!BO12</f>
        <v>0</v>
      </c>
      <c r="BP12" s="191">
        <f>'NoPlay-Cap Table'!BP12</f>
        <v>0</v>
      </c>
      <c r="BQ12" s="191">
        <f>'NoPlay-Cap Table'!BQ12</f>
        <v>0</v>
      </c>
      <c r="BR12" s="191">
        <f>'NoPlay-Cap Table'!BR12</f>
        <v>0</v>
      </c>
      <c r="BS12" s="191">
        <f>'NoPlay-Cap Table'!BS12</f>
        <v>0</v>
      </c>
      <c r="BT12" s="191">
        <f>'NoPlay-Cap Table'!BT12</f>
        <v>0</v>
      </c>
      <c r="BU12" s="191">
        <f>'NoPlay-Cap Table'!BU12</f>
        <v>0</v>
      </c>
      <c r="BV12" s="191">
        <f>'NoPlay-Cap Table'!BV12</f>
        <v>0</v>
      </c>
      <c r="BW12" s="191">
        <f>'NoPlay-Cap Table'!BW12</f>
        <v>0</v>
      </c>
      <c r="BX12" s="191">
        <f>'NoPlay-Cap Table'!BX12</f>
        <v>0</v>
      </c>
      <c r="BY12" s="191">
        <f>'NoPlay-Cap Table'!BY12</f>
        <v>0</v>
      </c>
      <c r="BZ12" s="191">
        <f>'NoPlay-Cap Table'!BZ12</f>
        <v>0</v>
      </c>
      <c r="CA12" s="191">
        <f>'NoPlay-Cap Table'!CA12</f>
        <v>0</v>
      </c>
      <c r="CB12" s="180">
        <f>'NoPlay-Cap Table'!CB12</f>
        <v>0</v>
      </c>
      <c r="CC12" s="191">
        <f>'NoPlay-Cap Table'!CC12</f>
        <v>0</v>
      </c>
      <c r="CD12" s="180"/>
      <c r="CE12" s="180"/>
    </row>
    <row r="13" spans="1:83" s="211" customFormat="1" ht="15.75" customHeight="1" x14ac:dyDescent="0.35">
      <c r="A13" s="212"/>
      <c r="B13" s="212"/>
      <c r="D13" s="211">
        <f>'NoPlay-Cap Table'!D13</f>
        <v>0</v>
      </c>
      <c r="E13" s="211">
        <f>'NoPlay-Cap Table'!E13</f>
        <v>0</v>
      </c>
      <c r="F13" s="211">
        <f>'NoPlay-Cap Table'!F13</f>
        <v>0</v>
      </c>
      <c r="G13" s="213">
        <f>'NoPlay-Cap Table'!G13</f>
        <v>0</v>
      </c>
      <c r="H13" s="1366" t="str">
        <f>'NoPlay-Cap Table'!H13</f>
        <v>Seed</v>
      </c>
      <c r="I13" s="1367">
        <v>0</v>
      </c>
      <c r="J13" s="1367">
        <v>0</v>
      </c>
      <c r="K13" s="1367">
        <v>0</v>
      </c>
      <c r="L13" s="1367">
        <v>0</v>
      </c>
      <c r="M13" s="1367">
        <v>0</v>
      </c>
      <c r="N13" s="1367">
        <v>0</v>
      </c>
      <c r="O13" s="1367">
        <v>0</v>
      </c>
      <c r="P13" s="1366" t="str">
        <f>'NoPlay-Cap Table'!P13</f>
        <v>Series A</v>
      </c>
      <c r="Q13" s="1367">
        <v>0</v>
      </c>
      <c r="R13" s="1367">
        <v>0</v>
      </c>
      <c r="S13" s="1367">
        <v>0</v>
      </c>
      <c r="T13" s="1367">
        <v>0</v>
      </c>
      <c r="U13" s="1367">
        <v>0</v>
      </c>
      <c r="V13" s="1367">
        <v>0</v>
      </c>
      <c r="W13" s="1367">
        <v>0</v>
      </c>
      <c r="X13" s="1366" t="str">
        <f>'NoPlay-Cap Table'!X13</f>
        <v>Series B</v>
      </c>
      <c r="Y13" s="1367">
        <v>0</v>
      </c>
      <c r="Z13" s="1367">
        <v>0</v>
      </c>
      <c r="AA13" s="1367">
        <v>0</v>
      </c>
      <c r="AB13" s="1367">
        <v>0</v>
      </c>
      <c r="AC13" s="1367">
        <v>0</v>
      </c>
      <c r="AD13" s="1367">
        <v>0</v>
      </c>
      <c r="AE13" s="1367">
        <v>0</v>
      </c>
      <c r="AF13" s="1366" t="str">
        <f>'NoPlay-Cap Table'!AF13</f>
        <v>Series C</v>
      </c>
      <c r="AG13" s="1367">
        <v>0</v>
      </c>
      <c r="AH13" s="1367">
        <v>0</v>
      </c>
      <c r="AI13" s="1367">
        <v>0</v>
      </c>
      <c r="AJ13" s="1367">
        <v>0</v>
      </c>
      <c r="AK13" s="1367">
        <v>0</v>
      </c>
      <c r="AL13" s="1367">
        <v>0</v>
      </c>
      <c r="AM13" s="1367">
        <v>0</v>
      </c>
      <c r="AN13" s="1366" t="str">
        <f>'NoPlay-Cap Table'!AN13</f>
        <v>Series D</v>
      </c>
      <c r="AO13" s="1367">
        <v>0</v>
      </c>
      <c r="AP13" s="1367">
        <v>0</v>
      </c>
      <c r="AQ13" s="1367">
        <v>0</v>
      </c>
      <c r="AR13" s="1367">
        <v>0</v>
      </c>
      <c r="AS13" s="1367">
        <v>0</v>
      </c>
      <c r="AT13" s="1367">
        <v>0</v>
      </c>
      <c r="AU13" s="1367">
        <v>0</v>
      </c>
      <c r="AV13" s="1366" t="str">
        <f>'NoPlay-Cap Table'!AV13</f>
        <v>Series E</v>
      </c>
      <c r="AW13" s="1367">
        <v>0</v>
      </c>
      <c r="AX13" s="1367">
        <v>0</v>
      </c>
      <c r="AY13" s="1367">
        <v>0</v>
      </c>
      <c r="AZ13" s="1367">
        <v>0</v>
      </c>
      <c r="BA13" s="1367">
        <v>0</v>
      </c>
      <c r="BB13" s="1367">
        <v>0</v>
      </c>
      <c r="BC13" s="1367">
        <v>0</v>
      </c>
      <c r="BD13" s="1366" t="str">
        <f>'NoPlay-Cap Table'!BD13</f>
        <v>Series E-1</v>
      </c>
      <c r="BE13" s="1367">
        <v>0</v>
      </c>
      <c r="BF13" s="1367">
        <v>0</v>
      </c>
      <c r="BG13" s="1367">
        <v>0</v>
      </c>
      <c r="BH13" s="1367">
        <v>0</v>
      </c>
      <c r="BI13" s="1367">
        <v>0</v>
      </c>
      <c r="BJ13" s="1367">
        <v>0</v>
      </c>
      <c r="BK13" s="1367">
        <v>0</v>
      </c>
      <c r="BL13" s="1366" t="str">
        <f>'NoPlay-Cap Table'!BL13</f>
        <v>Series F</v>
      </c>
      <c r="BM13" s="1367">
        <v>0</v>
      </c>
      <c r="BN13" s="1367">
        <v>0</v>
      </c>
      <c r="BO13" s="1367">
        <v>0</v>
      </c>
      <c r="BP13" s="1367">
        <v>0</v>
      </c>
      <c r="BQ13" s="1367">
        <v>0</v>
      </c>
      <c r="BR13" s="1367">
        <v>0</v>
      </c>
      <c r="BS13" s="1367">
        <v>0</v>
      </c>
      <c r="BT13" s="1367" t="str">
        <f>'NoPlay-Cap Table'!BT13</f>
        <v>Series G</v>
      </c>
      <c r="BU13" s="1367">
        <v>0</v>
      </c>
      <c r="BV13" s="1367">
        <v>0</v>
      </c>
      <c r="BW13" s="1367">
        <v>0</v>
      </c>
      <c r="BX13" s="1367">
        <v>0</v>
      </c>
      <c r="BY13" s="1367">
        <v>0</v>
      </c>
      <c r="BZ13" s="1367">
        <v>0</v>
      </c>
      <c r="CA13" s="1367">
        <v>0</v>
      </c>
      <c r="CB13" s="180">
        <f>'NoPlay-Cap Table'!CB13</f>
        <v>0</v>
      </c>
      <c r="CC13" s="214">
        <f>'NoPlay-Cap Table'!CC13</f>
        <v>0</v>
      </c>
      <c r="CD13" s="180"/>
      <c r="CE13" s="180"/>
    </row>
    <row r="14" spans="1:83" s="215" customFormat="1" ht="15.75" customHeight="1" x14ac:dyDescent="0.35">
      <c r="A14" s="181"/>
      <c r="B14" s="181"/>
      <c r="D14" s="216">
        <f>'NoPlay-Cap Table'!D14</f>
        <v>0</v>
      </c>
      <c r="E14" s="215">
        <f>'NoPlay-Cap Table'!E14</f>
        <v>0</v>
      </c>
      <c r="F14" s="215">
        <f>'NoPlay-Cap Table'!F14</f>
        <v>0</v>
      </c>
      <c r="G14" s="215">
        <f>'NoPlay-Cap Table'!G14</f>
        <v>0</v>
      </c>
      <c r="H14" s="1365" t="str">
        <f>'NoPlay-Cap Table'!H14</f>
        <v>[Date]</v>
      </c>
      <c r="I14" s="1365">
        <v>0</v>
      </c>
      <c r="J14" s="1365">
        <v>0</v>
      </c>
      <c r="K14" s="1365">
        <v>0</v>
      </c>
      <c r="L14" s="1365">
        <v>0</v>
      </c>
      <c r="M14" s="1365">
        <v>0</v>
      </c>
      <c r="N14" s="1365">
        <v>0</v>
      </c>
      <c r="O14" s="1365">
        <v>0</v>
      </c>
      <c r="P14" s="1364" t="str">
        <f>'NoPlay-Cap Table'!P14</f>
        <v>[Date]</v>
      </c>
      <c r="Q14" s="1365">
        <v>0</v>
      </c>
      <c r="R14" s="1365">
        <v>0</v>
      </c>
      <c r="S14" s="1365">
        <v>0</v>
      </c>
      <c r="T14" s="1365">
        <v>0</v>
      </c>
      <c r="U14" s="1365">
        <v>0</v>
      </c>
      <c r="V14" s="1365">
        <v>0</v>
      </c>
      <c r="W14" s="1365">
        <v>0</v>
      </c>
      <c r="X14" s="1364" t="str">
        <f>'NoPlay-Cap Table'!X14</f>
        <v>[Date]</v>
      </c>
      <c r="Y14" s="1365">
        <v>0</v>
      </c>
      <c r="Z14" s="1365">
        <v>0</v>
      </c>
      <c r="AA14" s="1365">
        <v>0</v>
      </c>
      <c r="AB14" s="1365">
        <v>0</v>
      </c>
      <c r="AC14" s="1365">
        <v>0</v>
      </c>
      <c r="AD14" s="1365">
        <v>0</v>
      </c>
      <c r="AE14" s="1365">
        <v>0</v>
      </c>
      <c r="AF14" s="1364" t="str">
        <f>'NoPlay-Cap Table'!AF14</f>
        <v>[Date]</v>
      </c>
      <c r="AG14" s="1365">
        <v>0</v>
      </c>
      <c r="AH14" s="1365">
        <v>0</v>
      </c>
      <c r="AI14" s="1365">
        <v>0</v>
      </c>
      <c r="AJ14" s="1365">
        <v>0</v>
      </c>
      <c r="AK14" s="1365">
        <v>0</v>
      </c>
      <c r="AL14" s="1365">
        <v>0</v>
      </c>
      <c r="AM14" s="1365">
        <v>0</v>
      </c>
      <c r="AN14" s="1364" t="str">
        <f>'NoPlay-Cap Table'!AN14</f>
        <v>[Date]</v>
      </c>
      <c r="AO14" s="1365">
        <v>0</v>
      </c>
      <c r="AP14" s="1365">
        <v>0</v>
      </c>
      <c r="AQ14" s="1365">
        <v>0</v>
      </c>
      <c r="AR14" s="1365">
        <v>0</v>
      </c>
      <c r="AS14" s="1365">
        <v>0</v>
      </c>
      <c r="AT14" s="1365">
        <v>0</v>
      </c>
      <c r="AU14" s="1365">
        <v>0</v>
      </c>
      <c r="AV14" s="1364" t="str">
        <f>'NoPlay-Cap Table'!AV14</f>
        <v>[Date]</v>
      </c>
      <c r="AW14" s="1365">
        <v>0</v>
      </c>
      <c r="AX14" s="1365">
        <v>0</v>
      </c>
      <c r="AY14" s="1365">
        <v>0</v>
      </c>
      <c r="AZ14" s="1365">
        <v>0</v>
      </c>
      <c r="BA14" s="1365">
        <v>0</v>
      </c>
      <c r="BB14" s="1365">
        <v>0</v>
      </c>
      <c r="BC14" s="1365">
        <v>0</v>
      </c>
      <c r="BD14" s="1364" t="str">
        <f>'NoPlay-Cap Table'!BD14</f>
        <v>[Date]</v>
      </c>
      <c r="BE14" s="1365">
        <v>0</v>
      </c>
      <c r="BF14" s="1365">
        <v>0</v>
      </c>
      <c r="BG14" s="1365">
        <v>0</v>
      </c>
      <c r="BH14" s="1365">
        <v>0</v>
      </c>
      <c r="BI14" s="1365">
        <v>0</v>
      </c>
      <c r="BJ14" s="1365">
        <v>0</v>
      </c>
      <c r="BK14" s="1365">
        <v>0</v>
      </c>
      <c r="BL14" s="1364" t="str">
        <f>'NoPlay-Cap Table'!BL14</f>
        <v>[Date]</v>
      </c>
      <c r="BM14" s="1365">
        <v>0</v>
      </c>
      <c r="BN14" s="1365">
        <v>0</v>
      </c>
      <c r="BO14" s="1365">
        <v>0</v>
      </c>
      <c r="BP14" s="1365">
        <v>0</v>
      </c>
      <c r="BQ14" s="1365">
        <v>0</v>
      </c>
      <c r="BR14" s="1365">
        <v>0</v>
      </c>
      <c r="BS14" s="1365">
        <v>0</v>
      </c>
      <c r="BT14" s="1365" t="str">
        <f>'NoPlay-Cap Table'!BT14</f>
        <v>[Date]</v>
      </c>
      <c r="BU14" s="1365">
        <v>0</v>
      </c>
      <c r="BV14" s="1365">
        <v>0</v>
      </c>
      <c r="BW14" s="1365">
        <v>0</v>
      </c>
      <c r="BX14" s="1365">
        <v>0</v>
      </c>
      <c r="BY14" s="1365">
        <v>0</v>
      </c>
      <c r="BZ14" s="1365">
        <v>0</v>
      </c>
      <c r="CA14" s="1365">
        <v>0</v>
      </c>
      <c r="CB14" s="181">
        <f>'NoPlay-Cap Table'!CB14</f>
        <v>0</v>
      </c>
      <c r="CC14" s="215">
        <f>'NoPlay-Cap Table'!CC14</f>
        <v>0</v>
      </c>
      <c r="CD14" s="181"/>
      <c r="CE14" s="181"/>
    </row>
    <row r="15" spans="1:83" s="214" customFormat="1" ht="48" customHeight="1" x14ac:dyDescent="0.35">
      <c r="A15" s="180"/>
      <c r="B15" s="180"/>
      <c r="C15" s="217"/>
      <c r="D15" s="711">
        <f>'NoPlay-Cap Table'!D15</f>
        <v>0</v>
      </c>
      <c r="E15" s="711" t="str">
        <f>'NoPlay-Cap Table'!E15</f>
        <v>Options</v>
      </c>
      <c r="F15" s="711" t="str">
        <f>'NoPlay-Cap Table'!F15</f>
        <v>Warrants</v>
      </c>
      <c r="G15" s="711" t="str">
        <f>'NoPlay-Cap Table'!G15</f>
        <v>Common Stock</v>
      </c>
      <c r="H15" s="267" t="str">
        <f>'NoPlay-Cap Table'!H15</f>
        <v>Seed Preferred</v>
      </c>
      <c r="I15" s="711" t="str">
        <f>'NoPlay-Cap Table'!I15</f>
        <v>Seed Warrants</v>
      </c>
      <c r="J15" s="711" t="str">
        <f>'NoPlay-Cap Table'!J15</f>
        <v>Seed      $$ Invested</v>
      </c>
      <c r="K15" s="711" t="str">
        <f>'NoPlay-Cap Table'!K15</f>
        <v>Seed Preferred  %</v>
      </c>
      <c r="L15" s="711" t="str">
        <f>'NoPlay-Cap Table'!L15</f>
        <v>Total Preferred
Shares</v>
      </c>
      <c r="M15" s="711" t="str">
        <f>'NoPlay-Cap Table'!M15</f>
        <v>Fully Diluted Shares</v>
      </c>
      <c r="N15" s="711" t="str">
        <f>'NoPlay-Cap Table'!N15</f>
        <v>% Total Preferred</v>
      </c>
      <c r="O15" s="711" t="str">
        <f>'NoPlay-Cap Table'!O15</f>
        <v>% Fully Diluted</v>
      </c>
      <c r="P15" s="267" t="str">
        <f>'NoPlay-Cap Table'!P15</f>
        <v>Series A Preferred</v>
      </c>
      <c r="Q15" s="711" t="str">
        <f>'NoPlay-Cap Table'!Q15</f>
        <v>Series A Warrants</v>
      </c>
      <c r="R15" s="711" t="str">
        <f>'NoPlay-Cap Table'!R15</f>
        <v>Series A      $$ Invested</v>
      </c>
      <c r="S15" s="711" t="str">
        <f>'NoPlay-Cap Table'!S15</f>
        <v>Series A Preferred  %</v>
      </c>
      <c r="T15" s="711" t="str">
        <f>'NoPlay-Cap Table'!T15</f>
        <v>Total Preferred
Shares</v>
      </c>
      <c r="U15" s="711" t="str">
        <f>'NoPlay-Cap Table'!U15</f>
        <v>Fully Diluted Shares</v>
      </c>
      <c r="V15" s="711" t="str">
        <f>'NoPlay-Cap Table'!V15</f>
        <v>% Total Preferred</v>
      </c>
      <c r="W15" s="711" t="str">
        <f>'NoPlay-Cap Table'!W15</f>
        <v>% Fully Diluted</v>
      </c>
      <c r="X15" s="267" t="str">
        <f>'NoPlay-Cap Table'!X15</f>
        <v>Series B Preferred</v>
      </c>
      <c r="Y15" s="711" t="str">
        <f>'NoPlay-Cap Table'!Y15</f>
        <v>Series B Warrants</v>
      </c>
      <c r="Z15" s="711" t="str">
        <f>'NoPlay-Cap Table'!Z15</f>
        <v>Series B      $$ Invested</v>
      </c>
      <c r="AA15" s="711" t="str">
        <f>'NoPlay-Cap Table'!AA15</f>
        <v>Series B Preferred  %</v>
      </c>
      <c r="AB15" s="711" t="str">
        <f>'NoPlay-Cap Table'!AB15</f>
        <v>Total Preferred
Shares</v>
      </c>
      <c r="AC15" s="711" t="str">
        <f>'NoPlay-Cap Table'!AC15</f>
        <v>Fully Diluted Shares</v>
      </c>
      <c r="AD15" s="711" t="str">
        <f>'NoPlay-Cap Table'!AD15</f>
        <v>% Total Preferred</v>
      </c>
      <c r="AE15" s="711" t="str">
        <f>'NoPlay-Cap Table'!AE15</f>
        <v>% Fully Diluted</v>
      </c>
      <c r="AF15" s="267" t="str">
        <f>'NoPlay-Cap Table'!AF15</f>
        <v>Series C Preferred</v>
      </c>
      <c r="AG15" s="711" t="str">
        <f>'NoPlay-Cap Table'!AG15</f>
        <v>Series C Warrants</v>
      </c>
      <c r="AH15" s="711" t="str">
        <f>'NoPlay-Cap Table'!AH15</f>
        <v>Series C      $$ Invested</v>
      </c>
      <c r="AI15" s="711" t="str">
        <f>'NoPlay-Cap Table'!AI15</f>
        <v>Series C Preferred  %</v>
      </c>
      <c r="AJ15" s="711" t="str">
        <f>'NoPlay-Cap Table'!AJ15</f>
        <v>Total Preferred
Shares</v>
      </c>
      <c r="AK15" s="711" t="str">
        <f>'NoPlay-Cap Table'!AK15</f>
        <v>Fully Diluted Shares</v>
      </c>
      <c r="AL15" s="711" t="str">
        <f>'NoPlay-Cap Table'!AL15</f>
        <v>% Total Preferred</v>
      </c>
      <c r="AM15" s="711" t="str">
        <f>'NoPlay-Cap Table'!AM15</f>
        <v>% Fully Diluted</v>
      </c>
      <c r="AN15" s="267" t="str">
        <f>'NoPlay-Cap Table'!AN15</f>
        <v>Series D Preferred</v>
      </c>
      <c r="AO15" s="711" t="str">
        <f>'NoPlay-Cap Table'!AO15</f>
        <v>Series D Warrants</v>
      </c>
      <c r="AP15" s="711" t="str">
        <f>'NoPlay-Cap Table'!AP15</f>
        <v>Series D      $$ Invested</v>
      </c>
      <c r="AQ15" s="711" t="str">
        <f>'NoPlay-Cap Table'!AQ15</f>
        <v>Series D Preferred  %</v>
      </c>
      <c r="AR15" s="711" t="str">
        <f>'NoPlay-Cap Table'!AR15</f>
        <v>Total Preferred
Shares</v>
      </c>
      <c r="AS15" s="711" t="str">
        <f>'NoPlay-Cap Table'!AS15</f>
        <v>Fully Diluted Shares</v>
      </c>
      <c r="AT15" s="711" t="str">
        <f>'NoPlay-Cap Table'!AT15</f>
        <v>% Total Preferred</v>
      </c>
      <c r="AU15" s="711" t="str">
        <f>'NoPlay-Cap Table'!AU15</f>
        <v>% Fully Diluted</v>
      </c>
      <c r="AV15" s="267" t="str">
        <f>'NoPlay-Cap Table'!AV15</f>
        <v>Series E Preferred</v>
      </c>
      <c r="AW15" s="711" t="str">
        <f>'NoPlay-Cap Table'!AW15</f>
        <v>Series E Warrants</v>
      </c>
      <c r="AX15" s="711" t="str">
        <f>'NoPlay-Cap Table'!AX15</f>
        <v>Series E      $$ Invested (k)</v>
      </c>
      <c r="AY15" s="711" t="str">
        <f>'NoPlay-Cap Table'!AY15</f>
        <v>Series E Preferred  %</v>
      </c>
      <c r="AZ15" s="711" t="str">
        <f>'NoPlay-Cap Table'!AZ15</f>
        <v>Total Preferred
Shares</v>
      </c>
      <c r="BA15" s="711" t="str">
        <f>'NoPlay-Cap Table'!BA15</f>
        <v>Fully Diluted Shares</v>
      </c>
      <c r="BB15" s="711" t="str">
        <f>'NoPlay-Cap Table'!BB15</f>
        <v>% Total Preferred</v>
      </c>
      <c r="BC15" s="711" t="str">
        <f>'NoPlay-Cap Table'!BC15</f>
        <v>% Fully Diluted</v>
      </c>
      <c r="BD15" s="267" t="str">
        <f>'NoPlay-Cap Table'!BD15</f>
        <v>Series E-1 Preferred</v>
      </c>
      <c r="BE15" s="711" t="str">
        <f>'NoPlay-Cap Table'!BE15</f>
        <v>Series E-1 Warrants</v>
      </c>
      <c r="BF15" s="711" t="str">
        <f>'NoPlay-Cap Table'!BF15</f>
        <v>Series E-1      $$ Invested (k)</v>
      </c>
      <c r="BG15" s="711" t="str">
        <f>'NoPlay-Cap Table'!BG15</f>
        <v>Series E-1 Preferred  %</v>
      </c>
      <c r="BH15" s="711" t="str">
        <f>'NoPlay-Cap Table'!BH15</f>
        <v>Total Preferred
Shares</v>
      </c>
      <c r="BI15" s="711" t="str">
        <f>'NoPlay-Cap Table'!BI15</f>
        <v>Fully Diluted Shares</v>
      </c>
      <c r="BJ15" s="711" t="str">
        <f>'NoPlay-Cap Table'!BJ15</f>
        <v>% Total Preferred</v>
      </c>
      <c r="BK15" s="711" t="str">
        <f>'NoPlay-Cap Table'!BK15</f>
        <v>% Fully Diluted</v>
      </c>
      <c r="BL15" s="267" t="str">
        <f>'NoPlay-Cap Table'!BL15</f>
        <v>Series F Preferred</v>
      </c>
      <c r="BM15" s="711" t="str">
        <f>'NoPlay-Cap Table'!BM15</f>
        <v>Series F Warrants</v>
      </c>
      <c r="BN15" s="711" t="str">
        <f>'NoPlay-Cap Table'!BN15</f>
        <v>Series F      $$ Invested (k)</v>
      </c>
      <c r="BO15" s="711" t="str">
        <f>'NoPlay-Cap Table'!BO15</f>
        <v>Series F Preferred  %</v>
      </c>
      <c r="BP15" s="711" t="str">
        <f>'NoPlay-Cap Table'!BP15</f>
        <v>Total Preferred
Shares</v>
      </c>
      <c r="BQ15" s="711" t="str">
        <f>'NoPlay-Cap Table'!BQ15</f>
        <v>Fully Diluted Shares</v>
      </c>
      <c r="BR15" s="711" t="str">
        <f>'NoPlay-Cap Table'!BR15</f>
        <v>% Total Preferred</v>
      </c>
      <c r="BS15" s="711" t="str">
        <f>'NoPlay-Cap Table'!BS15</f>
        <v>% Fully Diluted</v>
      </c>
      <c r="BT15" s="711" t="str">
        <f>'NoPlay-Cap Table'!BT15</f>
        <v>Series G Preferred</v>
      </c>
      <c r="BU15" s="711" t="str">
        <f>'NoPlay-Cap Table'!BU15</f>
        <v>Series G Warrants</v>
      </c>
      <c r="BV15" s="711" t="str">
        <f>'NoPlay-Cap Table'!BV15</f>
        <v>Series G      $$ Invested</v>
      </c>
      <c r="BW15" s="711" t="str">
        <f>'NoPlay-Cap Table'!BW15</f>
        <v>Series G Preferred  %</v>
      </c>
      <c r="BX15" s="711" t="str">
        <f>'NoPlay-Cap Table'!BX15</f>
        <v>Total Preferred
Shares</v>
      </c>
      <c r="BY15" s="711" t="str">
        <f>'NoPlay-Cap Table'!BY15</f>
        <v>Fully Diluted Shares</v>
      </c>
      <c r="BZ15" s="711" t="str">
        <f>'NoPlay-Cap Table'!BZ15</f>
        <v>% Total Preferred</v>
      </c>
      <c r="CA15" s="711" t="str">
        <f>'NoPlay-Cap Table'!CA15</f>
        <v>% Fully Diluted</v>
      </c>
      <c r="CB15" s="180">
        <f>'NoPlay-Cap Table'!CB15</f>
        <v>0</v>
      </c>
      <c r="CC15" s="711" t="str">
        <f>'NoPlay-Cap Table'!CC15</f>
        <v>TOTAL $$ INVESTED</v>
      </c>
      <c r="CD15" s="180"/>
      <c r="CE15" s="180"/>
    </row>
    <row r="16" spans="1:83" s="226" customFormat="1" ht="15.75" customHeight="1" x14ac:dyDescent="0.35">
      <c r="A16" s="180"/>
      <c r="B16" s="180"/>
      <c r="C16" s="218">
        <v>1</v>
      </c>
      <c r="D16" s="219" t="str">
        <f>'NoPlay-Cap Table'!D16</f>
        <v>Issue Price</v>
      </c>
      <c r="E16" s="220">
        <f>'NoPlay-Cap Table'!E16</f>
        <v>0</v>
      </c>
      <c r="F16" s="220">
        <f>'NoPlay-Cap Table'!F16</f>
        <v>0</v>
      </c>
      <c r="G16" s="220">
        <f>'NoPlay-Cap Table'!G16</f>
        <v>0</v>
      </c>
      <c r="H16" s="221" t="e">
        <f>'NoPlay-Cap Table'!H16</f>
        <v>#DIV/0!</v>
      </c>
      <c r="I16" s="221" t="e">
        <f>'NoPlay-Cap Table'!I16</f>
        <v>#DIV/0!</v>
      </c>
      <c r="J16" s="220">
        <f>'NoPlay-Cap Table'!J16</f>
        <v>0</v>
      </c>
      <c r="K16" s="220">
        <f>'NoPlay-Cap Table'!K16</f>
        <v>0</v>
      </c>
      <c r="L16" s="220">
        <f>'NoPlay-Cap Table'!L16</f>
        <v>0</v>
      </c>
      <c r="M16" s="220">
        <f>'NoPlay-Cap Table'!M16</f>
        <v>0</v>
      </c>
      <c r="N16" s="222">
        <f>'NoPlay-Cap Table'!N16</f>
        <v>0</v>
      </c>
      <c r="O16" s="223">
        <f>'NoPlay-Cap Table'!O16</f>
        <v>0</v>
      </c>
      <c r="P16" s="221">
        <f>'NoPlay-Cap Table'!P16</f>
        <v>0</v>
      </c>
      <c r="Q16" s="221">
        <f>'NoPlay-Cap Table'!Q16</f>
        <v>0</v>
      </c>
      <c r="R16" s="222">
        <f>'NoPlay-Cap Table'!R16</f>
        <v>0</v>
      </c>
      <c r="S16" s="222">
        <f>'NoPlay-Cap Table'!S16</f>
        <v>0</v>
      </c>
      <c r="T16" s="222">
        <f>'NoPlay-Cap Table'!T16</f>
        <v>0</v>
      </c>
      <c r="U16" s="222">
        <f>'NoPlay-Cap Table'!U16</f>
        <v>0</v>
      </c>
      <c r="V16" s="222">
        <f>'NoPlay-Cap Table'!V16</f>
        <v>0</v>
      </c>
      <c r="W16" s="222">
        <f>'NoPlay-Cap Table'!W16</f>
        <v>0</v>
      </c>
      <c r="X16" s="221">
        <f>'NoPlay-Cap Table'!X16</f>
        <v>0</v>
      </c>
      <c r="Y16" s="221">
        <f>'NoPlay-Cap Table'!Y16</f>
        <v>0</v>
      </c>
      <c r="Z16" s="222">
        <f>'NoPlay-Cap Table'!Z16</f>
        <v>0</v>
      </c>
      <c r="AA16" s="222">
        <f>'NoPlay-Cap Table'!AA16</f>
        <v>0</v>
      </c>
      <c r="AB16" s="222">
        <f>'NoPlay-Cap Table'!AB16</f>
        <v>0</v>
      </c>
      <c r="AC16" s="222">
        <f>'NoPlay-Cap Table'!AC16</f>
        <v>0</v>
      </c>
      <c r="AD16" s="222">
        <f>'NoPlay-Cap Table'!AD16</f>
        <v>0</v>
      </c>
      <c r="AE16" s="222">
        <f>'NoPlay-Cap Table'!AE16</f>
        <v>0</v>
      </c>
      <c r="AF16" s="221">
        <f>'NoPlay-Cap Table'!AF16</f>
        <v>0</v>
      </c>
      <c r="AG16" s="221">
        <f>'NoPlay-Cap Table'!AG16</f>
        <v>0</v>
      </c>
      <c r="AH16" s="222">
        <f>'NoPlay-Cap Table'!AH16</f>
        <v>0</v>
      </c>
      <c r="AI16" s="222">
        <f>'NoPlay-Cap Table'!AI16</f>
        <v>0</v>
      </c>
      <c r="AJ16" s="222">
        <f>'NoPlay-Cap Table'!AJ16</f>
        <v>0</v>
      </c>
      <c r="AK16" s="222">
        <f>'NoPlay-Cap Table'!AK16</f>
        <v>0</v>
      </c>
      <c r="AL16" s="222">
        <f>'NoPlay-Cap Table'!AL16</f>
        <v>0</v>
      </c>
      <c r="AM16" s="222">
        <f>'NoPlay-Cap Table'!AM16</f>
        <v>0</v>
      </c>
      <c r="AN16" s="221">
        <f>'NoPlay-Cap Table'!AN16</f>
        <v>0</v>
      </c>
      <c r="AO16" s="221">
        <f>'NoPlay-Cap Table'!AO16</f>
        <v>0</v>
      </c>
      <c r="AP16" s="222">
        <f>'NoPlay-Cap Table'!AP16</f>
        <v>0</v>
      </c>
      <c r="AQ16" s="222">
        <f>'NoPlay-Cap Table'!AQ16</f>
        <v>0</v>
      </c>
      <c r="AR16" s="222">
        <f>'NoPlay-Cap Table'!AR16</f>
        <v>0</v>
      </c>
      <c r="AS16" s="222">
        <f>'NoPlay-Cap Table'!AS16</f>
        <v>0</v>
      </c>
      <c r="AT16" s="222">
        <f>'NoPlay-Cap Table'!AT16</f>
        <v>0</v>
      </c>
      <c r="AU16" s="222">
        <f>'NoPlay-Cap Table'!AU16</f>
        <v>0</v>
      </c>
      <c r="AV16" s="221">
        <f>'NoPlay-Cap Table'!AV16</f>
        <v>0</v>
      </c>
      <c r="AW16" s="221">
        <f>'NoPlay-Cap Table'!AW16</f>
        <v>0</v>
      </c>
      <c r="AX16" s="222">
        <f>'NoPlay-Cap Table'!AX16</f>
        <v>0</v>
      </c>
      <c r="AY16" s="222">
        <f>'NoPlay-Cap Table'!AY16</f>
        <v>0</v>
      </c>
      <c r="AZ16" s="222">
        <f>'NoPlay-Cap Table'!AZ16</f>
        <v>0</v>
      </c>
      <c r="BA16" s="222">
        <f>'NoPlay-Cap Table'!BA16</f>
        <v>0</v>
      </c>
      <c r="BB16" s="222">
        <f>'NoPlay-Cap Table'!BB16</f>
        <v>0</v>
      </c>
      <c r="BC16" s="222">
        <f>'NoPlay-Cap Table'!BC16</f>
        <v>0</v>
      </c>
      <c r="BD16" s="221">
        <f>'NoPlay-Cap Table'!BD16</f>
        <v>0</v>
      </c>
      <c r="BE16" s="221">
        <f>'NoPlay-Cap Table'!BE16</f>
        <v>0</v>
      </c>
      <c r="BF16" s="222">
        <f>'NoPlay-Cap Table'!BF16</f>
        <v>0</v>
      </c>
      <c r="BG16" s="222">
        <f>'NoPlay-Cap Table'!BG16</f>
        <v>0</v>
      </c>
      <c r="BH16" s="222">
        <f>'NoPlay-Cap Table'!BH16</f>
        <v>0</v>
      </c>
      <c r="BI16" s="222">
        <f>'NoPlay-Cap Table'!BI16</f>
        <v>0</v>
      </c>
      <c r="BJ16" s="222">
        <f>'NoPlay-Cap Table'!BJ16</f>
        <v>0</v>
      </c>
      <c r="BK16" s="222">
        <f>'NoPlay-Cap Table'!BK16</f>
        <v>0</v>
      </c>
      <c r="BL16" s="221">
        <f>'NoPlay-Cap Table'!BL16</f>
        <v>0</v>
      </c>
      <c r="BM16" s="221">
        <f>'NoPlay-Cap Table'!BM16</f>
        <v>0</v>
      </c>
      <c r="BN16" s="222">
        <f>'NoPlay-Cap Table'!BN16</f>
        <v>0</v>
      </c>
      <c r="BO16" s="222">
        <f>'NoPlay-Cap Table'!BO16</f>
        <v>0</v>
      </c>
      <c r="BP16" s="222">
        <f>'NoPlay-Cap Table'!BP16</f>
        <v>0</v>
      </c>
      <c r="BQ16" s="222">
        <f>'NoPlay-Cap Table'!BQ16</f>
        <v>0</v>
      </c>
      <c r="BR16" s="222">
        <f>'NoPlay-Cap Table'!BR16</f>
        <v>0</v>
      </c>
      <c r="BS16" s="222">
        <f>'NoPlay-Cap Table'!BS16</f>
        <v>0</v>
      </c>
      <c r="BT16" s="221">
        <f>'NoPlay-Cap Table'!BT16</f>
        <v>0</v>
      </c>
      <c r="BU16" s="221">
        <f>'NoPlay-Cap Table'!BU16</f>
        <v>0</v>
      </c>
      <c r="BV16" s="222">
        <f>'NoPlay-Cap Table'!BV16</f>
        <v>0</v>
      </c>
      <c r="BW16" s="222">
        <f>'NoPlay-Cap Table'!BW16</f>
        <v>0</v>
      </c>
      <c r="BX16" s="222">
        <f>'NoPlay-Cap Table'!BX16</f>
        <v>0</v>
      </c>
      <c r="BY16" s="222">
        <f>'NoPlay-Cap Table'!BY16</f>
        <v>0</v>
      </c>
      <c r="BZ16" s="222">
        <f>'NoPlay-Cap Table'!BZ16</f>
        <v>0</v>
      </c>
      <c r="CA16" s="224">
        <f>'NoPlay-Cap Table'!CA16</f>
        <v>0</v>
      </c>
      <c r="CB16" s="180">
        <f>'NoPlay-Cap Table'!CB16</f>
        <v>0</v>
      </c>
      <c r="CC16" s="225">
        <f>'NoPlay-Cap Table'!CC16</f>
        <v>0</v>
      </c>
      <c r="CD16" s="180"/>
      <c r="CE16" s="180"/>
    </row>
    <row r="17" spans="1:85" s="226" customFormat="1" ht="15.75" customHeight="1" x14ac:dyDescent="0.35">
      <c r="A17" s="180"/>
      <c r="B17" s="180"/>
      <c r="C17" s="218">
        <v>2</v>
      </c>
      <c r="D17" s="219" t="str">
        <f>'NoPlay-Cap Table'!D17</f>
        <v>Liquidation Preference Multiple</v>
      </c>
      <c r="E17" s="220">
        <f>'NoPlay-Cap Table'!E17</f>
        <v>0</v>
      </c>
      <c r="F17" s="220">
        <f>'NoPlay-Cap Table'!F17</f>
        <v>0</v>
      </c>
      <c r="G17" s="220">
        <f>'NoPlay-Cap Table'!G17</f>
        <v>0</v>
      </c>
      <c r="H17" s="227">
        <f>'NoPlay-Cap Table'!H17</f>
        <v>1</v>
      </c>
      <c r="I17" s="222">
        <f>'NoPlay-Cap Table'!I17</f>
        <v>0</v>
      </c>
      <c r="J17" s="222">
        <f>'NoPlay-Cap Table'!J17</f>
        <v>0</v>
      </c>
      <c r="K17" s="222">
        <f>'NoPlay-Cap Table'!K17</f>
        <v>0</v>
      </c>
      <c r="L17" s="222">
        <f>'NoPlay-Cap Table'!L17</f>
        <v>0</v>
      </c>
      <c r="M17" s="222">
        <f>'NoPlay-Cap Table'!M17</f>
        <v>0</v>
      </c>
      <c r="N17" s="222">
        <f>'NoPlay-Cap Table'!N17</f>
        <v>0</v>
      </c>
      <c r="O17" s="222">
        <f>'NoPlay-Cap Table'!O17</f>
        <v>0</v>
      </c>
      <c r="P17" s="227">
        <f>'NoPlay-Cap Table'!P17</f>
        <v>1</v>
      </c>
      <c r="Q17" s="222">
        <f>'NoPlay-Cap Table'!Q17</f>
        <v>0</v>
      </c>
      <c r="R17" s="222">
        <f>'NoPlay-Cap Table'!R17</f>
        <v>0</v>
      </c>
      <c r="S17" s="222">
        <f>'NoPlay-Cap Table'!S17</f>
        <v>0</v>
      </c>
      <c r="T17" s="222">
        <f>'NoPlay-Cap Table'!T17</f>
        <v>0</v>
      </c>
      <c r="U17" s="222">
        <f>'NoPlay-Cap Table'!U17</f>
        <v>0</v>
      </c>
      <c r="V17" s="222">
        <f>'NoPlay-Cap Table'!V17</f>
        <v>0</v>
      </c>
      <c r="W17" s="222">
        <f>'NoPlay-Cap Table'!W17</f>
        <v>0</v>
      </c>
      <c r="X17" s="227">
        <f>'NoPlay-Cap Table'!X17</f>
        <v>1</v>
      </c>
      <c r="Y17" s="222">
        <f>'NoPlay-Cap Table'!Y17</f>
        <v>0</v>
      </c>
      <c r="Z17" s="222">
        <f>'NoPlay-Cap Table'!Z17</f>
        <v>0</v>
      </c>
      <c r="AA17" s="222">
        <f>'NoPlay-Cap Table'!AA17</f>
        <v>0</v>
      </c>
      <c r="AB17" s="222">
        <f>'NoPlay-Cap Table'!AB17</f>
        <v>0</v>
      </c>
      <c r="AC17" s="222">
        <f>'NoPlay-Cap Table'!AC17</f>
        <v>0</v>
      </c>
      <c r="AD17" s="222">
        <f>'NoPlay-Cap Table'!AD17</f>
        <v>0</v>
      </c>
      <c r="AE17" s="222">
        <f>'NoPlay-Cap Table'!AE17</f>
        <v>0</v>
      </c>
      <c r="AF17" s="227">
        <f>'NoPlay-Cap Table'!AF17</f>
        <v>1</v>
      </c>
      <c r="AG17" s="222">
        <f>'NoPlay-Cap Table'!AG17</f>
        <v>0</v>
      </c>
      <c r="AH17" s="222">
        <f>'NoPlay-Cap Table'!AH17</f>
        <v>0</v>
      </c>
      <c r="AI17" s="222">
        <f>'NoPlay-Cap Table'!AI17</f>
        <v>0</v>
      </c>
      <c r="AJ17" s="222">
        <f>'NoPlay-Cap Table'!AJ17</f>
        <v>0</v>
      </c>
      <c r="AK17" s="222">
        <f>'NoPlay-Cap Table'!AK17</f>
        <v>0</v>
      </c>
      <c r="AL17" s="222">
        <f>'NoPlay-Cap Table'!AL17</f>
        <v>0</v>
      </c>
      <c r="AM17" s="222">
        <f>'NoPlay-Cap Table'!AM17</f>
        <v>0</v>
      </c>
      <c r="AN17" s="227">
        <f>'NoPlay-Cap Table'!AN17</f>
        <v>1</v>
      </c>
      <c r="AO17" s="222">
        <f>'NoPlay-Cap Table'!AO17</f>
        <v>0</v>
      </c>
      <c r="AP17" s="222">
        <f>'NoPlay-Cap Table'!AP17</f>
        <v>0</v>
      </c>
      <c r="AQ17" s="222">
        <f>'NoPlay-Cap Table'!AQ17</f>
        <v>0</v>
      </c>
      <c r="AR17" s="222">
        <f>'NoPlay-Cap Table'!AR17</f>
        <v>0</v>
      </c>
      <c r="AS17" s="222">
        <f>'NoPlay-Cap Table'!AS17</f>
        <v>0</v>
      </c>
      <c r="AT17" s="222">
        <f>'NoPlay-Cap Table'!AT17</f>
        <v>0</v>
      </c>
      <c r="AU17" s="222">
        <f>'NoPlay-Cap Table'!AU17</f>
        <v>0</v>
      </c>
      <c r="AV17" s="227">
        <f>'NoPlay-Cap Table'!AV17</f>
        <v>1</v>
      </c>
      <c r="AW17" s="222">
        <f>'NoPlay-Cap Table'!AW17</f>
        <v>0</v>
      </c>
      <c r="AX17" s="222">
        <f>'NoPlay-Cap Table'!AX17</f>
        <v>0</v>
      </c>
      <c r="AY17" s="222">
        <f>'NoPlay-Cap Table'!AY17</f>
        <v>0</v>
      </c>
      <c r="AZ17" s="222">
        <f>'NoPlay-Cap Table'!AZ17</f>
        <v>0</v>
      </c>
      <c r="BA17" s="222">
        <f>'NoPlay-Cap Table'!BA17</f>
        <v>0</v>
      </c>
      <c r="BB17" s="222">
        <f>'NoPlay-Cap Table'!BB17</f>
        <v>0</v>
      </c>
      <c r="BC17" s="222">
        <f>'NoPlay-Cap Table'!BC17</f>
        <v>0</v>
      </c>
      <c r="BD17" s="227">
        <f>'NoPlay-Cap Table'!BD17</f>
        <v>1</v>
      </c>
      <c r="BE17" s="222">
        <f>'NoPlay-Cap Table'!BE17</f>
        <v>0</v>
      </c>
      <c r="BF17" s="222">
        <f>'NoPlay-Cap Table'!BF17</f>
        <v>0</v>
      </c>
      <c r="BG17" s="222">
        <f>'NoPlay-Cap Table'!BG17</f>
        <v>0</v>
      </c>
      <c r="BH17" s="222">
        <f>'NoPlay-Cap Table'!BH17</f>
        <v>0</v>
      </c>
      <c r="BI17" s="222">
        <f>'NoPlay-Cap Table'!BI17</f>
        <v>0</v>
      </c>
      <c r="BJ17" s="222">
        <f>'NoPlay-Cap Table'!BJ17</f>
        <v>0</v>
      </c>
      <c r="BK17" s="222">
        <f>'NoPlay-Cap Table'!BK17</f>
        <v>0</v>
      </c>
      <c r="BL17" s="227">
        <f>'NoPlay-Cap Table'!BL17</f>
        <v>1</v>
      </c>
      <c r="BM17" s="222">
        <f>'NoPlay-Cap Table'!BM17</f>
        <v>0</v>
      </c>
      <c r="BN17" s="222">
        <f>'NoPlay-Cap Table'!BN17</f>
        <v>0</v>
      </c>
      <c r="BO17" s="222">
        <f>'NoPlay-Cap Table'!BO17</f>
        <v>0</v>
      </c>
      <c r="BP17" s="222">
        <f>'NoPlay-Cap Table'!BP17</f>
        <v>0</v>
      </c>
      <c r="BQ17" s="222">
        <f>'NoPlay-Cap Table'!BQ17</f>
        <v>0</v>
      </c>
      <c r="BR17" s="222">
        <f>'NoPlay-Cap Table'!BR17</f>
        <v>0</v>
      </c>
      <c r="BS17" s="222">
        <f>'NoPlay-Cap Table'!BS17</f>
        <v>0</v>
      </c>
      <c r="BT17" s="227">
        <f>'NoPlay-Cap Table'!BT17</f>
        <v>1</v>
      </c>
      <c r="BU17" s="222">
        <f>'NoPlay-Cap Table'!BU17</f>
        <v>0</v>
      </c>
      <c r="BV17" s="222">
        <f>'NoPlay-Cap Table'!BV17</f>
        <v>0</v>
      </c>
      <c r="BW17" s="222">
        <f>'NoPlay-Cap Table'!BW17</f>
        <v>0</v>
      </c>
      <c r="BX17" s="222">
        <f>'NoPlay-Cap Table'!BX17</f>
        <v>0</v>
      </c>
      <c r="BY17" s="222">
        <f>'NoPlay-Cap Table'!BY17</f>
        <v>0</v>
      </c>
      <c r="BZ17" s="222">
        <f>'NoPlay-Cap Table'!BZ17</f>
        <v>0</v>
      </c>
      <c r="CA17" s="228">
        <f>'NoPlay-Cap Table'!CA17</f>
        <v>0</v>
      </c>
      <c r="CB17" s="180">
        <f>'NoPlay-Cap Table'!CB17</f>
        <v>0</v>
      </c>
      <c r="CC17" s="229">
        <f>'NoPlay-Cap Table'!CC17</f>
        <v>0</v>
      </c>
      <c r="CD17" s="180"/>
      <c r="CE17" s="180"/>
    </row>
    <row r="18" spans="1:85" s="226" customFormat="1" ht="15.75" customHeight="1" x14ac:dyDescent="0.35">
      <c r="A18" s="180"/>
      <c r="B18" s="180"/>
      <c r="C18" s="218">
        <v>3</v>
      </c>
      <c r="D18" s="219" t="str">
        <f>'NoPlay-Cap Table'!D18</f>
        <v>Seniority Rank</v>
      </c>
      <c r="E18" s="230">
        <f>'NoPlay-Cap Table'!E18</f>
        <v>0</v>
      </c>
      <c r="F18" s="230">
        <f>'NoPlay-Cap Table'!F18</f>
        <v>0</v>
      </c>
      <c r="G18" s="230">
        <f>'NoPlay-Cap Table'!G18</f>
        <v>0</v>
      </c>
      <c r="H18" s="326">
        <f>'NoPlay-Cap Table'!H18</f>
        <v>3</v>
      </c>
      <c r="I18" s="231">
        <f>'NoPlay-Cap Table'!I18</f>
        <v>0</v>
      </c>
      <c r="J18" s="231">
        <f>'NoPlay-Cap Table'!J18</f>
        <v>0</v>
      </c>
      <c r="K18" s="231">
        <f>'NoPlay-Cap Table'!K18</f>
        <v>0</v>
      </c>
      <c r="L18" s="231">
        <f>'NoPlay-Cap Table'!L18</f>
        <v>0</v>
      </c>
      <c r="M18" s="231">
        <f>'NoPlay-Cap Table'!M18</f>
        <v>0</v>
      </c>
      <c r="N18" s="231">
        <f>'NoPlay-Cap Table'!N18</f>
        <v>0</v>
      </c>
      <c r="O18" s="231">
        <f>'NoPlay-Cap Table'!O18</f>
        <v>0</v>
      </c>
      <c r="P18" s="326">
        <f>'NoPlay-Cap Table'!P18</f>
        <v>3</v>
      </c>
      <c r="Q18" s="231">
        <f>'NoPlay-Cap Table'!Q18</f>
        <v>0</v>
      </c>
      <c r="R18" s="231">
        <f>'NoPlay-Cap Table'!R18</f>
        <v>0</v>
      </c>
      <c r="S18" s="231">
        <f>'NoPlay-Cap Table'!S18</f>
        <v>0</v>
      </c>
      <c r="T18" s="231">
        <f>'NoPlay-Cap Table'!T18</f>
        <v>0</v>
      </c>
      <c r="U18" s="231">
        <f>'NoPlay-Cap Table'!U18</f>
        <v>0</v>
      </c>
      <c r="V18" s="231">
        <f>'NoPlay-Cap Table'!V18</f>
        <v>0</v>
      </c>
      <c r="W18" s="231">
        <f>'NoPlay-Cap Table'!W18</f>
        <v>0</v>
      </c>
      <c r="X18" s="326">
        <f>'NoPlay-Cap Table'!X18</f>
        <v>3</v>
      </c>
      <c r="Y18" s="231">
        <f>'NoPlay-Cap Table'!Y18</f>
        <v>0</v>
      </c>
      <c r="Z18" s="231">
        <f>'NoPlay-Cap Table'!Z18</f>
        <v>0</v>
      </c>
      <c r="AA18" s="231">
        <f>'NoPlay-Cap Table'!AA18</f>
        <v>0</v>
      </c>
      <c r="AB18" s="231">
        <f>'NoPlay-Cap Table'!AB18</f>
        <v>0</v>
      </c>
      <c r="AC18" s="231">
        <f>'NoPlay-Cap Table'!AC18</f>
        <v>0</v>
      </c>
      <c r="AD18" s="231">
        <f>'NoPlay-Cap Table'!AD18</f>
        <v>0</v>
      </c>
      <c r="AE18" s="231">
        <f>'NoPlay-Cap Table'!AE18</f>
        <v>0</v>
      </c>
      <c r="AF18" s="326">
        <f>'NoPlay-Cap Table'!AF18</f>
        <v>3</v>
      </c>
      <c r="AG18" s="231">
        <f>'NoPlay-Cap Table'!AG18</f>
        <v>0</v>
      </c>
      <c r="AH18" s="231">
        <f>'NoPlay-Cap Table'!AH18</f>
        <v>0</v>
      </c>
      <c r="AI18" s="231">
        <f>'NoPlay-Cap Table'!AI18</f>
        <v>0</v>
      </c>
      <c r="AJ18" s="231">
        <f>'NoPlay-Cap Table'!AJ18</f>
        <v>0</v>
      </c>
      <c r="AK18" s="231">
        <f>'NoPlay-Cap Table'!AK18</f>
        <v>0</v>
      </c>
      <c r="AL18" s="231">
        <f>'NoPlay-Cap Table'!AL18</f>
        <v>0</v>
      </c>
      <c r="AM18" s="231">
        <f>'NoPlay-Cap Table'!AM18</f>
        <v>0</v>
      </c>
      <c r="AN18" s="326">
        <f>'NoPlay-Cap Table'!AN18</f>
        <v>3</v>
      </c>
      <c r="AO18" s="231">
        <f>'NoPlay-Cap Table'!AO18</f>
        <v>0</v>
      </c>
      <c r="AP18" s="231">
        <f>'NoPlay-Cap Table'!AP18</f>
        <v>0</v>
      </c>
      <c r="AQ18" s="231">
        <f>'NoPlay-Cap Table'!AQ18</f>
        <v>0</v>
      </c>
      <c r="AR18" s="231">
        <f>'NoPlay-Cap Table'!AR18</f>
        <v>0</v>
      </c>
      <c r="AS18" s="231">
        <f>'NoPlay-Cap Table'!AS18</f>
        <v>0</v>
      </c>
      <c r="AT18" s="231">
        <f>'NoPlay-Cap Table'!AT18</f>
        <v>0</v>
      </c>
      <c r="AU18" s="231">
        <f>'NoPlay-Cap Table'!AU18</f>
        <v>0</v>
      </c>
      <c r="AV18" s="326">
        <f>'NoPlay-Cap Table'!AV18</f>
        <v>3</v>
      </c>
      <c r="AW18" s="231">
        <f>'NoPlay-Cap Table'!AW18</f>
        <v>0</v>
      </c>
      <c r="AX18" s="231">
        <f>'NoPlay-Cap Table'!AX18</f>
        <v>0</v>
      </c>
      <c r="AY18" s="231">
        <f>'NoPlay-Cap Table'!AY18</f>
        <v>0</v>
      </c>
      <c r="AZ18" s="231">
        <f>'NoPlay-Cap Table'!AZ18</f>
        <v>0</v>
      </c>
      <c r="BA18" s="231">
        <f>'NoPlay-Cap Table'!BA18</f>
        <v>0</v>
      </c>
      <c r="BB18" s="231">
        <f>'NoPlay-Cap Table'!BB18</f>
        <v>0</v>
      </c>
      <c r="BC18" s="231">
        <f>'NoPlay-Cap Table'!BC18</f>
        <v>0</v>
      </c>
      <c r="BD18" s="326">
        <f>'NoPlay-Cap Table'!BD18</f>
        <v>3</v>
      </c>
      <c r="BE18" s="231">
        <f>'NoPlay-Cap Table'!BE18</f>
        <v>0</v>
      </c>
      <c r="BF18" s="231">
        <f>'NoPlay-Cap Table'!BF18</f>
        <v>0</v>
      </c>
      <c r="BG18" s="231">
        <f>'NoPlay-Cap Table'!BG18</f>
        <v>0</v>
      </c>
      <c r="BH18" s="231">
        <f>'NoPlay-Cap Table'!BH18</f>
        <v>0</v>
      </c>
      <c r="BI18" s="231">
        <f>'NoPlay-Cap Table'!BI18</f>
        <v>0</v>
      </c>
      <c r="BJ18" s="231">
        <f>'NoPlay-Cap Table'!BJ18</f>
        <v>0</v>
      </c>
      <c r="BK18" s="231">
        <f>'NoPlay-Cap Table'!BK18</f>
        <v>0</v>
      </c>
      <c r="BL18" s="326">
        <f>'NoPlay-Cap Table'!BL18</f>
        <v>3</v>
      </c>
      <c r="BM18" s="231">
        <f>'NoPlay-Cap Table'!BM18</f>
        <v>0</v>
      </c>
      <c r="BN18" s="231">
        <f>'NoPlay-Cap Table'!BN18</f>
        <v>0</v>
      </c>
      <c r="BO18" s="231">
        <f>'NoPlay-Cap Table'!BO18</f>
        <v>0</v>
      </c>
      <c r="BP18" s="231">
        <f>'NoPlay-Cap Table'!BP18</f>
        <v>0</v>
      </c>
      <c r="BQ18" s="231">
        <f>'NoPlay-Cap Table'!BQ18</f>
        <v>0</v>
      </c>
      <c r="BR18" s="231">
        <f>'NoPlay-Cap Table'!BR18</f>
        <v>0</v>
      </c>
      <c r="BS18" s="231">
        <f>'NoPlay-Cap Table'!BS18</f>
        <v>0</v>
      </c>
      <c r="BT18" s="326">
        <f>'NoPlay-Cap Table'!BT18</f>
        <v>3</v>
      </c>
      <c r="BU18" s="231">
        <f>'NoPlay-Cap Table'!BU18</f>
        <v>0</v>
      </c>
      <c r="BV18" s="231">
        <f>'NoPlay-Cap Table'!BV18</f>
        <v>0</v>
      </c>
      <c r="BW18" s="231">
        <f>'NoPlay-Cap Table'!BW18</f>
        <v>0</v>
      </c>
      <c r="BX18" s="231">
        <f>'NoPlay-Cap Table'!BX18</f>
        <v>0</v>
      </c>
      <c r="BY18" s="231">
        <f>'NoPlay-Cap Table'!BY18</f>
        <v>0</v>
      </c>
      <c r="BZ18" s="231">
        <f>'NoPlay-Cap Table'!BZ18</f>
        <v>0</v>
      </c>
      <c r="CA18" s="232">
        <f>'NoPlay-Cap Table'!CA18</f>
        <v>0</v>
      </c>
      <c r="CB18" s="233">
        <f>'NoPlay-Cap Table'!CB18</f>
        <v>0</v>
      </c>
      <c r="CC18" s="234">
        <f>'NoPlay-Cap Table'!CC18</f>
        <v>0</v>
      </c>
      <c r="CD18" s="180"/>
      <c r="CE18" s="180"/>
    </row>
    <row r="19" spans="1:85" s="181" customFormat="1" ht="7.5" customHeight="1" x14ac:dyDescent="0.35">
      <c r="A19" s="180"/>
      <c r="B19" s="180"/>
      <c r="C19" s="179"/>
      <c r="D19" s="180">
        <f>'NoPlay-Cap Table'!D19</f>
        <v>0</v>
      </c>
      <c r="E19" s="180">
        <f>'NoPlay-Cap Table'!E19</f>
        <v>0</v>
      </c>
      <c r="F19" s="180">
        <f>'NoPlay-Cap Table'!F19</f>
        <v>0</v>
      </c>
      <c r="G19" s="235">
        <f>'NoPlay-Cap Table'!G19</f>
        <v>0</v>
      </c>
      <c r="H19" s="180">
        <f>'NoPlay-Cap Table'!H19</f>
        <v>0</v>
      </c>
      <c r="I19" s="180">
        <f>'NoPlay-Cap Table'!I19</f>
        <v>0</v>
      </c>
      <c r="J19" s="181">
        <f>'NoPlay-Cap Table'!J19</f>
        <v>0</v>
      </c>
      <c r="K19" s="180">
        <f>'NoPlay-Cap Table'!K19</f>
        <v>0</v>
      </c>
      <c r="L19" s="180">
        <f>'NoPlay-Cap Table'!L19</f>
        <v>0</v>
      </c>
      <c r="M19" s="181">
        <f>'NoPlay-Cap Table'!M19</f>
        <v>0</v>
      </c>
      <c r="N19" s="180">
        <f>'NoPlay-Cap Table'!N19</f>
        <v>0</v>
      </c>
      <c r="O19" s="235">
        <f>'NoPlay-Cap Table'!O19</f>
        <v>0</v>
      </c>
      <c r="P19" s="180">
        <f>'NoPlay-Cap Table'!P19</f>
        <v>0</v>
      </c>
      <c r="Q19" s="180">
        <f>'NoPlay-Cap Table'!Q19</f>
        <v>0</v>
      </c>
      <c r="R19" s="181">
        <f>'NoPlay-Cap Table'!R19</f>
        <v>0</v>
      </c>
      <c r="S19" s="180">
        <f>'NoPlay-Cap Table'!S19</f>
        <v>0</v>
      </c>
      <c r="T19" s="180">
        <f>'NoPlay-Cap Table'!T19</f>
        <v>0</v>
      </c>
      <c r="U19" s="181">
        <f>'NoPlay-Cap Table'!U19</f>
        <v>0</v>
      </c>
      <c r="V19" s="180">
        <f>'NoPlay-Cap Table'!V19</f>
        <v>0</v>
      </c>
      <c r="W19" s="235">
        <f>'NoPlay-Cap Table'!W19</f>
        <v>0</v>
      </c>
      <c r="X19" s="180">
        <f>'NoPlay-Cap Table'!X19</f>
        <v>0</v>
      </c>
      <c r="Y19" s="180">
        <f>'NoPlay-Cap Table'!Y19</f>
        <v>0</v>
      </c>
      <c r="Z19" s="181">
        <f>'NoPlay-Cap Table'!Z19</f>
        <v>0</v>
      </c>
      <c r="AA19" s="180">
        <f>'NoPlay-Cap Table'!AA19</f>
        <v>0</v>
      </c>
      <c r="AB19" s="180">
        <f>'NoPlay-Cap Table'!AB19</f>
        <v>0</v>
      </c>
      <c r="AC19" s="181">
        <f>'NoPlay-Cap Table'!AC19</f>
        <v>0</v>
      </c>
      <c r="AD19" s="180">
        <f>'NoPlay-Cap Table'!AD19</f>
        <v>0</v>
      </c>
      <c r="AE19" s="235">
        <f>'NoPlay-Cap Table'!AE19</f>
        <v>0</v>
      </c>
      <c r="AF19" s="180">
        <f>'NoPlay-Cap Table'!AF19</f>
        <v>0</v>
      </c>
      <c r="AG19" s="180">
        <f>'NoPlay-Cap Table'!AG19</f>
        <v>0</v>
      </c>
      <c r="AH19" s="181">
        <f>'NoPlay-Cap Table'!AH19</f>
        <v>0</v>
      </c>
      <c r="AI19" s="180">
        <f>'NoPlay-Cap Table'!AI19</f>
        <v>0</v>
      </c>
      <c r="AJ19" s="180">
        <f>'NoPlay-Cap Table'!AJ19</f>
        <v>0</v>
      </c>
      <c r="AK19" s="181">
        <f>'NoPlay-Cap Table'!AK19</f>
        <v>0</v>
      </c>
      <c r="AL19" s="180">
        <f>'NoPlay-Cap Table'!AL19</f>
        <v>0</v>
      </c>
      <c r="AM19" s="235">
        <f>'NoPlay-Cap Table'!AM19</f>
        <v>0</v>
      </c>
      <c r="AN19" s="180">
        <f>'NoPlay-Cap Table'!AN19</f>
        <v>0</v>
      </c>
      <c r="AO19" s="180">
        <f>'NoPlay-Cap Table'!AO19</f>
        <v>0</v>
      </c>
      <c r="AP19" s="181">
        <f>'NoPlay-Cap Table'!AP19</f>
        <v>0</v>
      </c>
      <c r="AQ19" s="180">
        <f>'NoPlay-Cap Table'!AQ19</f>
        <v>0</v>
      </c>
      <c r="AR19" s="180">
        <f>'NoPlay-Cap Table'!AR19</f>
        <v>0</v>
      </c>
      <c r="AS19" s="181">
        <f>'NoPlay-Cap Table'!AS19</f>
        <v>0</v>
      </c>
      <c r="AT19" s="180">
        <f>'NoPlay-Cap Table'!AT19</f>
        <v>0</v>
      </c>
      <c r="AU19" s="235">
        <f>'NoPlay-Cap Table'!AU19</f>
        <v>0</v>
      </c>
      <c r="AV19" s="180">
        <f>'NoPlay-Cap Table'!AV19</f>
        <v>0</v>
      </c>
      <c r="AW19" s="180">
        <f>'NoPlay-Cap Table'!AW19</f>
        <v>0</v>
      </c>
      <c r="AX19" s="181">
        <f>'NoPlay-Cap Table'!AX19</f>
        <v>0</v>
      </c>
      <c r="AY19" s="180">
        <f>'NoPlay-Cap Table'!AY19</f>
        <v>0</v>
      </c>
      <c r="AZ19" s="180">
        <f>'NoPlay-Cap Table'!AZ19</f>
        <v>0</v>
      </c>
      <c r="BA19" s="181">
        <f>'NoPlay-Cap Table'!BA19</f>
        <v>0</v>
      </c>
      <c r="BB19" s="180">
        <f>'NoPlay-Cap Table'!BB19</f>
        <v>0</v>
      </c>
      <c r="BC19" s="235">
        <f>'NoPlay-Cap Table'!BC19</f>
        <v>0</v>
      </c>
      <c r="BD19" s="180">
        <f>'NoPlay-Cap Table'!BD19</f>
        <v>0</v>
      </c>
      <c r="BE19" s="180">
        <f>'NoPlay-Cap Table'!BE19</f>
        <v>0</v>
      </c>
      <c r="BF19" s="181">
        <f>'NoPlay-Cap Table'!BF19</f>
        <v>0</v>
      </c>
      <c r="BG19" s="180">
        <f>'NoPlay-Cap Table'!BG19</f>
        <v>0</v>
      </c>
      <c r="BH19" s="180">
        <f>'NoPlay-Cap Table'!BH19</f>
        <v>0</v>
      </c>
      <c r="BI19" s="181">
        <f>'NoPlay-Cap Table'!BI19</f>
        <v>0</v>
      </c>
      <c r="BJ19" s="180">
        <f>'NoPlay-Cap Table'!BJ19</f>
        <v>0</v>
      </c>
      <c r="BK19" s="235">
        <f>'NoPlay-Cap Table'!BK19</f>
        <v>0</v>
      </c>
      <c r="BL19" s="180">
        <f>'NoPlay-Cap Table'!BL19</f>
        <v>0</v>
      </c>
      <c r="BM19" s="180">
        <f>'NoPlay-Cap Table'!BM19</f>
        <v>0</v>
      </c>
      <c r="BN19" s="181">
        <f>'NoPlay-Cap Table'!BN19</f>
        <v>0</v>
      </c>
      <c r="BO19" s="180">
        <f>'NoPlay-Cap Table'!BO19</f>
        <v>0</v>
      </c>
      <c r="BP19" s="180">
        <f>'NoPlay-Cap Table'!BP19</f>
        <v>0</v>
      </c>
      <c r="BQ19" s="181">
        <f>'NoPlay-Cap Table'!BQ19</f>
        <v>0</v>
      </c>
      <c r="BR19" s="180">
        <f>'NoPlay-Cap Table'!BR19</f>
        <v>0</v>
      </c>
      <c r="BS19" s="235">
        <f>'NoPlay-Cap Table'!BS19</f>
        <v>0</v>
      </c>
      <c r="BT19" s="180">
        <f>'NoPlay-Cap Table'!BT19</f>
        <v>0</v>
      </c>
      <c r="BU19" s="180">
        <f>'NoPlay-Cap Table'!BU19</f>
        <v>0</v>
      </c>
      <c r="BV19" s="181">
        <f>'NoPlay-Cap Table'!BV19</f>
        <v>0</v>
      </c>
      <c r="BW19" s="180">
        <f>'NoPlay-Cap Table'!BW19</f>
        <v>0</v>
      </c>
      <c r="BX19" s="180">
        <f>'NoPlay-Cap Table'!BX19</f>
        <v>0</v>
      </c>
      <c r="BY19" s="181">
        <f>'NoPlay-Cap Table'!BY19</f>
        <v>0</v>
      </c>
      <c r="BZ19" s="180">
        <f>'NoPlay-Cap Table'!BZ19</f>
        <v>0</v>
      </c>
      <c r="CA19" s="235">
        <f>'NoPlay-Cap Table'!CA19</f>
        <v>0</v>
      </c>
      <c r="CB19" s="180">
        <f>'NoPlay-Cap Table'!CB19</f>
        <v>0</v>
      </c>
      <c r="CC19" s="181">
        <f>'NoPlay-Cap Table'!CC19</f>
        <v>0</v>
      </c>
      <c r="CD19" s="180"/>
      <c r="CE19" s="180"/>
    </row>
    <row r="20" spans="1:85" ht="15.75" customHeight="1" x14ac:dyDescent="0.35">
      <c r="A20" s="180"/>
      <c r="B20" s="180"/>
      <c r="D20" s="236" t="str">
        <f>'NoPlay-Cap Table'!D20</f>
        <v>DTC Ventures</v>
      </c>
      <c r="E20" s="237">
        <f>'NoPlay-Cap Table'!E20</f>
        <v>0</v>
      </c>
      <c r="F20" s="237">
        <f>'NoPlay-Cap Table'!F20</f>
        <v>0</v>
      </c>
      <c r="G20" s="237">
        <f>'NoPlay-Cap Table'!G20</f>
        <v>0</v>
      </c>
      <c r="H20" s="238">
        <f>'NoPlay-Cap Table'!H20</f>
        <v>0</v>
      </c>
      <c r="I20" s="239"/>
      <c r="J20" s="272" t="e">
        <f>H20*H$16</f>
        <v>#DIV/0!</v>
      </c>
      <c r="K20" s="288">
        <f>'NoPlay-Cap Table'!K20</f>
        <v>0</v>
      </c>
      <c r="L20" s="272">
        <f>'NoPlay-Cap Table'!L20</f>
        <v>0</v>
      </c>
      <c r="M20" s="272">
        <f>'NoPlay-Cap Table'!M20</f>
        <v>0</v>
      </c>
      <c r="N20" s="288" t="e">
        <f>'NoPlay-Cap Table'!N20</f>
        <v>#DIV/0!</v>
      </c>
      <c r="O20" s="288" t="e">
        <f>'NoPlay-Cap Table'!O20</f>
        <v>#DIV/0!</v>
      </c>
      <c r="P20" s="238">
        <f>'NoPlay-Cap Table'!P20</f>
        <v>0</v>
      </c>
      <c r="Q20" s="239"/>
      <c r="R20" s="272">
        <f>P20*P$16</f>
        <v>0</v>
      </c>
      <c r="S20" s="288">
        <f>'NoPlay-Cap Table'!S20</f>
        <v>0</v>
      </c>
      <c r="T20" s="272">
        <f>'NoPlay-Cap Table'!T20</f>
        <v>0</v>
      </c>
      <c r="U20" s="272">
        <f>'NoPlay-Cap Table'!U20</f>
        <v>0</v>
      </c>
      <c r="V20" s="288" t="e">
        <f>'NoPlay-Cap Table'!V20</f>
        <v>#DIV/0!</v>
      </c>
      <c r="W20" s="288" t="e">
        <f>'NoPlay-Cap Table'!W20</f>
        <v>#DIV/0!</v>
      </c>
      <c r="X20" s="238">
        <f>'NoPlay-Cap Table'!X20</f>
        <v>0</v>
      </c>
      <c r="Y20" s="239"/>
      <c r="Z20" s="272">
        <f>X20*X$16</f>
        <v>0</v>
      </c>
      <c r="AA20" s="288">
        <f>'NoPlay-Cap Table'!AA20</f>
        <v>0</v>
      </c>
      <c r="AB20" s="272">
        <f>'NoPlay-Cap Table'!AB20</f>
        <v>0</v>
      </c>
      <c r="AC20" s="272">
        <f>'NoPlay-Cap Table'!AC20</f>
        <v>0</v>
      </c>
      <c r="AD20" s="288" t="e">
        <f>'NoPlay-Cap Table'!AD20</f>
        <v>#DIV/0!</v>
      </c>
      <c r="AE20" s="288" t="e">
        <f>'NoPlay-Cap Table'!AE20</f>
        <v>#DIV/0!</v>
      </c>
      <c r="AF20" s="238">
        <f>'NoPlay-Cap Table'!AF20</f>
        <v>0</v>
      </c>
      <c r="AG20" s="239"/>
      <c r="AH20" s="272">
        <f>AF20*AF$16</f>
        <v>0</v>
      </c>
      <c r="AI20" s="288">
        <f>'NoPlay-Cap Table'!AI20</f>
        <v>0</v>
      </c>
      <c r="AJ20" s="272">
        <f>'NoPlay-Cap Table'!AJ20</f>
        <v>0</v>
      </c>
      <c r="AK20" s="272">
        <f>'NoPlay-Cap Table'!AK20</f>
        <v>0</v>
      </c>
      <c r="AL20" s="288" t="e">
        <f>'NoPlay-Cap Table'!AL20</f>
        <v>#DIV/0!</v>
      </c>
      <c r="AM20" s="288" t="e">
        <f>'NoPlay-Cap Table'!AM20</f>
        <v>#DIV/0!</v>
      </c>
      <c r="AN20" s="238">
        <f>'NoPlay-Cap Table'!AN20</f>
        <v>0</v>
      </c>
      <c r="AO20" s="239"/>
      <c r="AP20" s="272">
        <f>AN20*AN$16</f>
        <v>0</v>
      </c>
      <c r="AQ20" s="288">
        <f>'NoPlay-Cap Table'!AQ20</f>
        <v>0</v>
      </c>
      <c r="AR20" s="272">
        <f>'NoPlay-Cap Table'!AR20</f>
        <v>0</v>
      </c>
      <c r="AS20" s="272">
        <f>'NoPlay-Cap Table'!AS20</f>
        <v>0</v>
      </c>
      <c r="AT20" s="288" t="e">
        <f>'NoPlay-Cap Table'!AT20</f>
        <v>#DIV/0!</v>
      </c>
      <c r="AU20" s="288" t="e">
        <f>'NoPlay-Cap Table'!AU20</f>
        <v>#DIV/0!</v>
      </c>
      <c r="AV20" s="238">
        <f>'NoPlay-Cap Table'!AV20</f>
        <v>0</v>
      </c>
      <c r="AW20" s="239"/>
      <c r="AX20" s="272">
        <f>AV20*AV$16</f>
        <v>0</v>
      </c>
      <c r="AY20" s="288">
        <f>'NoPlay-Cap Table'!AY20</f>
        <v>0</v>
      </c>
      <c r="AZ20" s="272">
        <f>'NoPlay-Cap Table'!AZ20</f>
        <v>0</v>
      </c>
      <c r="BA20" s="272">
        <f>'NoPlay-Cap Table'!BA20</f>
        <v>0</v>
      </c>
      <c r="BB20" s="288" t="e">
        <f>'NoPlay-Cap Table'!BB20</f>
        <v>#DIV/0!</v>
      </c>
      <c r="BC20" s="288" t="e">
        <f>'NoPlay-Cap Table'!BC20</f>
        <v>#DIV/0!</v>
      </c>
      <c r="BD20" s="238">
        <f>'NoPlay-Cap Table'!BD20</f>
        <v>0</v>
      </c>
      <c r="BE20" s="239"/>
      <c r="BF20" s="272">
        <f>BD20*BD$16</f>
        <v>0</v>
      </c>
      <c r="BG20" s="288">
        <f>'NoPlay-Cap Table'!BG20</f>
        <v>0</v>
      </c>
      <c r="BH20" s="272">
        <f>'NoPlay-Cap Table'!BH20</f>
        <v>0</v>
      </c>
      <c r="BI20" s="272">
        <f>'NoPlay-Cap Table'!BI20</f>
        <v>0</v>
      </c>
      <c r="BJ20" s="288" t="e">
        <f>'NoPlay-Cap Table'!BJ20</f>
        <v>#DIV/0!</v>
      </c>
      <c r="BK20" s="288" t="e">
        <f>'NoPlay-Cap Table'!BK20</f>
        <v>#DIV/0!</v>
      </c>
      <c r="BL20" s="238">
        <f>'NoPlay-Cap Table'!BL20</f>
        <v>0</v>
      </c>
      <c r="BM20" s="239"/>
      <c r="BN20" s="272">
        <f>BL20*BL$16</f>
        <v>0</v>
      </c>
      <c r="BO20" s="288">
        <f>'NoPlay-Cap Table'!BO20</f>
        <v>0</v>
      </c>
      <c r="BP20" s="272">
        <f>'NoPlay-Cap Table'!BP20</f>
        <v>0</v>
      </c>
      <c r="BQ20" s="272">
        <f>'NoPlay-Cap Table'!BQ20</f>
        <v>0</v>
      </c>
      <c r="BR20" s="288" t="e">
        <f>'NoPlay-Cap Table'!BR20</f>
        <v>#DIV/0!</v>
      </c>
      <c r="BS20" s="288" t="e">
        <f>'NoPlay-Cap Table'!BS20</f>
        <v>#DIV/0!</v>
      </c>
      <c r="BT20" s="238">
        <f>'NoPlay-Cap Table'!BT20</f>
        <v>0</v>
      </c>
      <c r="BU20" s="239"/>
      <c r="BV20" s="272">
        <f>BT20*BT$16</f>
        <v>0</v>
      </c>
      <c r="BW20" s="288">
        <f>'Cap Table'!BW20</f>
        <v>0</v>
      </c>
      <c r="BX20" s="272">
        <f>'Cap Table'!BX20</f>
        <v>0</v>
      </c>
      <c r="BY20" s="272">
        <f>'Cap Table'!BY20</f>
        <v>0</v>
      </c>
      <c r="BZ20" s="288" t="e">
        <f>'Cap Table'!BZ20</f>
        <v>#DIV/0!</v>
      </c>
      <c r="CA20" s="288" t="e">
        <f>'Cap Table'!CA20</f>
        <v>#DIV/0!</v>
      </c>
      <c r="CB20" s="180">
        <f>'Cap Table'!CB20</f>
        <v>0</v>
      </c>
      <c r="CC20" s="272" t="e">
        <f>(BV20+BN20+BF20+AX20+AP20+AH20+Z20+R20+J20)/1000000</f>
        <v>#DIV/0!</v>
      </c>
      <c r="CD20" s="180"/>
      <c r="CG20" s="764"/>
    </row>
    <row r="21" spans="1:85" ht="15.75" customHeight="1" x14ac:dyDescent="0.35">
      <c r="A21" s="180"/>
      <c r="B21" s="180"/>
      <c r="D21" s="241" t="str">
        <f>'NoPlay-Cap Table'!D21</f>
        <v>Investor 1</v>
      </c>
      <c r="E21" s="239">
        <f>'NoPlay-Cap Table'!E21</f>
        <v>0</v>
      </c>
      <c r="F21" s="239">
        <f>'NoPlay-Cap Table'!F21</f>
        <v>0</v>
      </c>
      <c r="G21" s="239">
        <f>'NoPlay-Cap Table'!G21</f>
        <v>0</v>
      </c>
      <c r="H21" s="238">
        <f>'NoPlay-Cap Table'!H21</f>
        <v>0</v>
      </c>
      <c r="I21" s="239"/>
      <c r="J21" s="272" t="e">
        <f t="shared" ref="J21:J34" si="0">H21*H$16</f>
        <v>#DIV/0!</v>
      </c>
      <c r="K21" s="288">
        <f>'NoPlay-Cap Table'!K21</f>
        <v>0</v>
      </c>
      <c r="L21" s="272">
        <f>'NoPlay-Cap Table'!L21</f>
        <v>0</v>
      </c>
      <c r="M21" s="272">
        <f>'NoPlay-Cap Table'!M21</f>
        <v>0</v>
      </c>
      <c r="N21" s="288" t="e">
        <f>'NoPlay-Cap Table'!N21</f>
        <v>#DIV/0!</v>
      </c>
      <c r="O21" s="288" t="e">
        <f>'NoPlay-Cap Table'!O21</f>
        <v>#DIV/0!</v>
      </c>
      <c r="P21" s="238">
        <f>'NoPlay-Cap Table'!P21</f>
        <v>0</v>
      </c>
      <c r="Q21" s="239"/>
      <c r="R21" s="272">
        <f t="shared" ref="R21:R34" si="1">P21*P$16</f>
        <v>0</v>
      </c>
      <c r="S21" s="288">
        <f>'NoPlay-Cap Table'!S21</f>
        <v>0</v>
      </c>
      <c r="T21" s="272">
        <f>'NoPlay-Cap Table'!T21</f>
        <v>0</v>
      </c>
      <c r="U21" s="272">
        <f>'NoPlay-Cap Table'!U21</f>
        <v>0</v>
      </c>
      <c r="V21" s="288" t="e">
        <f>'NoPlay-Cap Table'!V21</f>
        <v>#DIV/0!</v>
      </c>
      <c r="W21" s="288" t="e">
        <f>'NoPlay-Cap Table'!W21</f>
        <v>#DIV/0!</v>
      </c>
      <c r="X21" s="238">
        <f>'NoPlay-Cap Table'!X21</f>
        <v>0</v>
      </c>
      <c r="Y21" s="239"/>
      <c r="Z21" s="272">
        <f t="shared" ref="Z21:Z34" si="2">X21*X$16</f>
        <v>0</v>
      </c>
      <c r="AA21" s="288">
        <f>'NoPlay-Cap Table'!AA21</f>
        <v>0</v>
      </c>
      <c r="AB21" s="272">
        <f>'NoPlay-Cap Table'!AB21</f>
        <v>0</v>
      </c>
      <c r="AC21" s="272">
        <f>'NoPlay-Cap Table'!AC21</f>
        <v>0</v>
      </c>
      <c r="AD21" s="288" t="e">
        <f>'NoPlay-Cap Table'!AD21</f>
        <v>#DIV/0!</v>
      </c>
      <c r="AE21" s="288" t="e">
        <f>'NoPlay-Cap Table'!AE21</f>
        <v>#DIV/0!</v>
      </c>
      <c r="AF21" s="238">
        <f>'NoPlay-Cap Table'!AF21</f>
        <v>0</v>
      </c>
      <c r="AG21" s="239"/>
      <c r="AH21" s="272">
        <f t="shared" ref="AH21:AH34" si="3">AF21*AF$16</f>
        <v>0</v>
      </c>
      <c r="AI21" s="288">
        <f>'NoPlay-Cap Table'!AI21</f>
        <v>0</v>
      </c>
      <c r="AJ21" s="272">
        <f>'NoPlay-Cap Table'!AJ21</f>
        <v>0</v>
      </c>
      <c r="AK21" s="272">
        <f>'NoPlay-Cap Table'!AK21</f>
        <v>0</v>
      </c>
      <c r="AL21" s="288" t="e">
        <f>'NoPlay-Cap Table'!AL21</f>
        <v>#DIV/0!</v>
      </c>
      <c r="AM21" s="288" t="e">
        <f>'NoPlay-Cap Table'!AM21</f>
        <v>#DIV/0!</v>
      </c>
      <c r="AN21" s="238">
        <f>'NoPlay-Cap Table'!AN21</f>
        <v>0</v>
      </c>
      <c r="AO21" s="239"/>
      <c r="AP21" s="272">
        <f t="shared" ref="AP21:AP34" si="4">AN21*AN$16</f>
        <v>0</v>
      </c>
      <c r="AQ21" s="288">
        <f>'NoPlay-Cap Table'!AQ21</f>
        <v>0</v>
      </c>
      <c r="AR21" s="272">
        <f>'NoPlay-Cap Table'!AR21</f>
        <v>0</v>
      </c>
      <c r="AS21" s="272">
        <f>'NoPlay-Cap Table'!AS21</f>
        <v>0</v>
      </c>
      <c r="AT21" s="288" t="e">
        <f>'NoPlay-Cap Table'!AT21</f>
        <v>#DIV/0!</v>
      </c>
      <c r="AU21" s="288" t="e">
        <f>'NoPlay-Cap Table'!AU21</f>
        <v>#DIV/0!</v>
      </c>
      <c r="AV21" s="238">
        <f>'NoPlay-Cap Table'!AV21</f>
        <v>0</v>
      </c>
      <c r="AW21" s="239"/>
      <c r="AX21" s="272">
        <f t="shared" ref="AX21:AX34" si="5">AV21*AV$16</f>
        <v>0</v>
      </c>
      <c r="AY21" s="288">
        <f>'NoPlay-Cap Table'!AY21</f>
        <v>0</v>
      </c>
      <c r="AZ21" s="272">
        <f>'NoPlay-Cap Table'!AZ21</f>
        <v>0</v>
      </c>
      <c r="BA21" s="272">
        <f>'NoPlay-Cap Table'!BA21</f>
        <v>0</v>
      </c>
      <c r="BB21" s="288" t="e">
        <f>'NoPlay-Cap Table'!BB21</f>
        <v>#DIV/0!</v>
      </c>
      <c r="BC21" s="288" t="e">
        <f>'NoPlay-Cap Table'!BC21</f>
        <v>#DIV/0!</v>
      </c>
      <c r="BD21" s="238">
        <f>'NoPlay-Cap Table'!BD21</f>
        <v>0</v>
      </c>
      <c r="BE21" s="239"/>
      <c r="BF21" s="272">
        <f t="shared" ref="BF21:BF34" si="6">BD21*BD$16</f>
        <v>0</v>
      </c>
      <c r="BG21" s="288">
        <f>'NoPlay-Cap Table'!BG21</f>
        <v>0</v>
      </c>
      <c r="BH21" s="272">
        <f>'NoPlay-Cap Table'!BH21</f>
        <v>0</v>
      </c>
      <c r="BI21" s="272">
        <f>'NoPlay-Cap Table'!BI21</f>
        <v>0</v>
      </c>
      <c r="BJ21" s="288" t="e">
        <f>'NoPlay-Cap Table'!BJ21</f>
        <v>#DIV/0!</v>
      </c>
      <c r="BK21" s="288" t="e">
        <f>'NoPlay-Cap Table'!BK21</f>
        <v>#DIV/0!</v>
      </c>
      <c r="BL21" s="238">
        <f>'NoPlay-Cap Table'!BL21</f>
        <v>0</v>
      </c>
      <c r="BM21" s="239"/>
      <c r="BN21" s="272">
        <f t="shared" ref="BN21:BN34" si="7">BL21*BL$16</f>
        <v>0</v>
      </c>
      <c r="BO21" s="288">
        <f>'NoPlay-Cap Table'!BO21</f>
        <v>0</v>
      </c>
      <c r="BP21" s="272">
        <f>'NoPlay-Cap Table'!BP21</f>
        <v>0</v>
      </c>
      <c r="BQ21" s="272">
        <f>'NoPlay-Cap Table'!BQ21</f>
        <v>0</v>
      </c>
      <c r="BR21" s="288" t="e">
        <f>'NoPlay-Cap Table'!BR21</f>
        <v>#DIV/0!</v>
      </c>
      <c r="BS21" s="288" t="e">
        <f>'NoPlay-Cap Table'!BS21</f>
        <v>#DIV/0!</v>
      </c>
      <c r="BT21" s="238">
        <f>'NoPlay-Cap Table'!BT21</f>
        <v>0</v>
      </c>
      <c r="BU21" s="239"/>
      <c r="BV21" s="272">
        <f t="shared" ref="BV21:BV34" si="8">BT21*BT$16</f>
        <v>0</v>
      </c>
      <c r="BW21" s="288">
        <f>'Cap Table'!BW21</f>
        <v>0</v>
      </c>
      <c r="BX21" s="272">
        <f>'Cap Table'!BX21</f>
        <v>0</v>
      </c>
      <c r="BY21" s="272">
        <f>'Cap Table'!BY21</f>
        <v>0</v>
      </c>
      <c r="BZ21" s="288" t="e">
        <f>'Cap Table'!BZ21</f>
        <v>#DIV/0!</v>
      </c>
      <c r="CA21" s="288" t="e">
        <f>'Cap Table'!CA21</f>
        <v>#DIV/0!</v>
      </c>
      <c r="CB21" s="180">
        <f>'Cap Table'!CB21</f>
        <v>0</v>
      </c>
      <c r="CC21" s="272" t="e">
        <f t="shared" ref="CC21:CC34" si="9">(BV21+BN21+BF21+AX21+AP21+AH21+Z21+R21+J21)/1000000</f>
        <v>#DIV/0!</v>
      </c>
      <c r="CD21" s="180"/>
      <c r="CE21" s="180"/>
    </row>
    <row r="22" spans="1:85" ht="15.75" customHeight="1" x14ac:dyDescent="0.35">
      <c r="A22" s="180"/>
      <c r="B22" s="180"/>
      <c r="D22" s="241" t="str">
        <f>'NoPlay-Cap Table'!D22</f>
        <v>Investor 2</v>
      </c>
      <c r="E22" s="239">
        <f>'NoPlay-Cap Table'!E22</f>
        <v>0</v>
      </c>
      <c r="F22" s="239">
        <f>'NoPlay-Cap Table'!F22</f>
        <v>0</v>
      </c>
      <c r="G22" s="239">
        <f>'NoPlay-Cap Table'!G22</f>
        <v>0</v>
      </c>
      <c r="H22" s="238">
        <f>'NoPlay-Cap Table'!H22</f>
        <v>0</v>
      </c>
      <c r="I22" s="239"/>
      <c r="J22" s="272" t="e">
        <f t="shared" si="0"/>
        <v>#DIV/0!</v>
      </c>
      <c r="K22" s="288">
        <f>'NoPlay-Cap Table'!K22</f>
        <v>0</v>
      </c>
      <c r="L22" s="272">
        <f>'NoPlay-Cap Table'!L22</f>
        <v>0</v>
      </c>
      <c r="M22" s="272">
        <f>'NoPlay-Cap Table'!M22</f>
        <v>0</v>
      </c>
      <c r="N22" s="288" t="e">
        <f>'NoPlay-Cap Table'!N22</f>
        <v>#DIV/0!</v>
      </c>
      <c r="O22" s="288" t="e">
        <f>'NoPlay-Cap Table'!O22</f>
        <v>#DIV/0!</v>
      </c>
      <c r="P22" s="238">
        <f>'NoPlay-Cap Table'!P22</f>
        <v>0</v>
      </c>
      <c r="Q22" s="239"/>
      <c r="R22" s="272">
        <f t="shared" si="1"/>
        <v>0</v>
      </c>
      <c r="S22" s="288">
        <f>'NoPlay-Cap Table'!S22</f>
        <v>0</v>
      </c>
      <c r="T22" s="272">
        <f>'NoPlay-Cap Table'!T22</f>
        <v>0</v>
      </c>
      <c r="U22" s="272">
        <f>'NoPlay-Cap Table'!U22</f>
        <v>0</v>
      </c>
      <c r="V22" s="288" t="e">
        <f>'NoPlay-Cap Table'!V22</f>
        <v>#DIV/0!</v>
      </c>
      <c r="W22" s="288" t="e">
        <f>'NoPlay-Cap Table'!W22</f>
        <v>#DIV/0!</v>
      </c>
      <c r="X22" s="238">
        <f>'NoPlay-Cap Table'!X22</f>
        <v>0</v>
      </c>
      <c r="Y22" s="239"/>
      <c r="Z22" s="272">
        <f t="shared" si="2"/>
        <v>0</v>
      </c>
      <c r="AA22" s="288">
        <f>'NoPlay-Cap Table'!AA22</f>
        <v>0</v>
      </c>
      <c r="AB22" s="272">
        <f>'NoPlay-Cap Table'!AB22</f>
        <v>0</v>
      </c>
      <c r="AC22" s="272">
        <f>'NoPlay-Cap Table'!AC22</f>
        <v>0</v>
      </c>
      <c r="AD22" s="288" t="e">
        <f>'NoPlay-Cap Table'!AD22</f>
        <v>#DIV/0!</v>
      </c>
      <c r="AE22" s="288" t="e">
        <f>'NoPlay-Cap Table'!AE22</f>
        <v>#DIV/0!</v>
      </c>
      <c r="AF22" s="238">
        <f>'NoPlay-Cap Table'!AF22</f>
        <v>0</v>
      </c>
      <c r="AG22" s="239"/>
      <c r="AH22" s="272">
        <f t="shared" si="3"/>
        <v>0</v>
      </c>
      <c r="AI22" s="288">
        <f>'NoPlay-Cap Table'!AI22</f>
        <v>0</v>
      </c>
      <c r="AJ22" s="272">
        <f>'NoPlay-Cap Table'!AJ22</f>
        <v>0</v>
      </c>
      <c r="AK22" s="272">
        <f>'NoPlay-Cap Table'!AK22</f>
        <v>0</v>
      </c>
      <c r="AL22" s="288" t="e">
        <f>'NoPlay-Cap Table'!AL22</f>
        <v>#DIV/0!</v>
      </c>
      <c r="AM22" s="288" t="e">
        <f>'NoPlay-Cap Table'!AM22</f>
        <v>#DIV/0!</v>
      </c>
      <c r="AN22" s="238">
        <f>'NoPlay-Cap Table'!AN22</f>
        <v>0</v>
      </c>
      <c r="AO22" s="239"/>
      <c r="AP22" s="272">
        <f t="shared" si="4"/>
        <v>0</v>
      </c>
      <c r="AQ22" s="288">
        <f>'NoPlay-Cap Table'!AQ22</f>
        <v>0</v>
      </c>
      <c r="AR22" s="272">
        <f>'NoPlay-Cap Table'!AR22</f>
        <v>0</v>
      </c>
      <c r="AS22" s="272">
        <f>'NoPlay-Cap Table'!AS22</f>
        <v>0</v>
      </c>
      <c r="AT22" s="288" t="e">
        <f>'NoPlay-Cap Table'!AT22</f>
        <v>#DIV/0!</v>
      </c>
      <c r="AU22" s="288" t="e">
        <f>'NoPlay-Cap Table'!AU22</f>
        <v>#DIV/0!</v>
      </c>
      <c r="AV22" s="238">
        <f>'NoPlay-Cap Table'!AV22</f>
        <v>0</v>
      </c>
      <c r="AW22" s="239"/>
      <c r="AX22" s="272">
        <f t="shared" si="5"/>
        <v>0</v>
      </c>
      <c r="AY22" s="288">
        <f>'NoPlay-Cap Table'!AY22</f>
        <v>0</v>
      </c>
      <c r="AZ22" s="272">
        <f>'NoPlay-Cap Table'!AZ22</f>
        <v>0</v>
      </c>
      <c r="BA22" s="272">
        <f>'NoPlay-Cap Table'!BA22</f>
        <v>0</v>
      </c>
      <c r="BB22" s="288" t="e">
        <f>'NoPlay-Cap Table'!BB22</f>
        <v>#DIV/0!</v>
      </c>
      <c r="BC22" s="288" t="e">
        <f>'NoPlay-Cap Table'!BC22</f>
        <v>#DIV/0!</v>
      </c>
      <c r="BD22" s="238">
        <f>'NoPlay-Cap Table'!BD22</f>
        <v>0</v>
      </c>
      <c r="BE22" s="239"/>
      <c r="BF22" s="272">
        <f t="shared" si="6"/>
        <v>0</v>
      </c>
      <c r="BG22" s="288">
        <f>'NoPlay-Cap Table'!BG22</f>
        <v>0</v>
      </c>
      <c r="BH22" s="272">
        <f>'NoPlay-Cap Table'!BH22</f>
        <v>0</v>
      </c>
      <c r="BI22" s="272">
        <f>'NoPlay-Cap Table'!BI22</f>
        <v>0</v>
      </c>
      <c r="BJ22" s="288" t="e">
        <f>'NoPlay-Cap Table'!BJ22</f>
        <v>#DIV/0!</v>
      </c>
      <c r="BK22" s="288" t="e">
        <f>'NoPlay-Cap Table'!BK22</f>
        <v>#DIV/0!</v>
      </c>
      <c r="BL22" s="238">
        <f>'NoPlay-Cap Table'!BL22</f>
        <v>0</v>
      </c>
      <c r="BM22" s="239"/>
      <c r="BN22" s="272">
        <f t="shared" si="7"/>
        <v>0</v>
      </c>
      <c r="BO22" s="288">
        <f>'NoPlay-Cap Table'!BO22</f>
        <v>0</v>
      </c>
      <c r="BP22" s="272">
        <f>'NoPlay-Cap Table'!BP22</f>
        <v>0</v>
      </c>
      <c r="BQ22" s="272">
        <f>'NoPlay-Cap Table'!BQ22</f>
        <v>0</v>
      </c>
      <c r="BR22" s="288" t="e">
        <f>'NoPlay-Cap Table'!BR22</f>
        <v>#DIV/0!</v>
      </c>
      <c r="BS22" s="288" t="e">
        <f>'NoPlay-Cap Table'!BS22</f>
        <v>#DIV/0!</v>
      </c>
      <c r="BT22" s="238">
        <f>'NoPlay-Cap Table'!BT22</f>
        <v>0</v>
      </c>
      <c r="BU22" s="239"/>
      <c r="BV22" s="272">
        <f t="shared" si="8"/>
        <v>0</v>
      </c>
      <c r="BW22" s="288">
        <f>'Cap Table'!BW22</f>
        <v>0</v>
      </c>
      <c r="BX22" s="272">
        <f>'Cap Table'!BX22</f>
        <v>0</v>
      </c>
      <c r="BY22" s="272">
        <f>'Cap Table'!BY22</f>
        <v>0</v>
      </c>
      <c r="BZ22" s="288" t="e">
        <f>'Cap Table'!BZ22</f>
        <v>#DIV/0!</v>
      </c>
      <c r="CA22" s="288" t="e">
        <f>'Cap Table'!CA22</f>
        <v>#DIV/0!</v>
      </c>
      <c r="CB22" s="242">
        <f>'Cap Table'!CB22</f>
        <v>0</v>
      </c>
      <c r="CC22" s="272" t="e">
        <f t="shared" si="9"/>
        <v>#DIV/0!</v>
      </c>
      <c r="CD22" s="242"/>
      <c r="CE22" s="242"/>
    </row>
    <row r="23" spans="1:85" ht="15.75" customHeight="1" x14ac:dyDescent="0.35">
      <c r="A23" s="180"/>
      <c r="B23" s="180"/>
      <c r="D23" s="241" t="str">
        <f>'NoPlay-Cap Table'!D23</f>
        <v>Investor 3</v>
      </c>
      <c r="E23" s="239">
        <f>'NoPlay-Cap Table'!E23</f>
        <v>0</v>
      </c>
      <c r="F23" s="239">
        <f>'NoPlay-Cap Table'!F23</f>
        <v>0</v>
      </c>
      <c r="G23" s="239">
        <f>'NoPlay-Cap Table'!G23</f>
        <v>0</v>
      </c>
      <c r="H23" s="238">
        <f>'NoPlay-Cap Table'!H23</f>
        <v>0</v>
      </c>
      <c r="I23" s="239"/>
      <c r="J23" s="272" t="e">
        <f t="shared" si="0"/>
        <v>#DIV/0!</v>
      </c>
      <c r="K23" s="288">
        <f>'NoPlay-Cap Table'!K23</f>
        <v>0</v>
      </c>
      <c r="L23" s="272">
        <f>'NoPlay-Cap Table'!L23</f>
        <v>0</v>
      </c>
      <c r="M23" s="272">
        <f>'NoPlay-Cap Table'!M23</f>
        <v>0</v>
      </c>
      <c r="N23" s="288" t="e">
        <f>'NoPlay-Cap Table'!N23</f>
        <v>#DIV/0!</v>
      </c>
      <c r="O23" s="288" t="e">
        <f>'NoPlay-Cap Table'!O23</f>
        <v>#DIV/0!</v>
      </c>
      <c r="P23" s="238">
        <f>'NoPlay-Cap Table'!P23</f>
        <v>0</v>
      </c>
      <c r="Q23" s="239"/>
      <c r="R23" s="272">
        <f t="shared" si="1"/>
        <v>0</v>
      </c>
      <c r="S23" s="288">
        <f>'NoPlay-Cap Table'!S23</f>
        <v>0</v>
      </c>
      <c r="T23" s="272">
        <f>'NoPlay-Cap Table'!T23</f>
        <v>0</v>
      </c>
      <c r="U23" s="272">
        <f>'NoPlay-Cap Table'!U23</f>
        <v>0</v>
      </c>
      <c r="V23" s="288" t="e">
        <f>'NoPlay-Cap Table'!V23</f>
        <v>#DIV/0!</v>
      </c>
      <c r="W23" s="288" t="e">
        <f>'NoPlay-Cap Table'!W23</f>
        <v>#DIV/0!</v>
      </c>
      <c r="X23" s="238">
        <f>'NoPlay-Cap Table'!X23</f>
        <v>0</v>
      </c>
      <c r="Y23" s="239"/>
      <c r="Z23" s="272">
        <f t="shared" si="2"/>
        <v>0</v>
      </c>
      <c r="AA23" s="288">
        <f>'NoPlay-Cap Table'!AA23</f>
        <v>0</v>
      </c>
      <c r="AB23" s="272">
        <f>'NoPlay-Cap Table'!AB23</f>
        <v>0</v>
      </c>
      <c r="AC23" s="272">
        <f>'NoPlay-Cap Table'!AC23</f>
        <v>0</v>
      </c>
      <c r="AD23" s="288" t="e">
        <f>'NoPlay-Cap Table'!AD23</f>
        <v>#DIV/0!</v>
      </c>
      <c r="AE23" s="288" t="e">
        <f>'NoPlay-Cap Table'!AE23</f>
        <v>#DIV/0!</v>
      </c>
      <c r="AF23" s="238">
        <f>'NoPlay-Cap Table'!AF23</f>
        <v>0</v>
      </c>
      <c r="AG23" s="239"/>
      <c r="AH23" s="272">
        <f t="shared" si="3"/>
        <v>0</v>
      </c>
      <c r="AI23" s="288">
        <f>'NoPlay-Cap Table'!AI23</f>
        <v>0</v>
      </c>
      <c r="AJ23" s="272">
        <f>'NoPlay-Cap Table'!AJ23</f>
        <v>0</v>
      </c>
      <c r="AK23" s="272">
        <f>'NoPlay-Cap Table'!AK23</f>
        <v>0</v>
      </c>
      <c r="AL23" s="288" t="e">
        <f>'NoPlay-Cap Table'!AL23</f>
        <v>#DIV/0!</v>
      </c>
      <c r="AM23" s="288" t="e">
        <f>'NoPlay-Cap Table'!AM23</f>
        <v>#DIV/0!</v>
      </c>
      <c r="AN23" s="238">
        <f>'NoPlay-Cap Table'!AN23</f>
        <v>0</v>
      </c>
      <c r="AO23" s="239"/>
      <c r="AP23" s="272">
        <f t="shared" si="4"/>
        <v>0</v>
      </c>
      <c r="AQ23" s="288">
        <f>'NoPlay-Cap Table'!AQ23</f>
        <v>0</v>
      </c>
      <c r="AR23" s="272">
        <f>'NoPlay-Cap Table'!AR23</f>
        <v>0</v>
      </c>
      <c r="AS23" s="272">
        <f>'NoPlay-Cap Table'!AS23</f>
        <v>0</v>
      </c>
      <c r="AT23" s="288" t="e">
        <f>'NoPlay-Cap Table'!AT23</f>
        <v>#DIV/0!</v>
      </c>
      <c r="AU23" s="288" t="e">
        <f>'NoPlay-Cap Table'!AU23</f>
        <v>#DIV/0!</v>
      </c>
      <c r="AV23" s="238">
        <f>'NoPlay-Cap Table'!AV23</f>
        <v>0</v>
      </c>
      <c r="AW23" s="239"/>
      <c r="AX23" s="272">
        <f t="shared" si="5"/>
        <v>0</v>
      </c>
      <c r="AY23" s="288">
        <f>'NoPlay-Cap Table'!AY23</f>
        <v>0</v>
      </c>
      <c r="AZ23" s="272">
        <f>'NoPlay-Cap Table'!AZ23</f>
        <v>0</v>
      </c>
      <c r="BA23" s="272">
        <f>'NoPlay-Cap Table'!BA23</f>
        <v>0</v>
      </c>
      <c r="BB23" s="288" t="e">
        <f>'NoPlay-Cap Table'!BB23</f>
        <v>#DIV/0!</v>
      </c>
      <c r="BC23" s="288" t="e">
        <f>'NoPlay-Cap Table'!BC23</f>
        <v>#DIV/0!</v>
      </c>
      <c r="BD23" s="238">
        <f>'NoPlay-Cap Table'!BD23</f>
        <v>0</v>
      </c>
      <c r="BE23" s="239"/>
      <c r="BF23" s="272">
        <f t="shared" si="6"/>
        <v>0</v>
      </c>
      <c r="BG23" s="288">
        <f>'NoPlay-Cap Table'!BG23</f>
        <v>0</v>
      </c>
      <c r="BH23" s="272">
        <f>'NoPlay-Cap Table'!BH23</f>
        <v>0</v>
      </c>
      <c r="BI23" s="272">
        <f>'NoPlay-Cap Table'!BI23</f>
        <v>0</v>
      </c>
      <c r="BJ23" s="288" t="e">
        <f>'NoPlay-Cap Table'!BJ23</f>
        <v>#DIV/0!</v>
      </c>
      <c r="BK23" s="288" t="e">
        <f>'NoPlay-Cap Table'!BK23</f>
        <v>#DIV/0!</v>
      </c>
      <c r="BL23" s="238">
        <f>'NoPlay-Cap Table'!BL23</f>
        <v>0</v>
      </c>
      <c r="BM23" s="239"/>
      <c r="BN23" s="272">
        <f t="shared" si="7"/>
        <v>0</v>
      </c>
      <c r="BO23" s="288">
        <f>'NoPlay-Cap Table'!BO23</f>
        <v>0</v>
      </c>
      <c r="BP23" s="272">
        <f>'NoPlay-Cap Table'!BP23</f>
        <v>0</v>
      </c>
      <c r="BQ23" s="272">
        <f>'NoPlay-Cap Table'!BQ23</f>
        <v>0</v>
      </c>
      <c r="BR23" s="288" t="e">
        <f>'NoPlay-Cap Table'!BR23</f>
        <v>#DIV/0!</v>
      </c>
      <c r="BS23" s="288" t="e">
        <f>'NoPlay-Cap Table'!BS23</f>
        <v>#DIV/0!</v>
      </c>
      <c r="BT23" s="238">
        <f>'NoPlay-Cap Table'!BT23</f>
        <v>0</v>
      </c>
      <c r="BU23" s="239"/>
      <c r="BV23" s="272">
        <f t="shared" si="8"/>
        <v>0</v>
      </c>
      <c r="BW23" s="288">
        <f>'Cap Table'!BW23</f>
        <v>0</v>
      </c>
      <c r="BX23" s="272">
        <f>'Cap Table'!BX23</f>
        <v>0</v>
      </c>
      <c r="BY23" s="272">
        <f>'Cap Table'!BY23</f>
        <v>0</v>
      </c>
      <c r="BZ23" s="288" t="e">
        <f>'Cap Table'!BZ23</f>
        <v>#DIV/0!</v>
      </c>
      <c r="CA23" s="288" t="e">
        <f>'Cap Table'!CA23</f>
        <v>#DIV/0!</v>
      </c>
      <c r="CB23" s="180">
        <f>'Cap Table'!CB23</f>
        <v>0</v>
      </c>
      <c r="CC23" s="272" t="e">
        <f t="shared" si="9"/>
        <v>#DIV/0!</v>
      </c>
      <c r="CD23" s="180"/>
      <c r="CE23" s="180"/>
    </row>
    <row r="24" spans="1:85" ht="15.75" customHeight="1" x14ac:dyDescent="0.35">
      <c r="A24" s="180"/>
      <c r="B24" s="180"/>
      <c r="D24" s="241" t="str">
        <f>'NoPlay-Cap Table'!D24</f>
        <v>Investor 4</v>
      </c>
      <c r="E24" s="239">
        <f>'NoPlay-Cap Table'!E24</f>
        <v>0</v>
      </c>
      <c r="F24" s="239">
        <f>'NoPlay-Cap Table'!F24</f>
        <v>0</v>
      </c>
      <c r="G24" s="239">
        <f>'NoPlay-Cap Table'!G24</f>
        <v>0</v>
      </c>
      <c r="H24" s="238">
        <f>'NoPlay-Cap Table'!H24</f>
        <v>0</v>
      </c>
      <c r="I24" s="239"/>
      <c r="J24" s="272" t="e">
        <f t="shared" si="0"/>
        <v>#DIV/0!</v>
      </c>
      <c r="K24" s="288">
        <f>'NoPlay-Cap Table'!K24</f>
        <v>0</v>
      </c>
      <c r="L24" s="272">
        <f>'NoPlay-Cap Table'!L24</f>
        <v>0</v>
      </c>
      <c r="M24" s="272">
        <f>'NoPlay-Cap Table'!M24</f>
        <v>0</v>
      </c>
      <c r="N24" s="288" t="e">
        <f>'NoPlay-Cap Table'!N24</f>
        <v>#DIV/0!</v>
      </c>
      <c r="O24" s="288" t="e">
        <f>'NoPlay-Cap Table'!O24</f>
        <v>#DIV/0!</v>
      </c>
      <c r="P24" s="238">
        <f>'NoPlay-Cap Table'!P24</f>
        <v>0</v>
      </c>
      <c r="Q24" s="239"/>
      <c r="R24" s="272">
        <f t="shared" si="1"/>
        <v>0</v>
      </c>
      <c r="S24" s="288">
        <f>'NoPlay-Cap Table'!S24</f>
        <v>0</v>
      </c>
      <c r="T24" s="272">
        <f>'NoPlay-Cap Table'!T24</f>
        <v>0</v>
      </c>
      <c r="U24" s="272">
        <f>'NoPlay-Cap Table'!U24</f>
        <v>0</v>
      </c>
      <c r="V24" s="288" t="e">
        <f>'NoPlay-Cap Table'!V24</f>
        <v>#DIV/0!</v>
      </c>
      <c r="W24" s="288" t="e">
        <f>'NoPlay-Cap Table'!W24</f>
        <v>#DIV/0!</v>
      </c>
      <c r="X24" s="238">
        <f>'NoPlay-Cap Table'!X24</f>
        <v>0</v>
      </c>
      <c r="Y24" s="239"/>
      <c r="Z24" s="272">
        <f t="shared" si="2"/>
        <v>0</v>
      </c>
      <c r="AA24" s="288">
        <f>'NoPlay-Cap Table'!AA24</f>
        <v>0</v>
      </c>
      <c r="AB24" s="272">
        <f>'NoPlay-Cap Table'!AB24</f>
        <v>0</v>
      </c>
      <c r="AC24" s="272">
        <f>'NoPlay-Cap Table'!AC24</f>
        <v>0</v>
      </c>
      <c r="AD24" s="288" t="e">
        <f>'NoPlay-Cap Table'!AD24</f>
        <v>#DIV/0!</v>
      </c>
      <c r="AE24" s="288" t="e">
        <f>'NoPlay-Cap Table'!AE24</f>
        <v>#DIV/0!</v>
      </c>
      <c r="AF24" s="238">
        <f>'NoPlay-Cap Table'!AF24</f>
        <v>0</v>
      </c>
      <c r="AG24" s="239"/>
      <c r="AH24" s="272">
        <f t="shared" si="3"/>
        <v>0</v>
      </c>
      <c r="AI24" s="288">
        <f>'NoPlay-Cap Table'!AI24</f>
        <v>0</v>
      </c>
      <c r="AJ24" s="272">
        <f>'NoPlay-Cap Table'!AJ24</f>
        <v>0</v>
      </c>
      <c r="AK24" s="272">
        <f>'NoPlay-Cap Table'!AK24</f>
        <v>0</v>
      </c>
      <c r="AL24" s="288" t="e">
        <f>'NoPlay-Cap Table'!AL24</f>
        <v>#DIV/0!</v>
      </c>
      <c r="AM24" s="288" t="e">
        <f>'NoPlay-Cap Table'!AM24</f>
        <v>#DIV/0!</v>
      </c>
      <c r="AN24" s="238">
        <f>'NoPlay-Cap Table'!AN24</f>
        <v>0</v>
      </c>
      <c r="AO24" s="239"/>
      <c r="AP24" s="272">
        <f t="shared" si="4"/>
        <v>0</v>
      </c>
      <c r="AQ24" s="288">
        <f>'NoPlay-Cap Table'!AQ24</f>
        <v>0</v>
      </c>
      <c r="AR24" s="272">
        <f>'NoPlay-Cap Table'!AR24</f>
        <v>0</v>
      </c>
      <c r="AS24" s="272">
        <f>'NoPlay-Cap Table'!AS24</f>
        <v>0</v>
      </c>
      <c r="AT24" s="288" t="e">
        <f>'NoPlay-Cap Table'!AT24</f>
        <v>#DIV/0!</v>
      </c>
      <c r="AU24" s="288" t="e">
        <f>'NoPlay-Cap Table'!AU24</f>
        <v>#DIV/0!</v>
      </c>
      <c r="AV24" s="238">
        <f>'NoPlay-Cap Table'!AV24</f>
        <v>0</v>
      </c>
      <c r="AW24" s="239"/>
      <c r="AX24" s="272">
        <f t="shared" si="5"/>
        <v>0</v>
      </c>
      <c r="AY24" s="288">
        <f>'NoPlay-Cap Table'!AY24</f>
        <v>0</v>
      </c>
      <c r="AZ24" s="272">
        <f>'NoPlay-Cap Table'!AZ24</f>
        <v>0</v>
      </c>
      <c r="BA24" s="272">
        <f>'NoPlay-Cap Table'!BA24</f>
        <v>0</v>
      </c>
      <c r="BB24" s="288" t="e">
        <f>'NoPlay-Cap Table'!BB24</f>
        <v>#DIV/0!</v>
      </c>
      <c r="BC24" s="288" t="e">
        <f>'NoPlay-Cap Table'!BC24</f>
        <v>#DIV/0!</v>
      </c>
      <c r="BD24" s="238">
        <f>'NoPlay-Cap Table'!BD24</f>
        <v>0</v>
      </c>
      <c r="BE24" s="239"/>
      <c r="BF24" s="272">
        <f t="shared" si="6"/>
        <v>0</v>
      </c>
      <c r="BG24" s="288">
        <f>'NoPlay-Cap Table'!BG24</f>
        <v>0</v>
      </c>
      <c r="BH24" s="272">
        <f>'NoPlay-Cap Table'!BH24</f>
        <v>0</v>
      </c>
      <c r="BI24" s="272">
        <f>'NoPlay-Cap Table'!BI24</f>
        <v>0</v>
      </c>
      <c r="BJ24" s="288" t="e">
        <f>'NoPlay-Cap Table'!BJ24</f>
        <v>#DIV/0!</v>
      </c>
      <c r="BK24" s="288" t="e">
        <f>'NoPlay-Cap Table'!BK24</f>
        <v>#DIV/0!</v>
      </c>
      <c r="BL24" s="238">
        <f>'NoPlay-Cap Table'!BL24</f>
        <v>0</v>
      </c>
      <c r="BM24" s="239"/>
      <c r="BN24" s="272">
        <f t="shared" si="7"/>
        <v>0</v>
      </c>
      <c r="BO24" s="288">
        <f>'NoPlay-Cap Table'!BO24</f>
        <v>0</v>
      </c>
      <c r="BP24" s="272">
        <f>'NoPlay-Cap Table'!BP24</f>
        <v>0</v>
      </c>
      <c r="BQ24" s="272">
        <f>'NoPlay-Cap Table'!BQ24</f>
        <v>0</v>
      </c>
      <c r="BR24" s="288" t="e">
        <f>'NoPlay-Cap Table'!BR24</f>
        <v>#DIV/0!</v>
      </c>
      <c r="BS24" s="288" t="e">
        <f>'NoPlay-Cap Table'!BS24</f>
        <v>#DIV/0!</v>
      </c>
      <c r="BT24" s="238">
        <f>'NoPlay-Cap Table'!BT24</f>
        <v>0</v>
      </c>
      <c r="BU24" s="239"/>
      <c r="BV24" s="272">
        <f t="shared" si="8"/>
        <v>0</v>
      </c>
      <c r="BW24" s="288">
        <f>'Cap Table'!BW24</f>
        <v>0</v>
      </c>
      <c r="BX24" s="272">
        <f>'Cap Table'!BX24</f>
        <v>0</v>
      </c>
      <c r="BY24" s="272">
        <f>'Cap Table'!BY24</f>
        <v>0</v>
      </c>
      <c r="BZ24" s="288" t="e">
        <f>'Cap Table'!BZ24</f>
        <v>#DIV/0!</v>
      </c>
      <c r="CA24" s="288" t="e">
        <f>'Cap Table'!CA24</f>
        <v>#DIV/0!</v>
      </c>
      <c r="CB24" s="180">
        <f>'Cap Table'!CB24</f>
        <v>0</v>
      </c>
      <c r="CC24" s="272" t="e">
        <f t="shared" si="9"/>
        <v>#DIV/0!</v>
      </c>
      <c r="CD24" s="180"/>
      <c r="CE24" s="180"/>
    </row>
    <row r="25" spans="1:85" ht="15.75" customHeight="1" x14ac:dyDescent="0.35">
      <c r="A25" s="180"/>
      <c r="B25" s="180"/>
      <c r="D25" s="241" t="str">
        <f>'NoPlay-Cap Table'!D25</f>
        <v>Investor 5</v>
      </c>
      <c r="E25" s="239">
        <f>'NoPlay-Cap Table'!E25</f>
        <v>0</v>
      </c>
      <c r="F25" s="239">
        <f>'NoPlay-Cap Table'!F25</f>
        <v>0</v>
      </c>
      <c r="G25" s="239">
        <f>'NoPlay-Cap Table'!G25</f>
        <v>0</v>
      </c>
      <c r="H25" s="238">
        <f>'NoPlay-Cap Table'!H25</f>
        <v>0</v>
      </c>
      <c r="I25" s="239"/>
      <c r="J25" s="272" t="e">
        <f t="shared" si="0"/>
        <v>#DIV/0!</v>
      </c>
      <c r="K25" s="288">
        <f>'NoPlay-Cap Table'!K25</f>
        <v>0</v>
      </c>
      <c r="L25" s="272">
        <f>'NoPlay-Cap Table'!L25</f>
        <v>0</v>
      </c>
      <c r="M25" s="272">
        <f>'NoPlay-Cap Table'!M25</f>
        <v>0</v>
      </c>
      <c r="N25" s="288" t="e">
        <f>'NoPlay-Cap Table'!N25</f>
        <v>#DIV/0!</v>
      </c>
      <c r="O25" s="288" t="e">
        <f>'NoPlay-Cap Table'!O25</f>
        <v>#DIV/0!</v>
      </c>
      <c r="P25" s="238">
        <f>'NoPlay-Cap Table'!P25</f>
        <v>0</v>
      </c>
      <c r="Q25" s="239"/>
      <c r="R25" s="272">
        <f t="shared" si="1"/>
        <v>0</v>
      </c>
      <c r="S25" s="288">
        <f>'NoPlay-Cap Table'!S25</f>
        <v>0</v>
      </c>
      <c r="T25" s="272">
        <f>'NoPlay-Cap Table'!T25</f>
        <v>0</v>
      </c>
      <c r="U25" s="272">
        <f>'NoPlay-Cap Table'!U25</f>
        <v>0</v>
      </c>
      <c r="V25" s="288" t="e">
        <f>'NoPlay-Cap Table'!V25</f>
        <v>#DIV/0!</v>
      </c>
      <c r="W25" s="288" t="e">
        <f>'NoPlay-Cap Table'!W25</f>
        <v>#DIV/0!</v>
      </c>
      <c r="X25" s="238">
        <f>'NoPlay-Cap Table'!X25</f>
        <v>0</v>
      </c>
      <c r="Y25" s="239"/>
      <c r="Z25" s="272">
        <f t="shared" si="2"/>
        <v>0</v>
      </c>
      <c r="AA25" s="288">
        <f>'NoPlay-Cap Table'!AA25</f>
        <v>0</v>
      </c>
      <c r="AB25" s="272">
        <f>'NoPlay-Cap Table'!AB25</f>
        <v>0</v>
      </c>
      <c r="AC25" s="272">
        <f>'NoPlay-Cap Table'!AC25</f>
        <v>0</v>
      </c>
      <c r="AD25" s="288" t="e">
        <f>'NoPlay-Cap Table'!AD25</f>
        <v>#DIV/0!</v>
      </c>
      <c r="AE25" s="288" t="e">
        <f>'NoPlay-Cap Table'!AE25</f>
        <v>#DIV/0!</v>
      </c>
      <c r="AF25" s="238">
        <f>'NoPlay-Cap Table'!AF25</f>
        <v>0</v>
      </c>
      <c r="AG25" s="239"/>
      <c r="AH25" s="272">
        <f t="shared" si="3"/>
        <v>0</v>
      </c>
      <c r="AI25" s="288">
        <f>'NoPlay-Cap Table'!AI25</f>
        <v>0</v>
      </c>
      <c r="AJ25" s="272">
        <f>'NoPlay-Cap Table'!AJ25</f>
        <v>0</v>
      </c>
      <c r="AK25" s="272">
        <f>'NoPlay-Cap Table'!AK25</f>
        <v>0</v>
      </c>
      <c r="AL25" s="288" t="e">
        <f>'NoPlay-Cap Table'!AL25</f>
        <v>#DIV/0!</v>
      </c>
      <c r="AM25" s="288" t="e">
        <f>'NoPlay-Cap Table'!AM25</f>
        <v>#DIV/0!</v>
      </c>
      <c r="AN25" s="238">
        <f>'NoPlay-Cap Table'!AN25</f>
        <v>0</v>
      </c>
      <c r="AO25" s="239"/>
      <c r="AP25" s="272">
        <f t="shared" si="4"/>
        <v>0</v>
      </c>
      <c r="AQ25" s="288">
        <f>'NoPlay-Cap Table'!AQ25</f>
        <v>0</v>
      </c>
      <c r="AR25" s="272">
        <f>'NoPlay-Cap Table'!AR25</f>
        <v>0</v>
      </c>
      <c r="AS25" s="272">
        <f>'NoPlay-Cap Table'!AS25</f>
        <v>0</v>
      </c>
      <c r="AT25" s="288" t="e">
        <f>'NoPlay-Cap Table'!AT25</f>
        <v>#DIV/0!</v>
      </c>
      <c r="AU25" s="288" t="e">
        <f>'NoPlay-Cap Table'!AU25</f>
        <v>#DIV/0!</v>
      </c>
      <c r="AV25" s="238">
        <f>'NoPlay-Cap Table'!AV25</f>
        <v>0</v>
      </c>
      <c r="AW25" s="239"/>
      <c r="AX25" s="272">
        <f t="shared" si="5"/>
        <v>0</v>
      </c>
      <c r="AY25" s="288">
        <f>'NoPlay-Cap Table'!AY25</f>
        <v>0</v>
      </c>
      <c r="AZ25" s="272">
        <f>'NoPlay-Cap Table'!AZ25</f>
        <v>0</v>
      </c>
      <c r="BA25" s="272">
        <f>'NoPlay-Cap Table'!BA25</f>
        <v>0</v>
      </c>
      <c r="BB25" s="288" t="e">
        <f>'NoPlay-Cap Table'!BB25</f>
        <v>#DIV/0!</v>
      </c>
      <c r="BC25" s="288" t="e">
        <f>'NoPlay-Cap Table'!BC25</f>
        <v>#DIV/0!</v>
      </c>
      <c r="BD25" s="238">
        <f>'NoPlay-Cap Table'!BD25</f>
        <v>0</v>
      </c>
      <c r="BE25" s="239"/>
      <c r="BF25" s="272">
        <f t="shared" si="6"/>
        <v>0</v>
      </c>
      <c r="BG25" s="288">
        <f>'NoPlay-Cap Table'!BG25</f>
        <v>0</v>
      </c>
      <c r="BH25" s="272">
        <f>'NoPlay-Cap Table'!BH25</f>
        <v>0</v>
      </c>
      <c r="BI25" s="272">
        <f>'NoPlay-Cap Table'!BI25</f>
        <v>0</v>
      </c>
      <c r="BJ25" s="288" t="e">
        <f>'NoPlay-Cap Table'!BJ25</f>
        <v>#DIV/0!</v>
      </c>
      <c r="BK25" s="288" t="e">
        <f>'NoPlay-Cap Table'!BK25</f>
        <v>#DIV/0!</v>
      </c>
      <c r="BL25" s="238">
        <f>'NoPlay-Cap Table'!BL25</f>
        <v>0</v>
      </c>
      <c r="BM25" s="239"/>
      <c r="BN25" s="272">
        <f t="shared" si="7"/>
        <v>0</v>
      </c>
      <c r="BO25" s="288">
        <f>'NoPlay-Cap Table'!BO25</f>
        <v>0</v>
      </c>
      <c r="BP25" s="272">
        <f>'NoPlay-Cap Table'!BP25</f>
        <v>0</v>
      </c>
      <c r="BQ25" s="272">
        <f>'NoPlay-Cap Table'!BQ25</f>
        <v>0</v>
      </c>
      <c r="BR25" s="288" t="e">
        <f>'NoPlay-Cap Table'!BR25</f>
        <v>#DIV/0!</v>
      </c>
      <c r="BS25" s="288" t="e">
        <f>'NoPlay-Cap Table'!BS25</f>
        <v>#DIV/0!</v>
      </c>
      <c r="BT25" s="238">
        <f>'NoPlay-Cap Table'!BT25</f>
        <v>0</v>
      </c>
      <c r="BU25" s="239"/>
      <c r="BV25" s="272">
        <f t="shared" si="8"/>
        <v>0</v>
      </c>
      <c r="BW25" s="288">
        <f>'Cap Table'!BW25</f>
        <v>0</v>
      </c>
      <c r="BX25" s="272">
        <f>'Cap Table'!BX25</f>
        <v>0</v>
      </c>
      <c r="BY25" s="272">
        <f>'Cap Table'!BY25</f>
        <v>0</v>
      </c>
      <c r="BZ25" s="288" t="e">
        <f>'Cap Table'!BZ25</f>
        <v>#DIV/0!</v>
      </c>
      <c r="CA25" s="288" t="e">
        <f>'Cap Table'!CA25</f>
        <v>#DIV/0!</v>
      </c>
      <c r="CB25" s="180">
        <f>'Cap Table'!CB25</f>
        <v>0</v>
      </c>
      <c r="CC25" s="272" t="e">
        <f t="shared" si="9"/>
        <v>#DIV/0!</v>
      </c>
      <c r="CD25" s="180"/>
      <c r="CE25" s="180"/>
    </row>
    <row r="26" spans="1:85" ht="15.75" customHeight="1" x14ac:dyDescent="0.35">
      <c r="A26" s="180"/>
      <c r="B26" s="180"/>
      <c r="D26" s="241" t="str">
        <f>'NoPlay-Cap Table'!D26</f>
        <v>Investor 6</v>
      </c>
      <c r="E26" s="239">
        <f>'NoPlay-Cap Table'!E26</f>
        <v>0</v>
      </c>
      <c r="F26" s="239">
        <f>'NoPlay-Cap Table'!F26</f>
        <v>0</v>
      </c>
      <c r="G26" s="239">
        <f>'NoPlay-Cap Table'!G26</f>
        <v>0</v>
      </c>
      <c r="H26" s="238">
        <f>'NoPlay-Cap Table'!H26</f>
        <v>0</v>
      </c>
      <c r="I26" s="239"/>
      <c r="J26" s="272" t="e">
        <f t="shared" si="0"/>
        <v>#DIV/0!</v>
      </c>
      <c r="K26" s="288">
        <f>'NoPlay-Cap Table'!K26</f>
        <v>0</v>
      </c>
      <c r="L26" s="272">
        <f>'NoPlay-Cap Table'!L26</f>
        <v>0</v>
      </c>
      <c r="M26" s="272">
        <f>'NoPlay-Cap Table'!M26</f>
        <v>0</v>
      </c>
      <c r="N26" s="288" t="e">
        <f>'NoPlay-Cap Table'!N26</f>
        <v>#DIV/0!</v>
      </c>
      <c r="O26" s="288" t="e">
        <f>'NoPlay-Cap Table'!O26</f>
        <v>#DIV/0!</v>
      </c>
      <c r="P26" s="238">
        <f>'NoPlay-Cap Table'!P26</f>
        <v>0</v>
      </c>
      <c r="Q26" s="239"/>
      <c r="R26" s="272">
        <f t="shared" si="1"/>
        <v>0</v>
      </c>
      <c r="S26" s="288">
        <f>'NoPlay-Cap Table'!S26</f>
        <v>0</v>
      </c>
      <c r="T26" s="272">
        <f>'NoPlay-Cap Table'!T26</f>
        <v>0</v>
      </c>
      <c r="U26" s="272">
        <f>'NoPlay-Cap Table'!U26</f>
        <v>0</v>
      </c>
      <c r="V26" s="288" t="e">
        <f>'NoPlay-Cap Table'!V26</f>
        <v>#DIV/0!</v>
      </c>
      <c r="W26" s="288" t="e">
        <f>'NoPlay-Cap Table'!W26</f>
        <v>#DIV/0!</v>
      </c>
      <c r="X26" s="238">
        <f>'NoPlay-Cap Table'!X26</f>
        <v>0</v>
      </c>
      <c r="Y26" s="239"/>
      <c r="Z26" s="272">
        <f t="shared" si="2"/>
        <v>0</v>
      </c>
      <c r="AA26" s="288">
        <f>'NoPlay-Cap Table'!AA26</f>
        <v>0</v>
      </c>
      <c r="AB26" s="272">
        <f>'NoPlay-Cap Table'!AB26</f>
        <v>0</v>
      </c>
      <c r="AC26" s="272">
        <f>'NoPlay-Cap Table'!AC26</f>
        <v>0</v>
      </c>
      <c r="AD26" s="288" t="e">
        <f>'NoPlay-Cap Table'!AD26</f>
        <v>#DIV/0!</v>
      </c>
      <c r="AE26" s="288" t="e">
        <f>'NoPlay-Cap Table'!AE26</f>
        <v>#DIV/0!</v>
      </c>
      <c r="AF26" s="238">
        <f>'NoPlay-Cap Table'!AF26</f>
        <v>0</v>
      </c>
      <c r="AG26" s="239"/>
      <c r="AH26" s="272">
        <f t="shared" si="3"/>
        <v>0</v>
      </c>
      <c r="AI26" s="288">
        <f>'NoPlay-Cap Table'!AI26</f>
        <v>0</v>
      </c>
      <c r="AJ26" s="272">
        <f>'NoPlay-Cap Table'!AJ26</f>
        <v>0</v>
      </c>
      <c r="AK26" s="272">
        <f>'NoPlay-Cap Table'!AK26</f>
        <v>0</v>
      </c>
      <c r="AL26" s="288" t="e">
        <f>'NoPlay-Cap Table'!AL26</f>
        <v>#DIV/0!</v>
      </c>
      <c r="AM26" s="288" t="e">
        <f>'NoPlay-Cap Table'!AM26</f>
        <v>#DIV/0!</v>
      </c>
      <c r="AN26" s="238">
        <f>'NoPlay-Cap Table'!AN26</f>
        <v>0</v>
      </c>
      <c r="AO26" s="239"/>
      <c r="AP26" s="272">
        <f t="shared" si="4"/>
        <v>0</v>
      </c>
      <c r="AQ26" s="288">
        <f>'NoPlay-Cap Table'!AQ26</f>
        <v>0</v>
      </c>
      <c r="AR26" s="272">
        <f>'NoPlay-Cap Table'!AR26</f>
        <v>0</v>
      </c>
      <c r="AS26" s="272">
        <f>'NoPlay-Cap Table'!AS26</f>
        <v>0</v>
      </c>
      <c r="AT26" s="288" t="e">
        <f>'NoPlay-Cap Table'!AT26</f>
        <v>#DIV/0!</v>
      </c>
      <c r="AU26" s="288" t="e">
        <f>'NoPlay-Cap Table'!AU26</f>
        <v>#DIV/0!</v>
      </c>
      <c r="AV26" s="238">
        <f>'NoPlay-Cap Table'!AV26</f>
        <v>0</v>
      </c>
      <c r="AW26" s="239"/>
      <c r="AX26" s="272">
        <f t="shared" si="5"/>
        <v>0</v>
      </c>
      <c r="AY26" s="288">
        <f>'NoPlay-Cap Table'!AY26</f>
        <v>0</v>
      </c>
      <c r="AZ26" s="272">
        <f>'NoPlay-Cap Table'!AZ26</f>
        <v>0</v>
      </c>
      <c r="BA26" s="272">
        <f>'NoPlay-Cap Table'!BA26</f>
        <v>0</v>
      </c>
      <c r="BB26" s="288" t="e">
        <f>'NoPlay-Cap Table'!BB26</f>
        <v>#DIV/0!</v>
      </c>
      <c r="BC26" s="288" t="e">
        <f>'NoPlay-Cap Table'!BC26</f>
        <v>#DIV/0!</v>
      </c>
      <c r="BD26" s="238">
        <f>'NoPlay-Cap Table'!BD26</f>
        <v>0</v>
      </c>
      <c r="BE26" s="239"/>
      <c r="BF26" s="272">
        <f t="shared" si="6"/>
        <v>0</v>
      </c>
      <c r="BG26" s="288">
        <f>'NoPlay-Cap Table'!BG26</f>
        <v>0</v>
      </c>
      <c r="BH26" s="272">
        <f>'NoPlay-Cap Table'!BH26</f>
        <v>0</v>
      </c>
      <c r="BI26" s="272">
        <f>'NoPlay-Cap Table'!BI26</f>
        <v>0</v>
      </c>
      <c r="BJ26" s="288" t="e">
        <f>'NoPlay-Cap Table'!BJ26</f>
        <v>#DIV/0!</v>
      </c>
      <c r="BK26" s="288" t="e">
        <f>'NoPlay-Cap Table'!BK26</f>
        <v>#DIV/0!</v>
      </c>
      <c r="BL26" s="238">
        <f>'NoPlay-Cap Table'!BL26</f>
        <v>0</v>
      </c>
      <c r="BM26" s="239"/>
      <c r="BN26" s="272">
        <f t="shared" si="7"/>
        <v>0</v>
      </c>
      <c r="BO26" s="288">
        <f>'NoPlay-Cap Table'!BO26</f>
        <v>0</v>
      </c>
      <c r="BP26" s="272">
        <f>'NoPlay-Cap Table'!BP26</f>
        <v>0</v>
      </c>
      <c r="BQ26" s="272">
        <f>'NoPlay-Cap Table'!BQ26</f>
        <v>0</v>
      </c>
      <c r="BR26" s="288" t="e">
        <f>'NoPlay-Cap Table'!BR26</f>
        <v>#DIV/0!</v>
      </c>
      <c r="BS26" s="288" t="e">
        <f>'NoPlay-Cap Table'!BS26</f>
        <v>#DIV/0!</v>
      </c>
      <c r="BT26" s="238">
        <f>'NoPlay-Cap Table'!BT26</f>
        <v>0</v>
      </c>
      <c r="BU26" s="239"/>
      <c r="BV26" s="272">
        <f t="shared" si="8"/>
        <v>0</v>
      </c>
      <c r="BW26" s="288">
        <f>'Cap Table'!BW41</f>
        <v>0</v>
      </c>
      <c r="BX26" s="272">
        <f>'Cap Table'!BX41</f>
        <v>0</v>
      </c>
      <c r="BY26" s="272">
        <f>'Cap Table'!BY41</f>
        <v>0</v>
      </c>
      <c r="BZ26" s="288" t="e">
        <f>'Cap Table'!BZ41</f>
        <v>#DIV/0!</v>
      </c>
      <c r="CA26" s="288" t="e">
        <f>'Cap Table'!CA41</f>
        <v>#DIV/0!</v>
      </c>
      <c r="CB26" s="180">
        <f>'Cap Table'!CB41</f>
        <v>0</v>
      </c>
      <c r="CC26" s="272" t="e">
        <f t="shared" si="9"/>
        <v>#DIV/0!</v>
      </c>
      <c r="CD26" s="180"/>
      <c r="CE26" s="180"/>
    </row>
    <row r="27" spans="1:85" ht="15.75" customHeight="1" x14ac:dyDescent="0.35">
      <c r="A27" s="180"/>
      <c r="B27" s="180"/>
      <c r="D27" s="241">
        <f>'NoPlay-Cap Table'!D27</f>
        <v>0</v>
      </c>
      <c r="E27" s="239">
        <f>'NoPlay-Cap Table'!E27</f>
        <v>0</v>
      </c>
      <c r="F27" s="239">
        <f>'NoPlay-Cap Table'!F27</f>
        <v>0</v>
      </c>
      <c r="G27" s="239">
        <f>'NoPlay-Cap Table'!G27</f>
        <v>0</v>
      </c>
      <c r="H27" s="238">
        <f>'NoPlay-Cap Table'!H27</f>
        <v>0</v>
      </c>
      <c r="I27" s="239"/>
      <c r="J27" s="272" t="e">
        <f t="shared" si="0"/>
        <v>#DIV/0!</v>
      </c>
      <c r="K27" s="288">
        <f>'NoPlay-Cap Table'!K27</f>
        <v>0</v>
      </c>
      <c r="L27" s="272">
        <f>'NoPlay-Cap Table'!L27</f>
        <v>0</v>
      </c>
      <c r="M27" s="272">
        <f>'NoPlay-Cap Table'!M27</f>
        <v>0</v>
      </c>
      <c r="N27" s="288" t="e">
        <f>'NoPlay-Cap Table'!N27</f>
        <v>#DIV/0!</v>
      </c>
      <c r="O27" s="288" t="e">
        <f>'NoPlay-Cap Table'!O27</f>
        <v>#DIV/0!</v>
      </c>
      <c r="P27" s="238">
        <f>'NoPlay-Cap Table'!P27</f>
        <v>0</v>
      </c>
      <c r="Q27" s="239"/>
      <c r="R27" s="272">
        <f t="shared" si="1"/>
        <v>0</v>
      </c>
      <c r="S27" s="288">
        <f>'NoPlay-Cap Table'!S27</f>
        <v>0</v>
      </c>
      <c r="T27" s="272">
        <f>'NoPlay-Cap Table'!T27</f>
        <v>0</v>
      </c>
      <c r="U27" s="272">
        <f>'NoPlay-Cap Table'!U27</f>
        <v>0</v>
      </c>
      <c r="V27" s="288" t="e">
        <f>'NoPlay-Cap Table'!V27</f>
        <v>#DIV/0!</v>
      </c>
      <c r="W27" s="288" t="e">
        <f>'NoPlay-Cap Table'!W27</f>
        <v>#DIV/0!</v>
      </c>
      <c r="X27" s="238">
        <f>'NoPlay-Cap Table'!X27</f>
        <v>0</v>
      </c>
      <c r="Y27" s="239"/>
      <c r="Z27" s="272">
        <f t="shared" si="2"/>
        <v>0</v>
      </c>
      <c r="AA27" s="288">
        <f>'NoPlay-Cap Table'!AA27</f>
        <v>0</v>
      </c>
      <c r="AB27" s="272">
        <f>'NoPlay-Cap Table'!AB27</f>
        <v>0</v>
      </c>
      <c r="AC27" s="272">
        <f>'NoPlay-Cap Table'!AC27</f>
        <v>0</v>
      </c>
      <c r="AD27" s="288" t="e">
        <f>'NoPlay-Cap Table'!AD27</f>
        <v>#DIV/0!</v>
      </c>
      <c r="AE27" s="288" t="e">
        <f>'NoPlay-Cap Table'!AE27</f>
        <v>#DIV/0!</v>
      </c>
      <c r="AF27" s="238">
        <f>'NoPlay-Cap Table'!AF27</f>
        <v>0</v>
      </c>
      <c r="AG27" s="239"/>
      <c r="AH27" s="272">
        <f t="shared" si="3"/>
        <v>0</v>
      </c>
      <c r="AI27" s="288">
        <f>'NoPlay-Cap Table'!AI27</f>
        <v>0</v>
      </c>
      <c r="AJ27" s="272">
        <f>'NoPlay-Cap Table'!AJ27</f>
        <v>0</v>
      </c>
      <c r="AK27" s="272">
        <f>'NoPlay-Cap Table'!AK27</f>
        <v>0</v>
      </c>
      <c r="AL27" s="288" t="e">
        <f>'NoPlay-Cap Table'!AL27</f>
        <v>#DIV/0!</v>
      </c>
      <c r="AM27" s="288" t="e">
        <f>'NoPlay-Cap Table'!AM27</f>
        <v>#DIV/0!</v>
      </c>
      <c r="AN27" s="238">
        <f>'NoPlay-Cap Table'!AN27</f>
        <v>0</v>
      </c>
      <c r="AO27" s="239"/>
      <c r="AP27" s="272">
        <f t="shared" si="4"/>
        <v>0</v>
      </c>
      <c r="AQ27" s="288">
        <f>'NoPlay-Cap Table'!AQ27</f>
        <v>0</v>
      </c>
      <c r="AR27" s="272">
        <f>'NoPlay-Cap Table'!AR27</f>
        <v>0</v>
      </c>
      <c r="AS27" s="272">
        <f>'NoPlay-Cap Table'!AS27</f>
        <v>0</v>
      </c>
      <c r="AT27" s="288" t="e">
        <f>'NoPlay-Cap Table'!AT27</f>
        <v>#DIV/0!</v>
      </c>
      <c r="AU27" s="288" t="e">
        <f>'NoPlay-Cap Table'!AU27</f>
        <v>#DIV/0!</v>
      </c>
      <c r="AV27" s="238">
        <f>'NoPlay-Cap Table'!AV27</f>
        <v>0</v>
      </c>
      <c r="AW27" s="239"/>
      <c r="AX27" s="272">
        <f t="shared" si="5"/>
        <v>0</v>
      </c>
      <c r="AY27" s="288">
        <f>'NoPlay-Cap Table'!AY27</f>
        <v>0</v>
      </c>
      <c r="AZ27" s="272">
        <f>'NoPlay-Cap Table'!AZ27</f>
        <v>0</v>
      </c>
      <c r="BA27" s="272">
        <f>'NoPlay-Cap Table'!BA27</f>
        <v>0</v>
      </c>
      <c r="BB27" s="288" t="e">
        <f>'NoPlay-Cap Table'!BB27</f>
        <v>#DIV/0!</v>
      </c>
      <c r="BC27" s="288" t="e">
        <f>'NoPlay-Cap Table'!BC27</f>
        <v>#DIV/0!</v>
      </c>
      <c r="BD27" s="238">
        <f>'NoPlay-Cap Table'!BD27</f>
        <v>0</v>
      </c>
      <c r="BE27" s="239"/>
      <c r="BF27" s="272">
        <f t="shared" si="6"/>
        <v>0</v>
      </c>
      <c r="BG27" s="288">
        <f>'NoPlay-Cap Table'!BG27</f>
        <v>0</v>
      </c>
      <c r="BH27" s="272">
        <f>'NoPlay-Cap Table'!BH27</f>
        <v>0</v>
      </c>
      <c r="BI27" s="272">
        <f>'NoPlay-Cap Table'!BI27</f>
        <v>0</v>
      </c>
      <c r="BJ27" s="288" t="e">
        <f>'NoPlay-Cap Table'!BJ27</f>
        <v>#DIV/0!</v>
      </c>
      <c r="BK27" s="288" t="e">
        <f>'NoPlay-Cap Table'!BK27</f>
        <v>#DIV/0!</v>
      </c>
      <c r="BL27" s="238">
        <f>'NoPlay-Cap Table'!BL27</f>
        <v>0</v>
      </c>
      <c r="BM27" s="239"/>
      <c r="BN27" s="272">
        <f t="shared" si="7"/>
        <v>0</v>
      </c>
      <c r="BO27" s="288">
        <f>'NoPlay-Cap Table'!BO27</f>
        <v>0</v>
      </c>
      <c r="BP27" s="272">
        <f>'NoPlay-Cap Table'!BP27</f>
        <v>0</v>
      </c>
      <c r="BQ27" s="272">
        <f>'NoPlay-Cap Table'!BQ27</f>
        <v>0</v>
      </c>
      <c r="BR27" s="288" t="e">
        <f>'NoPlay-Cap Table'!BR27</f>
        <v>#DIV/0!</v>
      </c>
      <c r="BS27" s="288" t="e">
        <f>'NoPlay-Cap Table'!BS27</f>
        <v>#DIV/0!</v>
      </c>
      <c r="BT27" s="238">
        <f>'NoPlay-Cap Table'!BT27</f>
        <v>0</v>
      </c>
      <c r="BU27" s="239"/>
      <c r="BV27" s="272">
        <f t="shared" si="8"/>
        <v>0</v>
      </c>
      <c r="BW27" s="288">
        <f>'Cap Table'!BW42</f>
        <v>0</v>
      </c>
      <c r="BX27" s="272">
        <f>'Cap Table'!BX42</f>
        <v>0</v>
      </c>
      <c r="BY27" s="272">
        <f>'Cap Table'!BY42</f>
        <v>0</v>
      </c>
      <c r="BZ27" s="288" t="e">
        <f>'Cap Table'!BZ42</f>
        <v>#DIV/0!</v>
      </c>
      <c r="CA27" s="288" t="e">
        <f>'Cap Table'!CA42</f>
        <v>#DIV/0!</v>
      </c>
      <c r="CB27" s="180">
        <f>'Cap Table'!CB42</f>
        <v>0</v>
      </c>
      <c r="CC27" s="272" t="e">
        <f t="shared" si="9"/>
        <v>#DIV/0!</v>
      </c>
      <c r="CD27" s="180"/>
      <c r="CE27" s="180"/>
    </row>
    <row r="28" spans="1:85" ht="15.75" customHeight="1" x14ac:dyDescent="0.35">
      <c r="A28" s="180"/>
      <c r="B28" s="180"/>
      <c r="D28" s="241" t="str">
        <f>'NoPlay-Cap Table'!D28</f>
        <v>Founders/Leadership</v>
      </c>
      <c r="E28" s="239">
        <f>'NoPlay-Cap Table'!E28</f>
        <v>0</v>
      </c>
      <c r="F28" s="239">
        <f>'NoPlay-Cap Table'!F28</f>
        <v>0</v>
      </c>
      <c r="G28" s="239">
        <f>'NoPlay-Cap Table'!G28</f>
        <v>0</v>
      </c>
      <c r="H28" s="238">
        <f>'NoPlay-Cap Table'!H28</f>
        <v>0</v>
      </c>
      <c r="I28" s="239"/>
      <c r="J28" s="272" t="e">
        <f t="shared" si="0"/>
        <v>#DIV/0!</v>
      </c>
      <c r="K28" s="288">
        <f>'NoPlay-Cap Table'!K28</f>
        <v>0</v>
      </c>
      <c r="L28" s="272">
        <f>'NoPlay-Cap Table'!L28</f>
        <v>0</v>
      </c>
      <c r="M28" s="272">
        <f>'NoPlay-Cap Table'!M28</f>
        <v>0</v>
      </c>
      <c r="N28" s="288" t="e">
        <f>'NoPlay-Cap Table'!N28</f>
        <v>#DIV/0!</v>
      </c>
      <c r="O28" s="288" t="e">
        <f>'NoPlay-Cap Table'!O28</f>
        <v>#DIV/0!</v>
      </c>
      <c r="P28" s="238">
        <f>'NoPlay-Cap Table'!P28</f>
        <v>0</v>
      </c>
      <c r="Q28" s="239"/>
      <c r="R28" s="272">
        <f t="shared" si="1"/>
        <v>0</v>
      </c>
      <c r="S28" s="288">
        <f>'NoPlay-Cap Table'!S28</f>
        <v>0</v>
      </c>
      <c r="T28" s="272">
        <f>'NoPlay-Cap Table'!T28</f>
        <v>0</v>
      </c>
      <c r="U28" s="272">
        <f>'NoPlay-Cap Table'!U28</f>
        <v>0</v>
      </c>
      <c r="V28" s="288" t="e">
        <f>'NoPlay-Cap Table'!V28</f>
        <v>#DIV/0!</v>
      </c>
      <c r="W28" s="288" t="e">
        <f>'NoPlay-Cap Table'!W28</f>
        <v>#DIV/0!</v>
      </c>
      <c r="X28" s="238">
        <f>'NoPlay-Cap Table'!X28</f>
        <v>0</v>
      </c>
      <c r="Y28" s="239"/>
      <c r="Z28" s="272">
        <f t="shared" si="2"/>
        <v>0</v>
      </c>
      <c r="AA28" s="288">
        <f>'NoPlay-Cap Table'!AA28</f>
        <v>0</v>
      </c>
      <c r="AB28" s="272">
        <f>'NoPlay-Cap Table'!AB28</f>
        <v>0</v>
      </c>
      <c r="AC28" s="272">
        <f>'NoPlay-Cap Table'!AC28</f>
        <v>0</v>
      </c>
      <c r="AD28" s="288" t="e">
        <f>'NoPlay-Cap Table'!AD28</f>
        <v>#DIV/0!</v>
      </c>
      <c r="AE28" s="288" t="e">
        <f>'NoPlay-Cap Table'!AE28</f>
        <v>#DIV/0!</v>
      </c>
      <c r="AF28" s="238">
        <f>'NoPlay-Cap Table'!AF28</f>
        <v>0</v>
      </c>
      <c r="AG28" s="239"/>
      <c r="AH28" s="272">
        <f t="shared" si="3"/>
        <v>0</v>
      </c>
      <c r="AI28" s="288">
        <f>'NoPlay-Cap Table'!AI28</f>
        <v>0</v>
      </c>
      <c r="AJ28" s="272">
        <f>'NoPlay-Cap Table'!AJ28</f>
        <v>0</v>
      </c>
      <c r="AK28" s="272">
        <f>'NoPlay-Cap Table'!AK28</f>
        <v>0</v>
      </c>
      <c r="AL28" s="288" t="e">
        <f>'NoPlay-Cap Table'!AL28</f>
        <v>#DIV/0!</v>
      </c>
      <c r="AM28" s="288" t="e">
        <f>'NoPlay-Cap Table'!AM28</f>
        <v>#DIV/0!</v>
      </c>
      <c r="AN28" s="238">
        <f>'NoPlay-Cap Table'!AN28</f>
        <v>0</v>
      </c>
      <c r="AO28" s="239"/>
      <c r="AP28" s="272">
        <f t="shared" si="4"/>
        <v>0</v>
      </c>
      <c r="AQ28" s="288">
        <f>'NoPlay-Cap Table'!AQ28</f>
        <v>0</v>
      </c>
      <c r="AR28" s="272">
        <f>'NoPlay-Cap Table'!AR28</f>
        <v>0</v>
      </c>
      <c r="AS28" s="272">
        <f>'NoPlay-Cap Table'!AS28</f>
        <v>0</v>
      </c>
      <c r="AT28" s="288" t="e">
        <f>'NoPlay-Cap Table'!AT28</f>
        <v>#DIV/0!</v>
      </c>
      <c r="AU28" s="288" t="e">
        <f>'NoPlay-Cap Table'!AU28</f>
        <v>#DIV/0!</v>
      </c>
      <c r="AV28" s="238">
        <f>'NoPlay-Cap Table'!AV28</f>
        <v>0</v>
      </c>
      <c r="AW28" s="239"/>
      <c r="AX28" s="272">
        <f t="shared" si="5"/>
        <v>0</v>
      </c>
      <c r="AY28" s="288">
        <f>'NoPlay-Cap Table'!AY28</f>
        <v>0</v>
      </c>
      <c r="AZ28" s="272">
        <f>'NoPlay-Cap Table'!AZ28</f>
        <v>0</v>
      </c>
      <c r="BA28" s="272">
        <f>'NoPlay-Cap Table'!BA28</f>
        <v>0</v>
      </c>
      <c r="BB28" s="288" t="e">
        <f>'NoPlay-Cap Table'!BB28</f>
        <v>#DIV/0!</v>
      </c>
      <c r="BC28" s="288" t="e">
        <f>'NoPlay-Cap Table'!BC28</f>
        <v>#DIV/0!</v>
      </c>
      <c r="BD28" s="238">
        <f>'NoPlay-Cap Table'!BD28</f>
        <v>0</v>
      </c>
      <c r="BE28" s="239"/>
      <c r="BF28" s="272">
        <f t="shared" si="6"/>
        <v>0</v>
      </c>
      <c r="BG28" s="288">
        <f>'NoPlay-Cap Table'!BG28</f>
        <v>0</v>
      </c>
      <c r="BH28" s="272">
        <f>'NoPlay-Cap Table'!BH28</f>
        <v>0</v>
      </c>
      <c r="BI28" s="272">
        <f>'NoPlay-Cap Table'!BI28</f>
        <v>0</v>
      </c>
      <c r="BJ28" s="288" t="e">
        <f>'NoPlay-Cap Table'!BJ28</f>
        <v>#DIV/0!</v>
      </c>
      <c r="BK28" s="288" t="e">
        <f>'NoPlay-Cap Table'!BK28</f>
        <v>#DIV/0!</v>
      </c>
      <c r="BL28" s="238">
        <f>'NoPlay-Cap Table'!BL28</f>
        <v>0</v>
      </c>
      <c r="BM28" s="239"/>
      <c r="BN28" s="272">
        <f t="shared" si="7"/>
        <v>0</v>
      </c>
      <c r="BO28" s="288">
        <f>'NoPlay-Cap Table'!BO28</f>
        <v>0</v>
      </c>
      <c r="BP28" s="272">
        <f>'NoPlay-Cap Table'!BP28</f>
        <v>0</v>
      </c>
      <c r="BQ28" s="272">
        <f>'NoPlay-Cap Table'!BQ28</f>
        <v>0</v>
      </c>
      <c r="BR28" s="288" t="e">
        <f>'NoPlay-Cap Table'!BR28</f>
        <v>#DIV/0!</v>
      </c>
      <c r="BS28" s="288" t="e">
        <f>'NoPlay-Cap Table'!BS28</f>
        <v>#DIV/0!</v>
      </c>
      <c r="BT28" s="238">
        <f>'NoPlay-Cap Table'!BT28</f>
        <v>0</v>
      </c>
      <c r="BU28" s="239"/>
      <c r="BV28" s="272">
        <f t="shared" si="8"/>
        <v>0</v>
      </c>
      <c r="BW28" s="288">
        <f>'Cap Table'!BW43</f>
        <v>0</v>
      </c>
      <c r="BX28" s="272">
        <f>'Cap Table'!BX43</f>
        <v>0</v>
      </c>
      <c r="BY28" s="272">
        <f>'Cap Table'!BY43</f>
        <v>0</v>
      </c>
      <c r="BZ28" s="288" t="e">
        <f>'Cap Table'!BZ43</f>
        <v>#DIV/0!</v>
      </c>
      <c r="CA28" s="288" t="e">
        <f>'Cap Table'!CA43</f>
        <v>#DIV/0!</v>
      </c>
      <c r="CB28" s="180">
        <f>'Cap Table'!CB43</f>
        <v>0</v>
      </c>
      <c r="CC28" s="272" t="e">
        <f t="shared" si="9"/>
        <v>#DIV/0!</v>
      </c>
      <c r="CD28" s="180"/>
      <c r="CE28" s="180"/>
    </row>
    <row r="29" spans="1:85" ht="15.75" customHeight="1" x14ac:dyDescent="0.35">
      <c r="A29" s="180"/>
      <c r="B29" s="180"/>
      <c r="D29" s="241" t="str">
        <f>'NoPlay-Cap Table'!D29</f>
        <v>Others 1</v>
      </c>
      <c r="E29" s="239">
        <f>'NoPlay-Cap Table'!E29</f>
        <v>0</v>
      </c>
      <c r="F29" s="239">
        <f>'NoPlay-Cap Table'!F29</f>
        <v>0</v>
      </c>
      <c r="G29" s="239">
        <f>'NoPlay-Cap Table'!G29</f>
        <v>0</v>
      </c>
      <c r="H29" s="238">
        <f>'NoPlay-Cap Table'!H29</f>
        <v>0</v>
      </c>
      <c r="I29" s="239"/>
      <c r="J29" s="272" t="e">
        <f t="shared" si="0"/>
        <v>#DIV/0!</v>
      </c>
      <c r="K29" s="288">
        <f>'NoPlay-Cap Table'!K29</f>
        <v>0</v>
      </c>
      <c r="L29" s="272">
        <f>'NoPlay-Cap Table'!L29</f>
        <v>0</v>
      </c>
      <c r="M29" s="272">
        <f>'NoPlay-Cap Table'!M29</f>
        <v>0</v>
      </c>
      <c r="N29" s="288" t="e">
        <f>'NoPlay-Cap Table'!N29</f>
        <v>#DIV/0!</v>
      </c>
      <c r="O29" s="288" t="e">
        <f>'NoPlay-Cap Table'!O29</f>
        <v>#DIV/0!</v>
      </c>
      <c r="P29" s="238">
        <f>'NoPlay-Cap Table'!P29</f>
        <v>0</v>
      </c>
      <c r="Q29" s="239"/>
      <c r="R29" s="272">
        <f t="shared" si="1"/>
        <v>0</v>
      </c>
      <c r="S29" s="288">
        <f>'NoPlay-Cap Table'!S29</f>
        <v>0</v>
      </c>
      <c r="T29" s="272">
        <f>'NoPlay-Cap Table'!T29</f>
        <v>0</v>
      </c>
      <c r="U29" s="272">
        <f>'NoPlay-Cap Table'!U29</f>
        <v>0</v>
      </c>
      <c r="V29" s="288" t="e">
        <f>'NoPlay-Cap Table'!V29</f>
        <v>#DIV/0!</v>
      </c>
      <c r="W29" s="288" t="e">
        <f>'NoPlay-Cap Table'!W29</f>
        <v>#DIV/0!</v>
      </c>
      <c r="X29" s="238">
        <f>'NoPlay-Cap Table'!X29</f>
        <v>0</v>
      </c>
      <c r="Y29" s="239"/>
      <c r="Z29" s="272">
        <f t="shared" si="2"/>
        <v>0</v>
      </c>
      <c r="AA29" s="288">
        <f>'NoPlay-Cap Table'!AA29</f>
        <v>0</v>
      </c>
      <c r="AB29" s="272">
        <f>'NoPlay-Cap Table'!AB29</f>
        <v>0</v>
      </c>
      <c r="AC29" s="272">
        <f>'NoPlay-Cap Table'!AC29</f>
        <v>0</v>
      </c>
      <c r="AD29" s="288" t="e">
        <f>'NoPlay-Cap Table'!AD29</f>
        <v>#DIV/0!</v>
      </c>
      <c r="AE29" s="288" t="e">
        <f>'NoPlay-Cap Table'!AE29</f>
        <v>#DIV/0!</v>
      </c>
      <c r="AF29" s="238">
        <f>'NoPlay-Cap Table'!AF29</f>
        <v>0</v>
      </c>
      <c r="AG29" s="239"/>
      <c r="AH29" s="272">
        <f t="shared" si="3"/>
        <v>0</v>
      </c>
      <c r="AI29" s="288">
        <f>'NoPlay-Cap Table'!AI29</f>
        <v>0</v>
      </c>
      <c r="AJ29" s="272">
        <f>'NoPlay-Cap Table'!AJ29</f>
        <v>0</v>
      </c>
      <c r="AK29" s="272">
        <f>'NoPlay-Cap Table'!AK29</f>
        <v>0</v>
      </c>
      <c r="AL29" s="288" t="e">
        <f>'NoPlay-Cap Table'!AL29</f>
        <v>#DIV/0!</v>
      </c>
      <c r="AM29" s="288" t="e">
        <f>'NoPlay-Cap Table'!AM29</f>
        <v>#DIV/0!</v>
      </c>
      <c r="AN29" s="238">
        <f>'NoPlay-Cap Table'!AN29</f>
        <v>0</v>
      </c>
      <c r="AO29" s="239"/>
      <c r="AP29" s="272">
        <f t="shared" si="4"/>
        <v>0</v>
      </c>
      <c r="AQ29" s="288">
        <f>'NoPlay-Cap Table'!AQ29</f>
        <v>0</v>
      </c>
      <c r="AR29" s="272">
        <f>'NoPlay-Cap Table'!AR29</f>
        <v>0</v>
      </c>
      <c r="AS29" s="272">
        <f>'NoPlay-Cap Table'!AS29</f>
        <v>0</v>
      </c>
      <c r="AT29" s="288" t="e">
        <f>'NoPlay-Cap Table'!AT29</f>
        <v>#DIV/0!</v>
      </c>
      <c r="AU29" s="288" t="e">
        <f>'NoPlay-Cap Table'!AU29</f>
        <v>#DIV/0!</v>
      </c>
      <c r="AV29" s="238">
        <f>'NoPlay-Cap Table'!AV29</f>
        <v>0</v>
      </c>
      <c r="AW29" s="239"/>
      <c r="AX29" s="272">
        <f t="shared" si="5"/>
        <v>0</v>
      </c>
      <c r="AY29" s="288">
        <f>'NoPlay-Cap Table'!AY29</f>
        <v>0</v>
      </c>
      <c r="AZ29" s="272">
        <f>'NoPlay-Cap Table'!AZ29</f>
        <v>0</v>
      </c>
      <c r="BA29" s="272">
        <f>'NoPlay-Cap Table'!BA29</f>
        <v>0</v>
      </c>
      <c r="BB29" s="288" t="e">
        <f>'NoPlay-Cap Table'!BB29</f>
        <v>#DIV/0!</v>
      </c>
      <c r="BC29" s="288" t="e">
        <f>'NoPlay-Cap Table'!BC29</f>
        <v>#DIV/0!</v>
      </c>
      <c r="BD29" s="238">
        <f>'NoPlay-Cap Table'!BD29</f>
        <v>0</v>
      </c>
      <c r="BE29" s="239"/>
      <c r="BF29" s="272">
        <f t="shared" si="6"/>
        <v>0</v>
      </c>
      <c r="BG29" s="288">
        <f>'NoPlay-Cap Table'!BG29</f>
        <v>0</v>
      </c>
      <c r="BH29" s="272">
        <f>'NoPlay-Cap Table'!BH29</f>
        <v>0</v>
      </c>
      <c r="BI29" s="272">
        <f>'NoPlay-Cap Table'!BI29</f>
        <v>0</v>
      </c>
      <c r="BJ29" s="288" t="e">
        <f>'NoPlay-Cap Table'!BJ29</f>
        <v>#DIV/0!</v>
      </c>
      <c r="BK29" s="288" t="e">
        <f>'NoPlay-Cap Table'!BK29</f>
        <v>#DIV/0!</v>
      </c>
      <c r="BL29" s="238">
        <f>'NoPlay-Cap Table'!BL29</f>
        <v>0</v>
      </c>
      <c r="BM29" s="239"/>
      <c r="BN29" s="272">
        <f t="shared" si="7"/>
        <v>0</v>
      </c>
      <c r="BO29" s="288">
        <f>'NoPlay-Cap Table'!BO29</f>
        <v>0</v>
      </c>
      <c r="BP29" s="272">
        <f>'NoPlay-Cap Table'!BP29</f>
        <v>0</v>
      </c>
      <c r="BQ29" s="272">
        <f>'NoPlay-Cap Table'!BQ29</f>
        <v>0</v>
      </c>
      <c r="BR29" s="288" t="e">
        <f>'NoPlay-Cap Table'!BR29</f>
        <v>#DIV/0!</v>
      </c>
      <c r="BS29" s="288" t="e">
        <f>'NoPlay-Cap Table'!BS29</f>
        <v>#DIV/0!</v>
      </c>
      <c r="BT29" s="238">
        <f>'NoPlay-Cap Table'!BT29</f>
        <v>0</v>
      </c>
      <c r="BU29" s="239"/>
      <c r="BV29" s="272">
        <f t="shared" si="8"/>
        <v>0</v>
      </c>
      <c r="BW29" s="288">
        <f>'Cap Table'!BW44</f>
        <v>0</v>
      </c>
      <c r="BX29" s="272">
        <f>'Cap Table'!BX44</f>
        <v>0</v>
      </c>
      <c r="BY29" s="272">
        <f>'Cap Table'!BY44</f>
        <v>0</v>
      </c>
      <c r="BZ29" s="288" t="e">
        <f>'Cap Table'!BZ44</f>
        <v>#DIV/0!</v>
      </c>
      <c r="CA29" s="288" t="e">
        <f>'Cap Table'!CA44</f>
        <v>#DIV/0!</v>
      </c>
      <c r="CB29" s="180">
        <f>'Cap Table'!CB44</f>
        <v>0</v>
      </c>
      <c r="CC29" s="272" t="e">
        <f t="shared" si="9"/>
        <v>#DIV/0!</v>
      </c>
      <c r="CD29" s="180"/>
      <c r="CE29" s="180"/>
    </row>
    <row r="30" spans="1:85" ht="15.75" customHeight="1" x14ac:dyDescent="0.35">
      <c r="A30" s="180"/>
      <c r="B30" s="180"/>
      <c r="D30" s="241" t="str">
        <f>'NoPlay-Cap Table'!D30</f>
        <v>Others 2</v>
      </c>
      <c r="E30" s="239">
        <f>'NoPlay-Cap Table'!E30</f>
        <v>0</v>
      </c>
      <c r="F30" s="239">
        <f>'NoPlay-Cap Table'!F30</f>
        <v>0</v>
      </c>
      <c r="G30" s="239">
        <f>'NoPlay-Cap Table'!G30</f>
        <v>0</v>
      </c>
      <c r="H30" s="238">
        <f>'NoPlay-Cap Table'!H30</f>
        <v>0</v>
      </c>
      <c r="I30" s="239"/>
      <c r="J30" s="272" t="e">
        <f t="shared" si="0"/>
        <v>#DIV/0!</v>
      </c>
      <c r="K30" s="288">
        <f>'NoPlay-Cap Table'!K30</f>
        <v>0</v>
      </c>
      <c r="L30" s="272">
        <f>'NoPlay-Cap Table'!L30</f>
        <v>0</v>
      </c>
      <c r="M30" s="272">
        <f>'NoPlay-Cap Table'!M30</f>
        <v>0</v>
      </c>
      <c r="N30" s="288" t="e">
        <f>'NoPlay-Cap Table'!N30</f>
        <v>#DIV/0!</v>
      </c>
      <c r="O30" s="288" t="e">
        <f>'NoPlay-Cap Table'!O30</f>
        <v>#DIV/0!</v>
      </c>
      <c r="P30" s="238">
        <f>'NoPlay-Cap Table'!P30</f>
        <v>0</v>
      </c>
      <c r="Q30" s="239"/>
      <c r="R30" s="272">
        <f t="shared" si="1"/>
        <v>0</v>
      </c>
      <c r="S30" s="288">
        <f>'NoPlay-Cap Table'!S30</f>
        <v>0</v>
      </c>
      <c r="T30" s="272">
        <f>'NoPlay-Cap Table'!T30</f>
        <v>0</v>
      </c>
      <c r="U30" s="272">
        <f>'NoPlay-Cap Table'!U30</f>
        <v>0</v>
      </c>
      <c r="V30" s="288" t="e">
        <f>'NoPlay-Cap Table'!V30</f>
        <v>#DIV/0!</v>
      </c>
      <c r="W30" s="288" t="e">
        <f>'NoPlay-Cap Table'!W30</f>
        <v>#DIV/0!</v>
      </c>
      <c r="X30" s="238">
        <f>'NoPlay-Cap Table'!X30</f>
        <v>0</v>
      </c>
      <c r="Y30" s="239"/>
      <c r="Z30" s="272">
        <f t="shared" si="2"/>
        <v>0</v>
      </c>
      <c r="AA30" s="288">
        <f>'NoPlay-Cap Table'!AA30</f>
        <v>0</v>
      </c>
      <c r="AB30" s="272">
        <f>'NoPlay-Cap Table'!AB30</f>
        <v>0</v>
      </c>
      <c r="AC30" s="272">
        <f>'NoPlay-Cap Table'!AC30</f>
        <v>0</v>
      </c>
      <c r="AD30" s="288" t="e">
        <f>'NoPlay-Cap Table'!AD30</f>
        <v>#DIV/0!</v>
      </c>
      <c r="AE30" s="288" t="e">
        <f>'NoPlay-Cap Table'!AE30</f>
        <v>#DIV/0!</v>
      </c>
      <c r="AF30" s="238">
        <f>'NoPlay-Cap Table'!AF30</f>
        <v>0</v>
      </c>
      <c r="AG30" s="239"/>
      <c r="AH30" s="272">
        <f t="shared" si="3"/>
        <v>0</v>
      </c>
      <c r="AI30" s="288">
        <f>'NoPlay-Cap Table'!AI30</f>
        <v>0</v>
      </c>
      <c r="AJ30" s="272">
        <f>'NoPlay-Cap Table'!AJ30</f>
        <v>0</v>
      </c>
      <c r="AK30" s="272">
        <f>'NoPlay-Cap Table'!AK30</f>
        <v>0</v>
      </c>
      <c r="AL30" s="288" t="e">
        <f>'NoPlay-Cap Table'!AL30</f>
        <v>#DIV/0!</v>
      </c>
      <c r="AM30" s="288" t="e">
        <f>'NoPlay-Cap Table'!AM30</f>
        <v>#DIV/0!</v>
      </c>
      <c r="AN30" s="238">
        <f>'NoPlay-Cap Table'!AN30</f>
        <v>0</v>
      </c>
      <c r="AO30" s="239"/>
      <c r="AP30" s="272">
        <f t="shared" si="4"/>
        <v>0</v>
      </c>
      <c r="AQ30" s="288">
        <f>'NoPlay-Cap Table'!AQ30</f>
        <v>0</v>
      </c>
      <c r="AR30" s="272">
        <f>'NoPlay-Cap Table'!AR30</f>
        <v>0</v>
      </c>
      <c r="AS30" s="272">
        <f>'NoPlay-Cap Table'!AS30</f>
        <v>0</v>
      </c>
      <c r="AT30" s="288" t="e">
        <f>'NoPlay-Cap Table'!AT30</f>
        <v>#DIV/0!</v>
      </c>
      <c r="AU30" s="288" t="e">
        <f>'NoPlay-Cap Table'!AU30</f>
        <v>#DIV/0!</v>
      </c>
      <c r="AV30" s="238">
        <f>'NoPlay-Cap Table'!AV30</f>
        <v>0</v>
      </c>
      <c r="AW30" s="239"/>
      <c r="AX30" s="272">
        <f t="shared" si="5"/>
        <v>0</v>
      </c>
      <c r="AY30" s="288">
        <f>'NoPlay-Cap Table'!AY30</f>
        <v>0</v>
      </c>
      <c r="AZ30" s="272">
        <f>'NoPlay-Cap Table'!AZ30</f>
        <v>0</v>
      </c>
      <c r="BA30" s="272">
        <f>'NoPlay-Cap Table'!BA30</f>
        <v>0</v>
      </c>
      <c r="BB30" s="288" t="e">
        <f>'NoPlay-Cap Table'!BB30</f>
        <v>#DIV/0!</v>
      </c>
      <c r="BC30" s="288" t="e">
        <f>'NoPlay-Cap Table'!BC30</f>
        <v>#DIV/0!</v>
      </c>
      <c r="BD30" s="238">
        <f>'NoPlay-Cap Table'!BD30</f>
        <v>0</v>
      </c>
      <c r="BE30" s="239"/>
      <c r="BF30" s="272">
        <f t="shared" si="6"/>
        <v>0</v>
      </c>
      <c r="BG30" s="288">
        <f>'NoPlay-Cap Table'!BG30</f>
        <v>0</v>
      </c>
      <c r="BH30" s="272">
        <f>'NoPlay-Cap Table'!BH30</f>
        <v>0</v>
      </c>
      <c r="BI30" s="272">
        <f>'NoPlay-Cap Table'!BI30</f>
        <v>0</v>
      </c>
      <c r="BJ30" s="288" t="e">
        <f>'NoPlay-Cap Table'!BJ30</f>
        <v>#DIV/0!</v>
      </c>
      <c r="BK30" s="288" t="e">
        <f>'NoPlay-Cap Table'!BK30</f>
        <v>#DIV/0!</v>
      </c>
      <c r="BL30" s="238">
        <f>'NoPlay-Cap Table'!BL30</f>
        <v>0</v>
      </c>
      <c r="BM30" s="239"/>
      <c r="BN30" s="272">
        <f t="shared" si="7"/>
        <v>0</v>
      </c>
      <c r="BO30" s="288">
        <f>'NoPlay-Cap Table'!BO30</f>
        <v>0</v>
      </c>
      <c r="BP30" s="272">
        <f>'NoPlay-Cap Table'!BP30</f>
        <v>0</v>
      </c>
      <c r="BQ30" s="272">
        <f>'NoPlay-Cap Table'!BQ30</f>
        <v>0</v>
      </c>
      <c r="BR30" s="288" t="e">
        <f>'NoPlay-Cap Table'!BR30</f>
        <v>#DIV/0!</v>
      </c>
      <c r="BS30" s="288" t="e">
        <f>'NoPlay-Cap Table'!BS30</f>
        <v>#DIV/0!</v>
      </c>
      <c r="BT30" s="238">
        <f>'NoPlay-Cap Table'!BT30</f>
        <v>0</v>
      </c>
      <c r="BU30" s="239"/>
      <c r="BV30" s="272">
        <f t="shared" si="8"/>
        <v>0</v>
      </c>
      <c r="BW30" s="288">
        <f>'Cap Table'!BW45</f>
        <v>0</v>
      </c>
      <c r="BX30" s="272">
        <f>'Cap Table'!BX45</f>
        <v>0</v>
      </c>
      <c r="BY30" s="272">
        <f>'Cap Table'!BY45</f>
        <v>0</v>
      </c>
      <c r="BZ30" s="288" t="e">
        <f>'Cap Table'!BZ45</f>
        <v>#DIV/0!</v>
      </c>
      <c r="CA30" s="288" t="e">
        <f>'Cap Table'!CA45</f>
        <v>#DIV/0!</v>
      </c>
      <c r="CB30" s="180">
        <f>'Cap Table'!CB45</f>
        <v>0</v>
      </c>
      <c r="CC30" s="272" t="e">
        <f t="shared" si="9"/>
        <v>#DIV/0!</v>
      </c>
      <c r="CD30" s="180"/>
      <c r="CE30" s="180"/>
    </row>
    <row r="31" spans="1:85" ht="15.75" customHeight="1" x14ac:dyDescent="0.35">
      <c r="A31" s="180"/>
      <c r="B31" s="180"/>
      <c r="D31" s="241" t="str">
        <f>'NoPlay-Cap Table'!D31</f>
        <v>Others 3</v>
      </c>
      <c r="E31" s="239">
        <f>'NoPlay-Cap Table'!E31</f>
        <v>0</v>
      </c>
      <c r="F31" s="239">
        <f>'NoPlay-Cap Table'!F31</f>
        <v>0</v>
      </c>
      <c r="G31" s="239">
        <f>'NoPlay-Cap Table'!G31</f>
        <v>0</v>
      </c>
      <c r="H31" s="238">
        <f>'NoPlay-Cap Table'!H31</f>
        <v>0</v>
      </c>
      <c r="I31" s="239"/>
      <c r="J31" s="272" t="e">
        <f t="shared" si="0"/>
        <v>#DIV/0!</v>
      </c>
      <c r="K31" s="288">
        <f>'NoPlay-Cap Table'!K31</f>
        <v>0</v>
      </c>
      <c r="L31" s="272">
        <f>'NoPlay-Cap Table'!L31</f>
        <v>0</v>
      </c>
      <c r="M31" s="272">
        <f>'NoPlay-Cap Table'!M31</f>
        <v>0</v>
      </c>
      <c r="N31" s="288" t="e">
        <f>'NoPlay-Cap Table'!N31</f>
        <v>#DIV/0!</v>
      </c>
      <c r="O31" s="288" t="e">
        <f>'NoPlay-Cap Table'!O31</f>
        <v>#DIV/0!</v>
      </c>
      <c r="P31" s="238">
        <f>'NoPlay-Cap Table'!P31</f>
        <v>0</v>
      </c>
      <c r="Q31" s="239"/>
      <c r="R31" s="272">
        <f t="shared" si="1"/>
        <v>0</v>
      </c>
      <c r="S31" s="288">
        <f>'NoPlay-Cap Table'!S31</f>
        <v>0</v>
      </c>
      <c r="T31" s="272">
        <f>'NoPlay-Cap Table'!T31</f>
        <v>0</v>
      </c>
      <c r="U31" s="272">
        <f>'NoPlay-Cap Table'!U31</f>
        <v>0</v>
      </c>
      <c r="V31" s="288" t="e">
        <f>'NoPlay-Cap Table'!V31</f>
        <v>#DIV/0!</v>
      </c>
      <c r="W31" s="288" t="e">
        <f>'NoPlay-Cap Table'!W31</f>
        <v>#DIV/0!</v>
      </c>
      <c r="X31" s="238">
        <f>'NoPlay-Cap Table'!X31</f>
        <v>0</v>
      </c>
      <c r="Y31" s="239"/>
      <c r="Z31" s="272">
        <f t="shared" si="2"/>
        <v>0</v>
      </c>
      <c r="AA31" s="288">
        <f>'NoPlay-Cap Table'!AA31</f>
        <v>0</v>
      </c>
      <c r="AB31" s="272">
        <f>'NoPlay-Cap Table'!AB31</f>
        <v>0</v>
      </c>
      <c r="AC31" s="272">
        <f>'NoPlay-Cap Table'!AC31</f>
        <v>0</v>
      </c>
      <c r="AD31" s="288" t="e">
        <f>'NoPlay-Cap Table'!AD31</f>
        <v>#DIV/0!</v>
      </c>
      <c r="AE31" s="288" t="e">
        <f>'NoPlay-Cap Table'!AE31</f>
        <v>#DIV/0!</v>
      </c>
      <c r="AF31" s="238">
        <f>'NoPlay-Cap Table'!AF31</f>
        <v>0</v>
      </c>
      <c r="AG31" s="239"/>
      <c r="AH31" s="272">
        <f t="shared" si="3"/>
        <v>0</v>
      </c>
      <c r="AI31" s="288">
        <f>'NoPlay-Cap Table'!AI31</f>
        <v>0</v>
      </c>
      <c r="AJ31" s="272">
        <f>'NoPlay-Cap Table'!AJ31</f>
        <v>0</v>
      </c>
      <c r="AK31" s="272">
        <f>'NoPlay-Cap Table'!AK31</f>
        <v>0</v>
      </c>
      <c r="AL31" s="288" t="e">
        <f>'NoPlay-Cap Table'!AL31</f>
        <v>#DIV/0!</v>
      </c>
      <c r="AM31" s="288" t="e">
        <f>'NoPlay-Cap Table'!AM31</f>
        <v>#DIV/0!</v>
      </c>
      <c r="AN31" s="238">
        <f>'NoPlay-Cap Table'!AN31</f>
        <v>0</v>
      </c>
      <c r="AO31" s="239"/>
      <c r="AP31" s="272">
        <f t="shared" si="4"/>
        <v>0</v>
      </c>
      <c r="AQ31" s="288">
        <f>'NoPlay-Cap Table'!AQ31</f>
        <v>0</v>
      </c>
      <c r="AR31" s="272">
        <f>'NoPlay-Cap Table'!AR31</f>
        <v>0</v>
      </c>
      <c r="AS31" s="272">
        <f>'NoPlay-Cap Table'!AS31</f>
        <v>0</v>
      </c>
      <c r="AT31" s="288" t="e">
        <f>'NoPlay-Cap Table'!AT31</f>
        <v>#DIV/0!</v>
      </c>
      <c r="AU31" s="288" t="e">
        <f>'NoPlay-Cap Table'!AU31</f>
        <v>#DIV/0!</v>
      </c>
      <c r="AV31" s="238">
        <f>'NoPlay-Cap Table'!AV31</f>
        <v>0</v>
      </c>
      <c r="AW31" s="239"/>
      <c r="AX31" s="272">
        <f t="shared" si="5"/>
        <v>0</v>
      </c>
      <c r="AY31" s="288">
        <f>'NoPlay-Cap Table'!AY31</f>
        <v>0</v>
      </c>
      <c r="AZ31" s="272">
        <f>'NoPlay-Cap Table'!AZ31</f>
        <v>0</v>
      </c>
      <c r="BA31" s="272">
        <f>'NoPlay-Cap Table'!BA31</f>
        <v>0</v>
      </c>
      <c r="BB31" s="288" t="e">
        <f>'NoPlay-Cap Table'!BB31</f>
        <v>#DIV/0!</v>
      </c>
      <c r="BC31" s="288" t="e">
        <f>'NoPlay-Cap Table'!BC31</f>
        <v>#DIV/0!</v>
      </c>
      <c r="BD31" s="238">
        <f>'NoPlay-Cap Table'!BD31</f>
        <v>0</v>
      </c>
      <c r="BE31" s="239"/>
      <c r="BF31" s="272">
        <f t="shared" si="6"/>
        <v>0</v>
      </c>
      <c r="BG31" s="288">
        <f>'NoPlay-Cap Table'!BG31</f>
        <v>0</v>
      </c>
      <c r="BH31" s="272">
        <f>'NoPlay-Cap Table'!BH31</f>
        <v>0</v>
      </c>
      <c r="BI31" s="272">
        <f>'NoPlay-Cap Table'!BI31</f>
        <v>0</v>
      </c>
      <c r="BJ31" s="288" t="e">
        <f>'NoPlay-Cap Table'!BJ31</f>
        <v>#DIV/0!</v>
      </c>
      <c r="BK31" s="288" t="e">
        <f>'NoPlay-Cap Table'!BK31</f>
        <v>#DIV/0!</v>
      </c>
      <c r="BL31" s="238">
        <f>'NoPlay-Cap Table'!BL31</f>
        <v>0</v>
      </c>
      <c r="BM31" s="239"/>
      <c r="BN31" s="272">
        <f t="shared" si="7"/>
        <v>0</v>
      </c>
      <c r="BO31" s="288">
        <f>'NoPlay-Cap Table'!BO31</f>
        <v>0</v>
      </c>
      <c r="BP31" s="272">
        <f>'NoPlay-Cap Table'!BP31</f>
        <v>0</v>
      </c>
      <c r="BQ31" s="272">
        <f>'NoPlay-Cap Table'!BQ31</f>
        <v>0</v>
      </c>
      <c r="BR31" s="288" t="e">
        <f>'NoPlay-Cap Table'!BR31</f>
        <v>#DIV/0!</v>
      </c>
      <c r="BS31" s="288" t="e">
        <f>'NoPlay-Cap Table'!BS31</f>
        <v>#DIV/0!</v>
      </c>
      <c r="BT31" s="238">
        <f>'NoPlay-Cap Table'!BT31</f>
        <v>0</v>
      </c>
      <c r="BU31" s="239"/>
      <c r="BV31" s="272">
        <f t="shared" si="8"/>
        <v>0</v>
      </c>
      <c r="BW31" s="288">
        <f>'Cap Table'!BW46</f>
        <v>0</v>
      </c>
      <c r="BX31" s="272">
        <f>'Cap Table'!BX46</f>
        <v>0</v>
      </c>
      <c r="BY31" s="272">
        <f>'Cap Table'!BY46</f>
        <v>0</v>
      </c>
      <c r="BZ31" s="288" t="e">
        <f>'Cap Table'!BZ46</f>
        <v>#DIV/0!</v>
      </c>
      <c r="CA31" s="288" t="e">
        <f>'Cap Table'!CA46</f>
        <v>#DIV/0!</v>
      </c>
      <c r="CB31" s="180">
        <f>'Cap Table'!CB46</f>
        <v>0</v>
      </c>
      <c r="CC31" s="272" t="e">
        <f t="shared" si="9"/>
        <v>#DIV/0!</v>
      </c>
      <c r="CD31" s="180"/>
      <c r="CE31" s="180"/>
    </row>
    <row r="32" spans="1:85" ht="15.75" customHeight="1" x14ac:dyDescent="0.35">
      <c r="A32" s="180"/>
      <c r="B32" s="180"/>
      <c r="D32" s="241" t="str">
        <f>'NoPlay-Cap Table'!D32</f>
        <v>Others 4</v>
      </c>
      <c r="E32" s="239">
        <f>'NoPlay-Cap Table'!E32</f>
        <v>0</v>
      </c>
      <c r="F32" s="239">
        <f>'NoPlay-Cap Table'!F32</f>
        <v>0</v>
      </c>
      <c r="G32" s="239">
        <f>'NoPlay-Cap Table'!G32</f>
        <v>0</v>
      </c>
      <c r="H32" s="238">
        <f>'NoPlay-Cap Table'!H32</f>
        <v>0</v>
      </c>
      <c r="I32" s="239"/>
      <c r="J32" s="272" t="e">
        <f t="shared" si="0"/>
        <v>#DIV/0!</v>
      </c>
      <c r="K32" s="288">
        <f>'NoPlay-Cap Table'!K32</f>
        <v>0</v>
      </c>
      <c r="L32" s="272">
        <f>'NoPlay-Cap Table'!L32</f>
        <v>0</v>
      </c>
      <c r="M32" s="272">
        <f>'NoPlay-Cap Table'!M32</f>
        <v>0</v>
      </c>
      <c r="N32" s="288" t="e">
        <f>'NoPlay-Cap Table'!N32</f>
        <v>#DIV/0!</v>
      </c>
      <c r="O32" s="288" t="e">
        <f>'NoPlay-Cap Table'!O32</f>
        <v>#DIV/0!</v>
      </c>
      <c r="P32" s="238">
        <f>'NoPlay-Cap Table'!P32</f>
        <v>0</v>
      </c>
      <c r="Q32" s="239"/>
      <c r="R32" s="272">
        <f t="shared" si="1"/>
        <v>0</v>
      </c>
      <c r="S32" s="288">
        <f>'NoPlay-Cap Table'!S32</f>
        <v>0</v>
      </c>
      <c r="T32" s="272">
        <f>'NoPlay-Cap Table'!T32</f>
        <v>0</v>
      </c>
      <c r="U32" s="272">
        <f>'NoPlay-Cap Table'!U32</f>
        <v>0</v>
      </c>
      <c r="V32" s="288" t="e">
        <f>'NoPlay-Cap Table'!V32</f>
        <v>#DIV/0!</v>
      </c>
      <c r="W32" s="288" t="e">
        <f>'NoPlay-Cap Table'!W32</f>
        <v>#DIV/0!</v>
      </c>
      <c r="X32" s="238">
        <f>'NoPlay-Cap Table'!X32</f>
        <v>0</v>
      </c>
      <c r="Y32" s="239"/>
      <c r="Z32" s="272">
        <f t="shared" si="2"/>
        <v>0</v>
      </c>
      <c r="AA32" s="288">
        <f>'NoPlay-Cap Table'!AA32</f>
        <v>0</v>
      </c>
      <c r="AB32" s="272">
        <f>'NoPlay-Cap Table'!AB32</f>
        <v>0</v>
      </c>
      <c r="AC32" s="272">
        <f>'NoPlay-Cap Table'!AC32</f>
        <v>0</v>
      </c>
      <c r="AD32" s="288" t="e">
        <f>'NoPlay-Cap Table'!AD32</f>
        <v>#DIV/0!</v>
      </c>
      <c r="AE32" s="288" t="e">
        <f>'NoPlay-Cap Table'!AE32</f>
        <v>#DIV/0!</v>
      </c>
      <c r="AF32" s="238">
        <f>'NoPlay-Cap Table'!AF32</f>
        <v>0</v>
      </c>
      <c r="AG32" s="239"/>
      <c r="AH32" s="272">
        <f t="shared" si="3"/>
        <v>0</v>
      </c>
      <c r="AI32" s="288">
        <f>'NoPlay-Cap Table'!AI32</f>
        <v>0</v>
      </c>
      <c r="AJ32" s="272">
        <f>'NoPlay-Cap Table'!AJ32</f>
        <v>0</v>
      </c>
      <c r="AK32" s="272">
        <f>'NoPlay-Cap Table'!AK32</f>
        <v>0</v>
      </c>
      <c r="AL32" s="288" t="e">
        <f>'NoPlay-Cap Table'!AL32</f>
        <v>#DIV/0!</v>
      </c>
      <c r="AM32" s="288" t="e">
        <f>'NoPlay-Cap Table'!AM32</f>
        <v>#DIV/0!</v>
      </c>
      <c r="AN32" s="238">
        <f>'NoPlay-Cap Table'!AN32</f>
        <v>0</v>
      </c>
      <c r="AO32" s="239"/>
      <c r="AP32" s="272">
        <f t="shared" si="4"/>
        <v>0</v>
      </c>
      <c r="AQ32" s="288">
        <f>'NoPlay-Cap Table'!AQ32</f>
        <v>0</v>
      </c>
      <c r="AR32" s="272">
        <f>'NoPlay-Cap Table'!AR32</f>
        <v>0</v>
      </c>
      <c r="AS32" s="272">
        <f>'NoPlay-Cap Table'!AS32</f>
        <v>0</v>
      </c>
      <c r="AT32" s="288" t="e">
        <f>'NoPlay-Cap Table'!AT32</f>
        <v>#DIV/0!</v>
      </c>
      <c r="AU32" s="288" t="e">
        <f>'NoPlay-Cap Table'!AU32</f>
        <v>#DIV/0!</v>
      </c>
      <c r="AV32" s="238">
        <f>'NoPlay-Cap Table'!AV32</f>
        <v>0</v>
      </c>
      <c r="AW32" s="239"/>
      <c r="AX32" s="272">
        <f t="shared" si="5"/>
        <v>0</v>
      </c>
      <c r="AY32" s="288">
        <f>'NoPlay-Cap Table'!AY32</f>
        <v>0</v>
      </c>
      <c r="AZ32" s="272">
        <f>'NoPlay-Cap Table'!AZ32</f>
        <v>0</v>
      </c>
      <c r="BA32" s="272">
        <f>'NoPlay-Cap Table'!BA32</f>
        <v>0</v>
      </c>
      <c r="BB32" s="288" t="e">
        <f>'NoPlay-Cap Table'!BB32</f>
        <v>#DIV/0!</v>
      </c>
      <c r="BC32" s="288" t="e">
        <f>'NoPlay-Cap Table'!BC32</f>
        <v>#DIV/0!</v>
      </c>
      <c r="BD32" s="238">
        <f>'NoPlay-Cap Table'!BD32</f>
        <v>0</v>
      </c>
      <c r="BE32" s="239"/>
      <c r="BF32" s="272">
        <f t="shared" si="6"/>
        <v>0</v>
      </c>
      <c r="BG32" s="288">
        <f>'NoPlay-Cap Table'!BG32</f>
        <v>0</v>
      </c>
      <c r="BH32" s="272">
        <f>'NoPlay-Cap Table'!BH32</f>
        <v>0</v>
      </c>
      <c r="BI32" s="272">
        <f>'NoPlay-Cap Table'!BI32</f>
        <v>0</v>
      </c>
      <c r="BJ32" s="288" t="e">
        <f>'NoPlay-Cap Table'!BJ32</f>
        <v>#DIV/0!</v>
      </c>
      <c r="BK32" s="288" t="e">
        <f>'NoPlay-Cap Table'!BK32</f>
        <v>#DIV/0!</v>
      </c>
      <c r="BL32" s="238">
        <f>'NoPlay-Cap Table'!BL32</f>
        <v>0</v>
      </c>
      <c r="BM32" s="239"/>
      <c r="BN32" s="272">
        <f t="shared" si="7"/>
        <v>0</v>
      </c>
      <c r="BO32" s="288">
        <f>'NoPlay-Cap Table'!BO32</f>
        <v>0</v>
      </c>
      <c r="BP32" s="272">
        <f>'NoPlay-Cap Table'!BP32</f>
        <v>0</v>
      </c>
      <c r="BQ32" s="272">
        <f>'NoPlay-Cap Table'!BQ32</f>
        <v>0</v>
      </c>
      <c r="BR32" s="288" t="e">
        <f>'NoPlay-Cap Table'!BR32</f>
        <v>#DIV/0!</v>
      </c>
      <c r="BS32" s="288" t="e">
        <f>'NoPlay-Cap Table'!BS32</f>
        <v>#DIV/0!</v>
      </c>
      <c r="BT32" s="238">
        <f>'NoPlay-Cap Table'!BT32</f>
        <v>0</v>
      </c>
      <c r="BU32" s="239"/>
      <c r="BV32" s="272">
        <f t="shared" si="8"/>
        <v>0</v>
      </c>
      <c r="BW32" s="288">
        <f>'Cap Table'!BW47</f>
        <v>0</v>
      </c>
      <c r="BX32" s="272">
        <f>'Cap Table'!BX47</f>
        <v>0</v>
      </c>
      <c r="BY32" s="272">
        <f>'Cap Table'!BY47</f>
        <v>0</v>
      </c>
      <c r="BZ32" s="288" t="e">
        <f>'Cap Table'!BZ47</f>
        <v>#DIV/0!</v>
      </c>
      <c r="CA32" s="288" t="e">
        <f>'Cap Table'!CA47</f>
        <v>#DIV/0!</v>
      </c>
      <c r="CB32" s="180">
        <f>'Cap Table'!CB47</f>
        <v>0</v>
      </c>
      <c r="CC32" s="272" t="e">
        <f t="shared" si="9"/>
        <v>#DIV/0!</v>
      </c>
      <c r="CD32" s="180"/>
      <c r="CE32" s="180"/>
    </row>
    <row r="33" spans="1:83" ht="15.75" customHeight="1" x14ac:dyDescent="0.35">
      <c r="A33" s="180"/>
      <c r="B33" s="180"/>
      <c r="D33" s="241" t="str">
        <f>'NoPlay-Cap Table'!D33</f>
        <v>Others 1</v>
      </c>
      <c r="E33" s="239">
        <f>'NoPlay-Cap Table'!E33</f>
        <v>0</v>
      </c>
      <c r="F33" s="239">
        <f>'NoPlay-Cap Table'!F33</f>
        <v>0</v>
      </c>
      <c r="G33" s="239">
        <f>'NoPlay-Cap Table'!G33</f>
        <v>0</v>
      </c>
      <c r="H33" s="238">
        <f>'NoPlay-Cap Table'!H33</f>
        <v>0</v>
      </c>
      <c r="I33" s="239"/>
      <c r="J33" s="272" t="e">
        <f t="shared" si="0"/>
        <v>#DIV/0!</v>
      </c>
      <c r="K33" s="288">
        <f>'NoPlay-Cap Table'!K33</f>
        <v>0</v>
      </c>
      <c r="L33" s="272">
        <f>'NoPlay-Cap Table'!L33</f>
        <v>0</v>
      </c>
      <c r="M33" s="272">
        <f>'NoPlay-Cap Table'!M33</f>
        <v>0</v>
      </c>
      <c r="N33" s="288" t="e">
        <f>'NoPlay-Cap Table'!N33</f>
        <v>#DIV/0!</v>
      </c>
      <c r="O33" s="288" t="e">
        <f>'NoPlay-Cap Table'!O33</f>
        <v>#DIV/0!</v>
      </c>
      <c r="P33" s="238">
        <f>'NoPlay-Cap Table'!P33</f>
        <v>0</v>
      </c>
      <c r="Q33" s="239"/>
      <c r="R33" s="272">
        <f t="shared" si="1"/>
        <v>0</v>
      </c>
      <c r="S33" s="288">
        <f>'NoPlay-Cap Table'!S33</f>
        <v>0</v>
      </c>
      <c r="T33" s="272">
        <f>'NoPlay-Cap Table'!T33</f>
        <v>0</v>
      </c>
      <c r="U33" s="272">
        <f>'NoPlay-Cap Table'!U33</f>
        <v>0</v>
      </c>
      <c r="V33" s="288" t="e">
        <f>'NoPlay-Cap Table'!V33</f>
        <v>#DIV/0!</v>
      </c>
      <c r="W33" s="288" t="e">
        <f>'NoPlay-Cap Table'!W33</f>
        <v>#DIV/0!</v>
      </c>
      <c r="X33" s="238">
        <f>'NoPlay-Cap Table'!X33</f>
        <v>0</v>
      </c>
      <c r="Y33" s="239"/>
      <c r="Z33" s="272">
        <f t="shared" si="2"/>
        <v>0</v>
      </c>
      <c r="AA33" s="288">
        <f>'NoPlay-Cap Table'!AA33</f>
        <v>0</v>
      </c>
      <c r="AB33" s="272">
        <f>'NoPlay-Cap Table'!AB33</f>
        <v>0</v>
      </c>
      <c r="AC33" s="272">
        <f>'NoPlay-Cap Table'!AC33</f>
        <v>0</v>
      </c>
      <c r="AD33" s="288" t="e">
        <f>'NoPlay-Cap Table'!AD33</f>
        <v>#DIV/0!</v>
      </c>
      <c r="AE33" s="288" t="e">
        <f>'NoPlay-Cap Table'!AE33</f>
        <v>#DIV/0!</v>
      </c>
      <c r="AF33" s="238">
        <f>'NoPlay-Cap Table'!AF33</f>
        <v>0</v>
      </c>
      <c r="AG33" s="239"/>
      <c r="AH33" s="272">
        <f t="shared" si="3"/>
        <v>0</v>
      </c>
      <c r="AI33" s="288">
        <f>'NoPlay-Cap Table'!AI33</f>
        <v>0</v>
      </c>
      <c r="AJ33" s="272">
        <f>'NoPlay-Cap Table'!AJ33</f>
        <v>0</v>
      </c>
      <c r="AK33" s="272">
        <f>'NoPlay-Cap Table'!AK33</f>
        <v>0</v>
      </c>
      <c r="AL33" s="288" t="e">
        <f>'NoPlay-Cap Table'!AL33</f>
        <v>#DIV/0!</v>
      </c>
      <c r="AM33" s="288" t="e">
        <f>'NoPlay-Cap Table'!AM33</f>
        <v>#DIV/0!</v>
      </c>
      <c r="AN33" s="238">
        <f>'NoPlay-Cap Table'!AN33</f>
        <v>0</v>
      </c>
      <c r="AO33" s="239"/>
      <c r="AP33" s="272">
        <f t="shared" si="4"/>
        <v>0</v>
      </c>
      <c r="AQ33" s="288">
        <f>'NoPlay-Cap Table'!AQ33</f>
        <v>0</v>
      </c>
      <c r="AR33" s="272">
        <f>'NoPlay-Cap Table'!AR33</f>
        <v>0</v>
      </c>
      <c r="AS33" s="272">
        <f>'NoPlay-Cap Table'!AS33</f>
        <v>0</v>
      </c>
      <c r="AT33" s="288" t="e">
        <f>'NoPlay-Cap Table'!AT33</f>
        <v>#DIV/0!</v>
      </c>
      <c r="AU33" s="288" t="e">
        <f>'NoPlay-Cap Table'!AU33</f>
        <v>#DIV/0!</v>
      </c>
      <c r="AV33" s="238">
        <f>'NoPlay-Cap Table'!AV33</f>
        <v>0</v>
      </c>
      <c r="AW33" s="239"/>
      <c r="AX33" s="272">
        <f t="shared" si="5"/>
        <v>0</v>
      </c>
      <c r="AY33" s="288">
        <f>'NoPlay-Cap Table'!AY33</f>
        <v>0</v>
      </c>
      <c r="AZ33" s="272">
        <f>'NoPlay-Cap Table'!AZ33</f>
        <v>0</v>
      </c>
      <c r="BA33" s="272">
        <f>'NoPlay-Cap Table'!BA33</f>
        <v>0</v>
      </c>
      <c r="BB33" s="288" t="e">
        <f>'NoPlay-Cap Table'!BB33</f>
        <v>#DIV/0!</v>
      </c>
      <c r="BC33" s="288" t="e">
        <f>'NoPlay-Cap Table'!BC33</f>
        <v>#DIV/0!</v>
      </c>
      <c r="BD33" s="238">
        <f>'NoPlay-Cap Table'!BD33</f>
        <v>0</v>
      </c>
      <c r="BE33" s="239"/>
      <c r="BF33" s="272">
        <f t="shared" si="6"/>
        <v>0</v>
      </c>
      <c r="BG33" s="288">
        <f>'NoPlay-Cap Table'!BG33</f>
        <v>0</v>
      </c>
      <c r="BH33" s="272">
        <f>'NoPlay-Cap Table'!BH33</f>
        <v>0</v>
      </c>
      <c r="BI33" s="272">
        <f>'NoPlay-Cap Table'!BI33</f>
        <v>0</v>
      </c>
      <c r="BJ33" s="288" t="e">
        <f>'NoPlay-Cap Table'!BJ33</f>
        <v>#DIV/0!</v>
      </c>
      <c r="BK33" s="288" t="e">
        <f>'NoPlay-Cap Table'!BK33</f>
        <v>#DIV/0!</v>
      </c>
      <c r="BL33" s="238">
        <f>'NoPlay-Cap Table'!BL33</f>
        <v>0</v>
      </c>
      <c r="BM33" s="239"/>
      <c r="BN33" s="272">
        <f t="shared" si="7"/>
        <v>0</v>
      </c>
      <c r="BO33" s="288">
        <f>'NoPlay-Cap Table'!BO33</f>
        <v>0</v>
      </c>
      <c r="BP33" s="272">
        <f>'NoPlay-Cap Table'!BP33</f>
        <v>0</v>
      </c>
      <c r="BQ33" s="272">
        <f>'NoPlay-Cap Table'!BQ33</f>
        <v>0</v>
      </c>
      <c r="BR33" s="288" t="e">
        <f>'NoPlay-Cap Table'!BR33</f>
        <v>#DIV/0!</v>
      </c>
      <c r="BS33" s="288" t="e">
        <f>'NoPlay-Cap Table'!BS33</f>
        <v>#DIV/0!</v>
      </c>
      <c r="BT33" s="238">
        <f>'NoPlay-Cap Table'!BT33</f>
        <v>0</v>
      </c>
      <c r="BU33" s="239"/>
      <c r="BV33" s="272">
        <f t="shared" si="8"/>
        <v>0</v>
      </c>
      <c r="BW33" s="288">
        <f>'Cap Table'!BW48</f>
        <v>0</v>
      </c>
      <c r="BX33" s="272">
        <f>'Cap Table'!BX48</f>
        <v>0</v>
      </c>
      <c r="BY33" s="272">
        <f>'Cap Table'!BY48</f>
        <v>0</v>
      </c>
      <c r="BZ33" s="288" t="e">
        <f>'Cap Table'!BZ48</f>
        <v>#DIV/0!</v>
      </c>
      <c r="CA33" s="288" t="e">
        <f>'Cap Table'!CA48</f>
        <v>#DIV/0!</v>
      </c>
      <c r="CB33" s="180">
        <f>'Cap Table'!CB48</f>
        <v>0</v>
      </c>
      <c r="CC33" s="272" t="e">
        <f t="shared" si="9"/>
        <v>#DIV/0!</v>
      </c>
      <c r="CD33" s="180"/>
      <c r="CE33" s="180"/>
    </row>
    <row r="34" spans="1:83" ht="15.75" customHeight="1" x14ac:dyDescent="0.35">
      <c r="A34" s="180"/>
      <c r="B34" s="180"/>
      <c r="D34" s="241">
        <f>'NoPlay-Cap Table'!D34</f>
        <v>0</v>
      </c>
      <c r="E34" s="239">
        <f>'NoPlay-Cap Table'!E34</f>
        <v>0</v>
      </c>
      <c r="F34" s="239">
        <f>'NoPlay-Cap Table'!F34</f>
        <v>0</v>
      </c>
      <c r="G34" s="239">
        <f>'NoPlay-Cap Table'!G34</f>
        <v>0</v>
      </c>
      <c r="H34" s="238">
        <f>'NoPlay-Cap Table'!H34</f>
        <v>0</v>
      </c>
      <c r="I34" s="239"/>
      <c r="J34" s="272" t="e">
        <f t="shared" si="0"/>
        <v>#DIV/0!</v>
      </c>
      <c r="K34" s="288">
        <f>'NoPlay-Cap Table'!K34</f>
        <v>0</v>
      </c>
      <c r="L34" s="272">
        <f>'NoPlay-Cap Table'!L34</f>
        <v>0</v>
      </c>
      <c r="M34" s="272">
        <f>'NoPlay-Cap Table'!M34</f>
        <v>0</v>
      </c>
      <c r="N34" s="288" t="e">
        <f>'NoPlay-Cap Table'!N34</f>
        <v>#DIV/0!</v>
      </c>
      <c r="O34" s="288" t="e">
        <f>'NoPlay-Cap Table'!O34</f>
        <v>#DIV/0!</v>
      </c>
      <c r="P34" s="238">
        <f>'NoPlay-Cap Table'!P34</f>
        <v>0</v>
      </c>
      <c r="Q34" s="239"/>
      <c r="R34" s="272">
        <f t="shared" si="1"/>
        <v>0</v>
      </c>
      <c r="S34" s="288">
        <f>'NoPlay-Cap Table'!S34</f>
        <v>0</v>
      </c>
      <c r="T34" s="272">
        <f>'NoPlay-Cap Table'!T34</f>
        <v>0</v>
      </c>
      <c r="U34" s="272">
        <f>'NoPlay-Cap Table'!U34</f>
        <v>0</v>
      </c>
      <c r="V34" s="288" t="e">
        <f>'NoPlay-Cap Table'!V34</f>
        <v>#DIV/0!</v>
      </c>
      <c r="W34" s="288" t="e">
        <f>'NoPlay-Cap Table'!W34</f>
        <v>#DIV/0!</v>
      </c>
      <c r="X34" s="238">
        <f>'NoPlay-Cap Table'!X34</f>
        <v>0</v>
      </c>
      <c r="Y34" s="239"/>
      <c r="Z34" s="272">
        <f t="shared" si="2"/>
        <v>0</v>
      </c>
      <c r="AA34" s="288">
        <f>'NoPlay-Cap Table'!AA34</f>
        <v>0</v>
      </c>
      <c r="AB34" s="272">
        <f>'NoPlay-Cap Table'!AB34</f>
        <v>0</v>
      </c>
      <c r="AC34" s="272">
        <f>'NoPlay-Cap Table'!AC34</f>
        <v>0</v>
      </c>
      <c r="AD34" s="288" t="e">
        <f>'NoPlay-Cap Table'!AD34</f>
        <v>#DIV/0!</v>
      </c>
      <c r="AE34" s="288" t="e">
        <f>'NoPlay-Cap Table'!AE34</f>
        <v>#DIV/0!</v>
      </c>
      <c r="AF34" s="238">
        <f>'NoPlay-Cap Table'!AF34</f>
        <v>0</v>
      </c>
      <c r="AG34" s="239"/>
      <c r="AH34" s="272">
        <f t="shared" si="3"/>
        <v>0</v>
      </c>
      <c r="AI34" s="288">
        <f>'NoPlay-Cap Table'!AI34</f>
        <v>0</v>
      </c>
      <c r="AJ34" s="272">
        <f>'NoPlay-Cap Table'!AJ34</f>
        <v>0</v>
      </c>
      <c r="AK34" s="272">
        <f>'NoPlay-Cap Table'!AK34</f>
        <v>0</v>
      </c>
      <c r="AL34" s="288" t="e">
        <f>'NoPlay-Cap Table'!AL34</f>
        <v>#DIV/0!</v>
      </c>
      <c r="AM34" s="288" t="e">
        <f>'NoPlay-Cap Table'!AM34</f>
        <v>#DIV/0!</v>
      </c>
      <c r="AN34" s="238">
        <f>'NoPlay-Cap Table'!AN34</f>
        <v>0</v>
      </c>
      <c r="AO34" s="239"/>
      <c r="AP34" s="272">
        <f t="shared" si="4"/>
        <v>0</v>
      </c>
      <c r="AQ34" s="288">
        <f>'NoPlay-Cap Table'!AQ34</f>
        <v>0</v>
      </c>
      <c r="AR34" s="272">
        <f>'NoPlay-Cap Table'!AR34</f>
        <v>0</v>
      </c>
      <c r="AS34" s="272">
        <f>'NoPlay-Cap Table'!AS34</f>
        <v>0</v>
      </c>
      <c r="AT34" s="288" t="e">
        <f>'NoPlay-Cap Table'!AT34</f>
        <v>#DIV/0!</v>
      </c>
      <c r="AU34" s="288" t="e">
        <f>'NoPlay-Cap Table'!AU34</f>
        <v>#DIV/0!</v>
      </c>
      <c r="AV34" s="238">
        <f>'NoPlay-Cap Table'!AV34</f>
        <v>0</v>
      </c>
      <c r="AW34" s="239"/>
      <c r="AX34" s="272">
        <f t="shared" si="5"/>
        <v>0</v>
      </c>
      <c r="AY34" s="288">
        <f>'NoPlay-Cap Table'!AY34</f>
        <v>0</v>
      </c>
      <c r="AZ34" s="272">
        <f>'NoPlay-Cap Table'!AZ34</f>
        <v>0</v>
      </c>
      <c r="BA34" s="272">
        <f>'NoPlay-Cap Table'!BA34</f>
        <v>0</v>
      </c>
      <c r="BB34" s="288" t="e">
        <f>'NoPlay-Cap Table'!BB34</f>
        <v>#DIV/0!</v>
      </c>
      <c r="BC34" s="288" t="e">
        <f>'NoPlay-Cap Table'!BC34</f>
        <v>#DIV/0!</v>
      </c>
      <c r="BD34" s="238">
        <f>'NoPlay-Cap Table'!BD34</f>
        <v>0</v>
      </c>
      <c r="BE34" s="239"/>
      <c r="BF34" s="272">
        <f t="shared" si="6"/>
        <v>0</v>
      </c>
      <c r="BG34" s="288">
        <f>'NoPlay-Cap Table'!BG34</f>
        <v>0</v>
      </c>
      <c r="BH34" s="272">
        <f>'NoPlay-Cap Table'!BH34</f>
        <v>0</v>
      </c>
      <c r="BI34" s="272">
        <f>'NoPlay-Cap Table'!BI34</f>
        <v>0</v>
      </c>
      <c r="BJ34" s="288" t="e">
        <f>'NoPlay-Cap Table'!BJ34</f>
        <v>#DIV/0!</v>
      </c>
      <c r="BK34" s="288" t="e">
        <f>'NoPlay-Cap Table'!BK34</f>
        <v>#DIV/0!</v>
      </c>
      <c r="BL34" s="238">
        <f>'NoPlay-Cap Table'!BL34</f>
        <v>0</v>
      </c>
      <c r="BM34" s="239"/>
      <c r="BN34" s="272">
        <f t="shared" si="7"/>
        <v>0</v>
      </c>
      <c r="BO34" s="288">
        <f>'NoPlay-Cap Table'!BO34</f>
        <v>0</v>
      </c>
      <c r="BP34" s="272">
        <f>'NoPlay-Cap Table'!BP34</f>
        <v>0</v>
      </c>
      <c r="BQ34" s="272">
        <f>'NoPlay-Cap Table'!BQ34</f>
        <v>0</v>
      </c>
      <c r="BR34" s="288" t="e">
        <f>'NoPlay-Cap Table'!BR34</f>
        <v>#DIV/0!</v>
      </c>
      <c r="BS34" s="288" t="e">
        <f>'NoPlay-Cap Table'!BS34</f>
        <v>#DIV/0!</v>
      </c>
      <c r="BT34" s="238">
        <f>'NoPlay-Cap Table'!BT34</f>
        <v>0</v>
      </c>
      <c r="BU34" s="239"/>
      <c r="BV34" s="272">
        <f t="shared" si="8"/>
        <v>0</v>
      </c>
      <c r="BW34" s="288">
        <f>'Cap Table'!BW49</f>
        <v>0</v>
      </c>
      <c r="BX34" s="272">
        <f>'Cap Table'!BX49</f>
        <v>0</v>
      </c>
      <c r="BY34" s="272">
        <f>'Cap Table'!BY49</f>
        <v>0</v>
      </c>
      <c r="BZ34" s="288" t="e">
        <f>'Cap Table'!BZ49</f>
        <v>#DIV/0!</v>
      </c>
      <c r="CA34" s="288" t="e">
        <f>'Cap Table'!CA49</f>
        <v>#DIV/0!</v>
      </c>
      <c r="CB34" s="180">
        <f>'Cap Table'!CB49</f>
        <v>0</v>
      </c>
      <c r="CC34" s="272" t="e">
        <f t="shared" si="9"/>
        <v>#DIV/0!</v>
      </c>
      <c r="CD34" s="180"/>
      <c r="CE34" s="180"/>
    </row>
    <row r="35" spans="1:83" s="181" customFormat="1" ht="7.5" customHeight="1" x14ac:dyDescent="0.35">
      <c r="A35" s="180"/>
      <c r="B35" s="180"/>
      <c r="C35" s="179"/>
      <c r="D35" s="180">
        <f>'NoPlay-Cap Table'!D35</f>
        <v>0</v>
      </c>
      <c r="E35" s="180">
        <f>'NoPlay-Cap Table'!E35</f>
        <v>0</v>
      </c>
      <c r="F35" s="180">
        <f>'NoPlay-Cap Table'!F35</f>
        <v>0</v>
      </c>
      <c r="G35" s="235">
        <f>'NoPlay-Cap Table'!G35</f>
        <v>0</v>
      </c>
      <c r="H35" s="180">
        <f>'NoPlay-Cap Table'!H35</f>
        <v>0</v>
      </c>
      <c r="I35" s="180">
        <f>'NoPlay-Cap Table'!I35</f>
        <v>0</v>
      </c>
      <c r="J35" s="181">
        <f>'NoPlay-Cap Table'!J35</f>
        <v>0</v>
      </c>
      <c r="K35" s="180">
        <f>'NoPlay-Cap Table'!K35</f>
        <v>0</v>
      </c>
      <c r="L35" s="180">
        <f>'NoPlay-Cap Table'!L35</f>
        <v>0</v>
      </c>
      <c r="M35" s="181">
        <f>'NoPlay-Cap Table'!M35</f>
        <v>0</v>
      </c>
      <c r="N35" s="180">
        <f>'NoPlay-Cap Table'!N35</f>
        <v>0</v>
      </c>
      <c r="O35" s="235">
        <f>'NoPlay-Cap Table'!O35</f>
        <v>0</v>
      </c>
      <c r="P35" s="180">
        <f>'NoPlay-Cap Table'!P35</f>
        <v>0</v>
      </c>
      <c r="Q35" s="180">
        <f>'NoPlay-Cap Table'!Q35</f>
        <v>0</v>
      </c>
      <c r="R35" s="181">
        <f>'NoPlay-Cap Table'!R35</f>
        <v>0</v>
      </c>
      <c r="S35" s="180">
        <f>'NoPlay-Cap Table'!S35</f>
        <v>0</v>
      </c>
      <c r="T35" s="180">
        <f>'NoPlay-Cap Table'!T35</f>
        <v>0</v>
      </c>
      <c r="U35" s="181">
        <f>'NoPlay-Cap Table'!U35</f>
        <v>0</v>
      </c>
      <c r="V35" s="180">
        <f>'NoPlay-Cap Table'!V35</f>
        <v>0</v>
      </c>
      <c r="W35" s="235">
        <f>'NoPlay-Cap Table'!W35</f>
        <v>0</v>
      </c>
      <c r="X35" s="180">
        <f>'NoPlay-Cap Table'!X35</f>
        <v>0</v>
      </c>
      <c r="Y35" s="180">
        <f>'NoPlay-Cap Table'!Y35</f>
        <v>0</v>
      </c>
      <c r="Z35" s="181">
        <f>'NoPlay-Cap Table'!Z35</f>
        <v>0</v>
      </c>
      <c r="AA35" s="180">
        <f>'NoPlay-Cap Table'!AA35</f>
        <v>0</v>
      </c>
      <c r="AB35" s="180">
        <f>'NoPlay-Cap Table'!AB35</f>
        <v>0</v>
      </c>
      <c r="AC35" s="181">
        <f>'NoPlay-Cap Table'!AC35</f>
        <v>0</v>
      </c>
      <c r="AD35" s="180">
        <f>'NoPlay-Cap Table'!AD35</f>
        <v>0</v>
      </c>
      <c r="AE35" s="235">
        <f>'NoPlay-Cap Table'!AE35</f>
        <v>0</v>
      </c>
      <c r="AF35" s="180">
        <f>'NoPlay-Cap Table'!AF35</f>
        <v>0</v>
      </c>
      <c r="AG35" s="180">
        <f>'NoPlay-Cap Table'!AG35</f>
        <v>0</v>
      </c>
      <c r="AH35" s="181">
        <f>'NoPlay-Cap Table'!AH35</f>
        <v>0</v>
      </c>
      <c r="AI35" s="180">
        <f>'NoPlay-Cap Table'!AI35</f>
        <v>0</v>
      </c>
      <c r="AJ35" s="180">
        <f>'NoPlay-Cap Table'!AJ35</f>
        <v>0</v>
      </c>
      <c r="AK35" s="181">
        <f>'NoPlay-Cap Table'!AK35</f>
        <v>0</v>
      </c>
      <c r="AL35" s="180">
        <f>'NoPlay-Cap Table'!AL35</f>
        <v>0</v>
      </c>
      <c r="AM35" s="235">
        <f>'NoPlay-Cap Table'!AM35</f>
        <v>0</v>
      </c>
      <c r="AN35" s="180">
        <f>'NoPlay-Cap Table'!AN35</f>
        <v>0</v>
      </c>
      <c r="AO35" s="180">
        <f>'NoPlay-Cap Table'!AO35</f>
        <v>0</v>
      </c>
      <c r="AP35" s="181">
        <f>'NoPlay-Cap Table'!AP35</f>
        <v>0</v>
      </c>
      <c r="AQ35" s="180">
        <f>'NoPlay-Cap Table'!AQ35</f>
        <v>0</v>
      </c>
      <c r="AR35" s="180">
        <f>'NoPlay-Cap Table'!AR35</f>
        <v>0</v>
      </c>
      <c r="AS35" s="181">
        <f>'NoPlay-Cap Table'!AS35</f>
        <v>0</v>
      </c>
      <c r="AT35" s="180">
        <f>'NoPlay-Cap Table'!AT35</f>
        <v>0</v>
      </c>
      <c r="AU35" s="235">
        <f>'NoPlay-Cap Table'!AU35</f>
        <v>0</v>
      </c>
      <c r="AV35" s="180">
        <f>'NoPlay-Cap Table'!AV35</f>
        <v>0</v>
      </c>
      <c r="AW35" s="180">
        <f>'NoPlay-Cap Table'!AW35</f>
        <v>0</v>
      </c>
      <c r="AX35" s="181">
        <f>'NoPlay-Cap Table'!AX35</f>
        <v>0</v>
      </c>
      <c r="AY35" s="180">
        <f>'NoPlay-Cap Table'!AY35</f>
        <v>0</v>
      </c>
      <c r="AZ35" s="180">
        <f>'NoPlay-Cap Table'!AZ35</f>
        <v>0</v>
      </c>
      <c r="BA35" s="181">
        <f>'NoPlay-Cap Table'!BA35</f>
        <v>0</v>
      </c>
      <c r="BB35" s="180">
        <f>'NoPlay-Cap Table'!BB35</f>
        <v>0</v>
      </c>
      <c r="BC35" s="235">
        <f>'NoPlay-Cap Table'!BC35</f>
        <v>0</v>
      </c>
      <c r="BD35" s="180">
        <f>'NoPlay-Cap Table'!BD35</f>
        <v>0</v>
      </c>
      <c r="BE35" s="180">
        <f>'NoPlay-Cap Table'!BE35</f>
        <v>0</v>
      </c>
      <c r="BF35" s="181">
        <f>'NoPlay-Cap Table'!BF35</f>
        <v>0</v>
      </c>
      <c r="BG35" s="180">
        <f>'NoPlay-Cap Table'!BG35</f>
        <v>0</v>
      </c>
      <c r="BH35" s="180">
        <f>'NoPlay-Cap Table'!BH35</f>
        <v>0</v>
      </c>
      <c r="BI35" s="181">
        <f>'NoPlay-Cap Table'!BI35</f>
        <v>0</v>
      </c>
      <c r="BJ35" s="180">
        <f>'NoPlay-Cap Table'!BJ35</f>
        <v>0</v>
      </c>
      <c r="BK35" s="235">
        <f>'NoPlay-Cap Table'!BK35</f>
        <v>0</v>
      </c>
      <c r="BL35" s="180">
        <f>'NoPlay-Cap Table'!BL35</f>
        <v>0</v>
      </c>
      <c r="BM35" s="180">
        <f>'NoPlay-Cap Table'!BM35</f>
        <v>0</v>
      </c>
      <c r="BN35" s="181">
        <f>'NoPlay-Cap Table'!BN35</f>
        <v>0</v>
      </c>
      <c r="BO35" s="180">
        <f>'NoPlay-Cap Table'!BO35</f>
        <v>0</v>
      </c>
      <c r="BP35" s="180">
        <f>'NoPlay-Cap Table'!BP35</f>
        <v>0</v>
      </c>
      <c r="BQ35" s="181">
        <f>'NoPlay-Cap Table'!BQ35</f>
        <v>0</v>
      </c>
      <c r="BR35" s="180">
        <f>'NoPlay-Cap Table'!BR35</f>
        <v>0</v>
      </c>
      <c r="BS35" s="235">
        <f>'NoPlay-Cap Table'!BS35</f>
        <v>0</v>
      </c>
      <c r="BT35" s="180">
        <f>'NoPlay-Cap Table'!BT35</f>
        <v>0</v>
      </c>
      <c r="BU35" s="180">
        <f>'NoPlay-Cap Table'!BU35</f>
        <v>0</v>
      </c>
      <c r="BV35" s="181">
        <f>'NoPlay-Cap Table'!BV35</f>
        <v>0</v>
      </c>
      <c r="BW35" s="180">
        <f>'NoPlay-Cap Table'!BW35</f>
        <v>0</v>
      </c>
      <c r="BX35" s="180">
        <f>'NoPlay-Cap Table'!BX35</f>
        <v>0</v>
      </c>
      <c r="BY35" s="181">
        <f>'NoPlay-Cap Table'!BY35</f>
        <v>0</v>
      </c>
      <c r="BZ35" s="180">
        <f>'NoPlay-Cap Table'!BZ35</f>
        <v>0</v>
      </c>
      <c r="CA35" s="235">
        <f>'NoPlay-Cap Table'!CA35</f>
        <v>0</v>
      </c>
      <c r="CB35" s="180">
        <f>'NoPlay-Cap Table'!CB35</f>
        <v>0</v>
      </c>
      <c r="CC35" s="181">
        <f>'NoPlay-Cap Table'!CC35</f>
        <v>0</v>
      </c>
      <c r="CD35" s="180"/>
      <c r="CE35" s="180"/>
    </row>
    <row r="36" spans="1:83" ht="15.75" customHeight="1" x14ac:dyDescent="0.35">
      <c r="A36" s="180"/>
      <c r="B36" s="180"/>
      <c r="D36" s="236" t="str">
        <f>'NoPlay-Cap Table'!D36</f>
        <v>ESOP - allocated</v>
      </c>
      <c r="E36" s="243">
        <f>'NoPlay-Cap Table'!E36</f>
        <v>0</v>
      </c>
      <c r="F36" s="244">
        <f>'NoPlay-Cap Table'!F36</f>
        <v>0</v>
      </c>
      <c r="G36" s="245">
        <f>'NoPlay-Cap Table'!G36</f>
        <v>0</v>
      </c>
      <c r="H36" s="243">
        <f>'NoPlay-Cap Table'!H36</f>
        <v>0</v>
      </c>
      <c r="I36" s="246">
        <f>'NoPlay-Cap Table'!I36</f>
        <v>0</v>
      </c>
      <c r="J36" s="327">
        <f>'NoPlay-Cap Table'!J36</f>
        <v>0</v>
      </c>
      <c r="K36" s="327">
        <f>'NoPlay-Cap Table'!K36</f>
        <v>0</v>
      </c>
      <c r="L36" s="224">
        <f>'NoPlay-Cap Table'!L36</f>
        <v>0</v>
      </c>
      <c r="M36" s="293">
        <f>'NoPlay-Cap Table'!M36</f>
        <v>0</v>
      </c>
      <c r="N36" s="328">
        <f>'NoPlay-Cap Table'!N36</f>
        <v>0</v>
      </c>
      <c r="O36" s="295" t="e">
        <f>'NoPlay-Cap Table'!O36</f>
        <v>#DIV/0!</v>
      </c>
      <c r="P36" s="243">
        <f>'NoPlay-Cap Table'!P36</f>
        <v>0</v>
      </c>
      <c r="Q36" s="246">
        <f>'NoPlay-Cap Table'!Q36</f>
        <v>0</v>
      </c>
      <c r="R36" s="327">
        <f>'NoPlay-Cap Table'!R36</f>
        <v>0</v>
      </c>
      <c r="S36" s="327">
        <f>'NoPlay-Cap Table'!S36</f>
        <v>0</v>
      </c>
      <c r="T36" s="224">
        <f>'NoPlay-Cap Table'!T36</f>
        <v>0</v>
      </c>
      <c r="U36" s="293">
        <f>'NoPlay-Cap Table'!U36</f>
        <v>0</v>
      </c>
      <c r="V36" s="328">
        <f>'NoPlay-Cap Table'!V36</f>
        <v>0</v>
      </c>
      <c r="W36" s="295" t="e">
        <f>'NoPlay-Cap Table'!W36</f>
        <v>#DIV/0!</v>
      </c>
      <c r="X36" s="243">
        <f>'NoPlay-Cap Table'!X36</f>
        <v>0</v>
      </c>
      <c r="Y36" s="246">
        <f>'NoPlay-Cap Table'!Y36</f>
        <v>0</v>
      </c>
      <c r="Z36" s="327">
        <f>'NoPlay-Cap Table'!Z36</f>
        <v>0</v>
      </c>
      <c r="AA36" s="327">
        <f>'NoPlay-Cap Table'!AA36</f>
        <v>0</v>
      </c>
      <c r="AB36" s="224">
        <f>'NoPlay-Cap Table'!AB36</f>
        <v>0</v>
      </c>
      <c r="AC36" s="293">
        <f>'NoPlay-Cap Table'!AC36</f>
        <v>0</v>
      </c>
      <c r="AD36" s="328">
        <f>'NoPlay-Cap Table'!AD36</f>
        <v>0</v>
      </c>
      <c r="AE36" s="295" t="e">
        <f>'NoPlay-Cap Table'!AE36</f>
        <v>#DIV/0!</v>
      </c>
      <c r="AF36" s="243">
        <f>'NoPlay-Cap Table'!AF36</f>
        <v>0</v>
      </c>
      <c r="AG36" s="246">
        <f>'NoPlay-Cap Table'!AG36</f>
        <v>0</v>
      </c>
      <c r="AH36" s="327">
        <f>'NoPlay-Cap Table'!AH36</f>
        <v>0</v>
      </c>
      <c r="AI36" s="327">
        <f>'NoPlay-Cap Table'!AI36</f>
        <v>0</v>
      </c>
      <c r="AJ36" s="224">
        <f>'NoPlay-Cap Table'!AJ36</f>
        <v>0</v>
      </c>
      <c r="AK36" s="293">
        <f>'NoPlay-Cap Table'!AK36</f>
        <v>0</v>
      </c>
      <c r="AL36" s="328">
        <f>'NoPlay-Cap Table'!AL36</f>
        <v>0</v>
      </c>
      <c r="AM36" s="295" t="e">
        <f>'NoPlay-Cap Table'!AM36</f>
        <v>#DIV/0!</v>
      </c>
      <c r="AN36" s="243">
        <f>'NoPlay-Cap Table'!AN36</f>
        <v>0</v>
      </c>
      <c r="AO36" s="246">
        <f>'NoPlay-Cap Table'!AO36</f>
        <v>0</v>
      </c>
      <c r="AP36" s="327">
        <f>'NoPlay-Cap Table'!AP36</f>
        <v>0</v>
      </c>
      <c r="AQ36" s="327">
        <f>'NoPlay-Cap Table'!AQ36</f>
        <v>0</v>
      </c>
      <c r="AR36" s="224">
        <f>'NoPlay-Cap Table'!AR36</f>
        <v>0</v>
      </c>
      <c r="AS36" s="293">
        <f>'NoPlay-Cap Table'!AS36</f>
        <v>0</v>
      </c>
      <c r="AT36" s="328">
        <f>'NoPlay-Cap Table'!AT36</f>
        <v>0</v>
      </c>
      <c r="AU36" s="295" t="e">
        <f>'NoPlay-Cap Table'!AU36</f>
        <v>#DIV/0!</v>
      </c>
      <c r="AV36" s="243">
        <f>'NoPlay-Cap Table'!AV36</f>
        <v>0</v>
      </c>
      <c r="AW36" s="246">
        <f>'NoPlay-Cap Table'!AW36</f>
        <v>0</v>
      </c>
      <c r="AX36" s="327">
        <f>'NoPlay-Cap Table'!AX36</f>
        <v>0</v>
      </c>
      <c r="AY36" s="327">
        <f>'NoPlay-Cap Table'!AY36</f>
        <v>0</v>
      </c>
      <c r="AZ36" s="224">
        <f>'NoPlay-Cap Table'!AZ36</f>
        <v>0</v>
      </c>
      <c r="BA36" s="293">
        <f>'NoPlay-Cap Table'!BA36</f>
        <v>0</v>
      </c>
      <c r="BB36" s="328">
        <f>'NoPlay-Cap Table'!BB36</f>
        <v>0</v>
      </c>
      <c r="BC36" s="295" t="e">
        <f>'NoPlay-Cap Table'!BC36</f>
        <v>#DIV/0!</v>
      </c>
      <c r="BD36" s="243">
        <f>'NoPlay-Cap Table'!BD36</f>
        <v>0</v>
      </c>
      <c r="BE36" s="246">
        <f>'NoPlay-Cap Table'!BE36</f>
        <v>0</v>
      </c>
      <c r="BF36" s="327">
        <f>'NoPlay-Cap Table'!BF36</f>
        <v>0</v>
      </c>
      <c r="BG36" s="327">
        <f>'NoPlay-Cap Table'!BG36</f>
        <v>0</v>
      </c>
      <c r="BH36" s="224">
        <f>'NoPlay-Cap Table'!BH36</f>
        <v>0</v>
      </c>
      <c r="BI36" s="293">
        <f>'NoPlay-Cap Table'!BI36</f>
        <v>0</v>
      </c>
      <c r="BJ36" s="328">
        <f>'NoPlay-Cap Table'!BJ36</f>
        <v>0</v>
      </c>
      <c r="BK36" s="295" t="e">
        <f>'NoPlay-Cap Table'!BK36</f>
        <v>#DIV/0!</v>
      </c>
      <c r="BL36" s="243">
        <f>'NoPlay-Cap Table'!BL36</f>
        <v>0</v>
      </c>
      <c r="BM36" s="246">
        <f>'NoPlay-Cap Table'!BM36</f>
        <v>0</v>
      </c>
      <c r="BN36" s="327">
        <f>'NoPlay-Cap Table'!BN36</f>
        <v>0</v>
      </c>
      <c r="BO36" s="327">
        <f>'NoPlay-Cap Table'!BO36</f>
        <v>0</v>
      </c>
      <c r="BP36" s="224">
        <f>'NoPlay-Cap Table'!BP36</f>
        <v>0</v>
      </c>
      <c r="BQ36" s="293">
        <f>'NoPlay-Cap Table'!BQ36</f>
        <v>0</v>
      </c>
      <c r="BR36" s="328">
        <f>'NoPlay-Cap Table'!BR36</f>
        <v>0</v>
      </c>
      <c r="BS36" s="295" t="e">
        <f>'NoPlay-Cap Table'!BS36</f>
        <v>#DIV/0!</v>
      </c>
      <c r="BT36" s="243">
        <f>'NoPlay-Cap Table'!BT36</f>
        <v>0</v>
      </c>
      <c r="BU36" s="246">
        <f>'NoPlay-Cap Table'!BU36</f>
        <v>0</v>
      </c>
      <c r="BV36" s="327">
        <f>'NoPlay-Cap Table'!BV36</f>
        <v>0</v>
      </c>
      <c r="BW36" s="327">
        <f>'NoPlay-Cap Table'!BW36</f>
        <v>0</v>
      </c>
      <c r="BX36" s="224">
        <f>'NoPlay-Cap Table'!BX36</f>
        <v>0</v>
      </c>
      <c r="BY36" s="293">
        <f>'NoPlay-Cap Table'!BY36</f>
        <v>0</v>
      </c>
      <c r="BZ36" s="328">
        <f>'NoPlay-Cap Table'!BZ36</f>
        <v>0</v>
      </c>
      <c r="CA36" s="295" t="e">
        <f>'NoPlay-Cap Table'!CA36</f>
        <v>#DIV/0!</v>
      </c>
      <c r="CB36" s="180">
        <f>'NoPlay-Cap Table'!CB36</f>
        <v>0</v>
      </c>
      <c r="CC36" s="328">
        <f>'NoPlay-Cap Table'!CC36</f>
        <v>0</v>
      </c>
      <c r="CD36" s="180"/>
      <c r="CE36" s="180"/>
    </row>
    <row r="37" spans="1:83" ht="15.75" customHeight="1" x14ac:dyDescent="0.35">
      <c r="A37" s="180"/>
      <c r="B37" s="180"/>
      <c r="C37" s="247"/>
      <c r="D37" s="236" t="str">
        <f>'NoPlay-Cap Table'!D37</f>
        <v>Available ESOP</v>
      </c>
      <c r="E37" s="248">
        <f>'NoPlay-Cap Table'!E37</f>
        <v>0</v>
      </c>
      <c r="F37" s="249">
        <f>'NoPlay-Cap Table'!F37</f>
        <v>0</v>
      </c>
      <c r="G37" s="245">
        <f>'NoPlay-Cap Table'!G37</f>
        <v>0</v>
      </c>
      <c r="H37" s="248">
        <f>'NoPlay-Cap Table'!H37</f>
        <v>0</v>
      </c>
      <c r="I37" s="250">
        <f>'NoPlay-Cap Table'!I37</f>
        <v>0</v>
      </c>
      <c r="J37" s="222">
        <f>'NoPlay-Cap Table'!J37</f>
        <v>0</v>
      </c>
      <c r="K37" s="222">
        <f>'NoPlay-Cap Table'!K37</f>
        <v>0</v>
      </c>
      <c r="L37" s="228">
        <f>'NoPlay-Cap Table'!L37</f>
        <v>0</v>
      </c>
      <c r="M37" s="293">
        <f>'NoPlay-Cap Table'!M37</f>
        <v>0</v>
      </c>
      <c r="N37" s="329">
        <f>'NoPlay-Cap Table'!N37</f>
        <v>0</v>
      </c>
      <c r="O37" s="295" t="e">
        <f>'NoPlay-Cap Table'!O37</f>
        <v>#DIV/0!</v>
      </c>
      <c r="P37" s="248">
        <f>'NoPlay-Cap Table'!P37</f>
        <v>0</v>
      </c>
      <c r="Q37" s="250">
        <f>'NoPlay-Cap Table'!Q37</f>
        <v>0</v>
      </c>
      <c r="R37" s="222">
        <f>'NoPlay-Cap Table'!R37</f>
        <v>0</v>
      </c>
      <c r="S37" s="222">
        <f>'NoPlay-Cap Table'!S37</f>
        <v>0</v>
      </c>
      <c r="T37" s="228">
        <f>'NoPlay-Cap Table'!T37</f>
        <v>0</v>
      </c>
      <c r="U37" s="293">
        <f>'NoPlay-Cap Table'!U37</f>
        <v>0</v>
      </c>
      <c r="V37" s="329">
        <f>'NoPlay-Cap Table'!V37</f>
        <v>0</v>
      </c>
      <c r="W37" s="295" t="e">
        <f>'NoPlay-Cap Table'!W37</f>
        <v>#DIV/0!</v>
      </c>
      <c r="X37" s="248">
        <f>'NoPlay-Cap Table'!X37</f>
        <v>0</v>
      </c>
      <c r="Y37" s="250">
        <f>'NoPlay-Cap Table'!Y37</f>
        <v>0</v>
      </c>
      <c r="Z37" s="222">
        <f>'NoPlay-Cap Table'!Z37</f>
        <v>0</v>
      </c>
      <c r="AA37" s="222">
        <f>'NoPlay-Cap Table'!AA37</f>
        <v>0</v>
      </c>
      <c r="AB37" s="228">
        <f>'NoPlay-Cap Table'!AB37</f>
        <v>0</v>
      </c>
      <c r="AC37" s="293">
        <f>'NoPlay-Cap Table'!AC37</f>
        <v>0</v>
      </c>
      <c r="AD37" s="329">
        <f>'NoPlay-Cap Table'!AD37</f>
        <v>0</v>
      </c>
      <c r="AE37" s="295" t="e">
        <f>'NoPlay-Cap Table'!AE37</f>
        <v>#DIV/0!</v>
      </c>
      <c r="AF37" s="248">
        <f>'NoPlay-Cap Table'!AF37</f>
        <v>0</v>
      </c>
      <c r="AG37" s="250">
        <f>'NoPlay-Cap Table'!AG37</f>
        <v>0</v>
      </c>
      <c r="AH37" s="222">
        <f>'NoPlay-Cap Table'!AH37</f>
        <v>0</v>
      </c>
      <c r="AI37" s="222">
        <f>'NoPlay-Cap Table'!AI37</f>
        <v>0</v>
      </c>
      <c r="AJ37" s="228">
        <f>'NoPlay-Cap Table'!AJ37</f>
        <v>0</v>
      </c>
      <c r="AK37" s="293">
        <f>'NoPlay-Cap Table'!AK37</f>
        <v>0</v>
      </c>
      <c r="AL37" s="329">
        <f>'NoPlay-Cap Table'!AL37</f>
        <v>0</v>
      </c>
      <c r="AM37" s="295" t="e">
        <f>'NoPlay-Cap Table'!AM37</f>
        <v>#DIV/0!</v>
      </c>
      <c r="AN37" s="248">
        <f>'NoPlay-Cap Table'!AN37</f>
        <v>0</v>
      </c>
      <c r="AO37" s="250">
        <f>'NoPlay-Cap Table'!AO37</f>
        <v>0</v>
      </c>
      <c r="AP37" s="222">
        <f>'NoPlay-Cap Table'!AP37</f>
        <v>0</v>
      </c>
      <c r="AQ37" s="222">
        <f>'NoPlay-Cap Table'!AQ37</f>
        <v>0</v>
      </c>
      <c r="AR37" s="228">
        <f>'NoPlay-Cap Table'!AR37</f>
        <v>0</v>
      </c>
      <c r="AS37" s="293">
        <f>'NoPlay-Cap Table'!AS37</f>
        <v>0</v>
      </c>
      <c r="AT37" s="329">
        <f>'NoPlay-Cap Table'!AT37</f>
        <v>0</v>
      </c>
      <c r="AU37" s="295" t="e">
        <f>'NoPlay-Cap Table'!AU37</f>
        <v>#DIV/0!</v>
      </c>
      <c r="AV37" s="248">
        <f>'NoPlay-Cap Table'!AV37</f>
        <v>0</v>
      </c>
      <c r="AW37" s="250">
        <f>'NoPlay-Cap Table'!AW37</f>
        <v>0</v>
      </c>
      <c r="AX37" s="222">
        <f>'NoPlay-Cap Table'!AX37</f>
        <v>0</v>
      </c>
      <c r="AY37" s="222">
        <f>'NoPlay-Cap Table'!AY37</f>
        <v>0</v>
      </c>
      <c r="AZ37" s="228">
        <f>'NoPlay-Cap Table'!AZ37</f>
        <v>0</v>
      </c>
      <c r="BA37" s="293">
        <f>'NoPlay-Cap Table'!BA37</f>
        <v>0</v>
      </c>
      <c r="BB37" s="329">
        <f>'NoPlay-Cap Table'!BB37</f>
        <v>0</v>
      </c>
      <c r="BC37" s="295" t="e">
        <f>'NoPlay-Cap Table'!BC37</f>
        <v>#DIV/0!</v>
      </c>
      <c r="BD37" s="248">
        <f>'NoPlay-Cap Table'!BD37</f>
        <v>0</v>
      </c>
      <c r="BE37" s="250">
        <f>'NoPlay-Cap Table'!BE37</f>
        <v>0</v>
      </c>
      <c r="BF37" s="222">
        <f>'NoPlay-Cap Table'!BF37</f>
        <v>0</v>
      </c>
      <c r="BG37" s="222">
        <f>'NoPlay-Cap Table'!BG37</f>
        <v>0</v>
      </c>
      <c r="BH37" s="228">
        <f>'NoPlay-Cap Table'!BH37</f>
        <v>0</v>
      </c>
      <c r="BI37" s="293">
        <f>'NoPlay-Cap Table'!BI37</f>
        <v>0</v>
      </c>
      <c r="BJ37" s="329">
        <f>'NoPlay-Cap Table'!BJ37</f>
        <v>0</v>
      </c>
      <c r="BK37" s="295" t="e">
        <f>'NoPlay-Cap Table'!BK37</f>
        <v>#DIV/0!</v>
      </c>
      <c r="BL37" s="248">
        <f>'NoPlay-Cap Table'!BL37</f>
        <v>0</v>
      </c>
      <c r="BM37" s="250">
        <f>'NoPlay-Cap Table'!BM37</f>
        <v>0</v>
      </c>
      <c r="BN37" s="222">
        <f>'NoPlay-Cap Table'!BN37</f>
        <v>0</v>
      </c>
      <c r="BO37" s="222">
        <f>'NoPlay-Cap Table'!BO37</f>
        <v>0</v>
      </c>
      <c r="BP37" s="228">
        <f>'NoPlay-Cap Table'!BP37</f>
        <v>0</v>
      </c>
      <c r="BQ37" s="293">
        <f>'NoPlay-Cap Table'!BQ37</f>
        <v>0</v>
      </c>
      <c r="BR37" s="329">
        <f>'NoPlay-Cap Table'!BR37</f>
        <v>0</v>
      </c>
      <c r="BS37" s="295" t="e">
        <f>'NoPlay-Cap Table'!BS37</f>
        <v>#DIV/0!</v>
      </c>
      <c r="BT37" s="248">
        <f>'NoPlay-Cap Table'!BT37</f>
        <v>0</v>
      </c>
      <c r="BU37" s="250">
        <f>'NoPlay-Cap Table'!BU37</f>
        <v>0</v>
      </c>
      <c r="BV37" s="222">
        <f>'NoPlay-Cap Table'!BV37</f>
        <v>0</v>
      </c>
      <c r="BW37" s="222">
        <f>'NoPlay-Cap Table'!BW37</f>
        <v>0</v>
      </c>
      <c r="BX37" s="228">
        <f>'NoPlay-Cap Table'!BX37</f>
        <v>0</v>
      </c>
      <c r="BY37" s="293">
        <f>'NoPlay-Cap Table'!BY37</f>
        <v>0</v>
      </c>
      <c r="BZ37" s="329">
        <f>'NoPlay-Cap Table'!BZ37</f>
        <v>0</v>
      </c>
      <c r="CA37" s="295" t="e">
        <f>'NoPlay-Cap Table'!CA37</f>
        <v>#DIV/0!</v>
      </c>
      <c r="CB37" s="180">
        <f>'NoPlay-Cap Table'!CB37</f>
        <v>0</v>
      </c>
      <c r="CC37" s="329">
        <f>'NoPlay-Cap Table'!CC37</f>
        <v>0</v>
      </c>
      <c r="CD37" s="180"/>
      <c r="CE37" s="180"/>
    </row>
    <row r="38" spans="1:83" ht="15.75" customHeight="1" x14ac:dyDescent="0.35">
      <c r="A38" s="180"/>
      <c r="B38" s="180"/>
      <c r="C38" s="247" t="s">
        <v>76</v>
      </c>
      <c r="D38" s="236" t="str">
        <f>'NoPlay-Cap Table'!D38</f>
        <v>New ESOP</v>
      </c>
      <c r="E38" s="245" t="str">
        <f>'NoPlay-Cap Table'!E38</f>
        <v>Pre-Money</v>
      </c>
      <c r="F38" s="251">
        <f>'NoPlay-Cap Table'!F38</f>
        <v>0</v>
      </c>
      <c r="G38" s="245">
        <f>'NoPlay-Cap Table'!G38</f>
        <v>0</v>
      </c>
      <c r="H38" s="251">
        <f>'NoPlay-Cap Table'!H38</f>
        <v>0</v>
      </c>
      <c r="I38" s="252">
        <f>'NoPlay-Cap Table'!I38</f>
        <v>0</v>
      </c>
      <c r="J38" s="231">
        <f>'NoPlay-Cap Table'!J38</f>
        <v>0</v>
      </c>
      <c r="K38" s="231">
        <f>'NoPlay-Cap Table'!K38</f>
        <v>0</v>
      </c>
      <c r="L38" s="232">
        <f>'NoPlay-Cap Table'!L38</f>
        <v>0</v>
      </c>
      <c r="M38" s="293">
        <f>'NoPlay-Cap Table'!M38</f>
        <v>0</v>
      </c>
      <c r="N38" s="330">
        <f>'NoPlay-Cap Table'!N38</f>
        <v>0</v>
      </c>
      <c r="O38" s="295" t="e">
        <f>'NoPlay-Cap Table'!O38</f>
        <v>#DIV/0!</v>
      </c>
      <c r="P38" s="251">
        <f>'NoPlay-Cap Table'!P38</f>
        <v>0</v>
      </c>
      <c r="Q38" s="252">
        <f>'NoPlay-Cap Table'!Q38</f>
        <v>0</v>
      </c>
      <c r="R38" s="231">
        <f>'NoPlay-Cap Table'!R38</f>
        <v>0</v>
      </c>
      <c r="S38" s="231">
        <f>'NoPlay-Cap Table'!S38</f>
        <v>0</v>
      </c>
      <c r="T38" s="232">
        <f>'NoPlay-Cap Table'!T38</f>
        <v>0</v>
      </c>
      <c r="U38" s="293">
        <f>'NoPlay-Cap Table'!U38</f>
        <v>0</v>
      </c>
      <c r="V38" s="330">
        <f>'NoPlay-Cap Table'!V38</f>
        <v>0</v>
      </c>
      <c r="W38" s="295" t="e">
        <f>'NoPlay-Cap Table'!W38</f>
        <v>#DIV/0!</v>
      </c>
      <c r="X38" s="251">
        <f>'NoPlay-Cap Table'!X38</f>
        <v>0</v>
      </c>
      <c r="Y38" s="252">
        <f>'NoPlay-Cap Table'!Y38</f>
        <v>0</v>
      </c>
      <c r="Z38" s="231">
        <f>'NoPlay-Cap Table'!Z38</f>
        <v>0</v>
      </c>
      <c r="AA38" s="231">
        <f>'NoPlay-Cap Table'!AA38</f>
        <v>0</v>
      </c>
      <c r="AB38" s="232">
        <f>'NoPlay-Cap Table'!AB38</f>
        <v>0</v>
      </c>
      <c r="AC38" s="293">
        <f>'NoPlay-Cap Table'!AC38</f>
        <v>0</v>
      </c>
      <c r="AD38" s="330">
        <f>'NoPlay-Cap Table'!AD38</f>
        <v>0</v>
      </c>
      <c r="AE38" s="295" t="e">
        <f>'NoPlay-Cap Table'!AE38</f>
        <v>#DIV/0!</v>
      </c>
      <c r="AF38" s="251">
        <f>'NoPlay-Cap Table'!AF38</f>
        <v>0</v>
      </c>
      <c r="AG38" s="252">
        <f>'NoPlay-Cap Table'!AG38</f>
        <v>0</v>
      </c>
      <c r="AH38" s="231">
        <f>'NoPlay-Cap Table'!AH38</f>
        <v>0</v>
      </c>
      <c r="AI38" s="231">
        <f>'NoPlay-Cap Table'!AI38</f>
        <v>0</v>
      </c>
      <c r="AJ38" s="232">
        <f>'NoPlay-Cap Table'!AJ38</f>
        <v>0</v>
      </c>
      <c r="AK38" s="293">
        <f>'NoPlay-Cap Table'!AK38</f>
        <v>0</v>
      </c>
      <c r="AL38" s="330">
        <f>'NoPlay-Cap Table'!AL38</f>
        <v>0</v>
      </c>
      <c r="AM38" s="295" t="e">
        <f>'NoPlay-Cap Table'!AM38</f>
        <v>#DIV/0!</v>
      </c>
      <c r="AN38" s="251">
        <f>'NoPlay-Cap Table'!AN38</f>
        <v>0</v>
      </c>
      <c r="AO38" s="252">
        <f>'NoPlay-Cap Table'!AO38</f>
        <v>0</v>
      </c>
      <c r="AP38" s="231">
        <f>'NoPlay-Cap Table'!AP38</f>
        <v>0</v>
      </c>
      <c r="AQ38" s="231">
        <f>'NoPlay-Cap Table'!AQ38</f>
        <v>0</v>
      </c>
      <c r="AR38" s="232">
        <f>'NoPlay-Cap Table'!AR38</f>
        <v>0</v>
      </c>
      <c r="AS38" s="293">
        <f>'NoPlay-Cap Table'!AS38</f>
        <v>0</v>
      </c>
      <c r="AT38" s="330">
        <f>'NoPlay-Cap Table'!AT38</f>
        <v>0</v>
      </c>
      <c r="AU38" s="295" t="e">
        <f>'NoPlay-Cap Table'!AU38</f>
        <v>#DIV/0!</v>
      </c>
      <c r="AV38" s="251">
        <f>'NoPlay-Cap Table'!AV38</f>
        <v>0</v>
      </c>
      <c r="AW38" s="252">
        <f>'NoPlay-Cap Table'!AW38</f>
        <v>0</v>
      </c>
      <c r="AX38" s="231">
        <f>'NoPlay-Cap Table'!AX38</f>
        <v>0</v>
      </c>
      <c r="AY38" s="231">
        <f>'NoPlay-Cap Table'!AY38</f>
        <v>0</v>
      </c>
      <c r="AZ38" s="232">
        <f>'NoPlay-Cap Table'!AZ38</f>
        <v>0</v>
      </c>
      <c r="BA38" s="293">
        <f>'NoPlay-Cap Table'!BA38</f>
        <v>0</v>
      </c>
      <c r="BB38" s="330">
        <f>'NoPlay-Cap Table'!BB38</f>
        <v>0</v>
      </c>
      <c r="BC38" s="295" t="e">
        <f>'NoPlay-Cap Table'!BC38</f>
        <v>#DIV/0!</v>
      </c>
      <c r="BD38" s="251">
        <f>'NoPlay-Cap Table'!BD38</f>
        <v>0</v>
      </c>
      <c r="BE38" s="252">
        <f>'NoPlay-Cap Table'!BE38</f>
        <v>0</v>
      </c>
      <c r="BF38" s="231">
        <f>'NoPlay-Cap Table'!BF38</f>
        <v>0</v>
      </c>
      <c r="BG38" s="231">
        <f>'NoPlay-Cap Table'!BG38</f>
        <v>0</v>
      </c>
      <c r="BH38" s="232">
        <f>'NoPlay-Cap Table'!BH38</f>
        <v>0</v>
      </c>
      <c r="BI38" s="293">
        <f>'NoPlay-Cap Table'!BI38</f>
        <v>0</v>
      </c>
      <c r="BJ38" s="330">
        <f>'NoPlay-Cap Table'!BJ38</f>
        <v>0</v>
      </c>
      <c r="BK38" s="295" t="e">
        <f>'NoPlay-Cap Table'!BK38</f>
        <v>#DIV/0!</v>
      </c>
      <c r="BL38" s="251">
        <f>'NoPlay-Cap Table'!BL38</f>
        <v>0</v>
      </c>
      <c r="BM38" s="252">
        <f>'NoPlay-Cap Table'!BM38</f>
        <v>0</v>
      </c>
      <c r="BN38" s="231">
        <f>'NoPlay-Cap Table'!BN38</f>
        <v>0</v>
      </c>
      <c r="BO38" s="231">
        <f>'NoPlay-Cap Table'!BO38</f>
        <v>0</v>
      </c>
      <c r="BP38" s="232">
        <f>'NoPlay-Cap Table'!BP38</f>
        <v>0</v>
      </c>
      <c r="BQ38" s="293">
        <f>'NoPlay-Cap Table'!BQ38</f>
        <v>0</v>
      </c>
      <c r="BR38" s="330">
        <f>'NoPlay-Cap Table'!BR38</f>
        <v>0</v>
      </c>
      <c r="BS38" s="295" t="e">
        <f>'NoPlay-Cap Table'!BS38</f>
        <v>#DIV/0!</v>
      </c>
      <c r="BT38" s="251">
        <f>'NoPlay-Cap Table'!BT38</f>
        <v>0</v>
      </c>
      <c r="BU38" s="252">
        <f>'NoPlay-Cap Table'!BU38</f>
        <v>0</v>
      </c>
      <c r="BV38" s="231">
        <f>'NoPlay-Cap Table'!BV38</f>
        <v>0</v>
      </c>
      <c r="BW38" s="231">
        <f>'NoPlay-Cap Table'!BW38</f>
        <v>0</v>
      </c>
      <c r="BX38" s="232">
        <f>'NoPlay-Cap Table'!BX38</f>
        <v>0</v>
      </c>
      <c r="BY38" s="293">
        <f>'NoPlay-Cap Table'!BY38</f>
        <v>0</v>
      </c>
      <c r="BZ38" s="330">
        <f>'NoPlay-Cap Table'!BZ38</f>
        <v>0</v>
      </c>
      <c r="CA38" s="295" t="e">
        <f>'NoPlay-Cap Table'!CA38</f>
        <v>#DIV/0!</v>
      </c>
      <c r="CB38" s="180">
        <f>'NoPlay-Cap Table'!CB38</f>
        <v>0</v>
      </c>
      <c r="CC38" s="330">
        <f>'NoPlay-Cap Table'!CC38</f>
        <v>0</v>
      </c>
      <c r="CD38" s="180"/>
      <c r="CE38" s="180"/>
    </row>
    <row r="39" spans="1:83" s="181" customFormat="1" ht="7.5" customHeight="1" x14ac:dyDescent="0.35">
      <c r="A39" s="180"/>
      <c r="B39" s="180"/>
      <c r="C39" s="179"/>
      <c r="D39" s="180">
        <f>'NoPlay-Cap Table'!D39</f>
        <v>0</v>
      </c>
      <c r="E39" s="180">
        <f>'NoPlay-Cap Table'!E39</f>
        <v>0</v>
      </c>
      <c r="F39" s="180">
        <f>'NoPlay-Cap Table'!F39</f>
        <v>0</v>
      </c>
      <c r="G39" s="235">
        <f>'NoPlay-Cap Table'!G39</f>
        <v>0</v>
      </c>
      <c r="H39" s="181">
        <f>'NoPlay-Cap Table'!H39</f>
        <v>0</v>
      </c>
      <c r="I39" s="181">
        <f>'NoPlay-Cap Table'!I39</f>
        <v>0</v>
      </c>
      <c r="J39" s="181">
        <f>'NoPlay-Cap Table'!J39</f>
        <v>0</v>
      </c>
      <c r="K39" s="181">
        <f>'NoPlay-Cap Table'!K39</f>
        <v>0</v>
      </c>
      <c r="L39" s="181">
        <f>'NoPlay-Cap Table'!L39</f>
        <v>0</v>
      </c>
      <c r="M39" s="181">
        <f>'NoPlay-Cap Table'!M39</f>
        <v>0</v>
      </c>
      <c r="N39" s="180">
        <f>'NoPlay-Cap Table'!N39</f>
        <v>0</v>
      </c>
      <c r="O39" s="181">
        <f>'NoPlay-Cap Table'!O39</f>
        <v>0</v>
      </c>
      <c r="P39" s="181">
        <f>'NoPlay-Cap Table'!P39</f>
        <v>0</v>
      </c>
      <c r="Q39" s="181">
        <f>'NoPlay-Cap Table'!Q39</f>
        <v>0</v>
      </c>
      <c r="R39" s="181">
        <f>'NoPlay-Cap Table'!R39</f>
        <v>0</v>
      </c>
      <c r="S39" s="181">
        <f>'NoPlay-Cap Table'!S39</f>
        <v>0</v>
      </c>
      <c r="T39" s="181">
        <f>'NoPlay-Cap Table'!T39</f>
        <v>0</v>
      </c>
      <c r="U39" s="181">
        <f>'NoPlay-Cap Table'!U39</f>
        <v>0</v>
      </c>
      <c r="V39" s="180">
        <f>'NoPlay-Cap Table'!V39</f>
        <v>0</v>
      </c>
      <c r="W39" s="181">
        <f>'NoPlay-Cap Table'!W39</f>
        <v>0</v>
      </c>
      <c r="X39" s="181">
        <f>'NoPlay-Cap Table'!X39</f>
        <v>0</v>
      </c>
      <c r="Y39" s="181">
        <f>'NoPlay-Cap Table'!Y39</f>
        <v>0</v>
      </c>
      <c r="Z39" s="181">
        <f>'NoPlay-Cap Table'!Z39</f>
        <v>0</v>
      </c>
      <c r="AA39" s="181">
        <f>'NoPlay-Cap Table'!AA39</f>
        <v>0</v>
      </c>
      <c r="AB39" s="181">
        <f>'NoPlay-Cap Table'!AB39</f>
        <v>0</v>
      </c>
      <c r="AC39" s="181">
        <f>'NoPlay-Cap Table'!AC39</f>
        <v>0</v>
      </c>
      <c r="AD39" s="180">
        <f>'NoPlay-Cap Table'!AD39</f>
        <v>0</v>
      </c>
      <c r="AE39" s="181">
        <f>'NoPlay-Cap Table'!AE39</f>
        <v>0</v>
      </c>
      <c r="AF39" s="181">
        <f>'NoPlay-Cap Table'!AF39</f>
        <v>0</v>
      </c>
      <c r="AG39" s="181">
        <f>'NoPlay-Cap Table'!AG39</f>
        <v>0</v>
      </c>
      <c r="AH39" s="181">
        <f>'NoPlay-Cap Table'!AH39</f>
        <v>0</v>
      </c>
      <c r="AI39" s="181">
        <f>'NoPlay-Cap Table'!AI39</f>
        <v>0</v>
      </c>
      <c r="AJ39" s="181">
        <f>'NoPlay-Cap Table'!AJ39</f>
        <v>0</v>
      </c>
      <c r="AK39" s="181">
        <f>'NoPlay-Cap Table'!AK39</f>
        <v>0</v>
      </c>
      <c r="AL39" s="180">
        <f>'NoPlay-Cap Table'!AL39</f>
        <v>0</v>
      </c>
      <c r="AM39" s="181">
        <f>'NoPlay-Cap Table'!AM39</f>
        <v>0</v>
      </c>
      <c r="AN39" s="181">
        <f>'NoPlay-Cap Table'!AN39</f>
        <v>0</v>
      </c>
      <c r="AO39" s="181">
        <f>'NoPlay-Cap Table'!AO39</f>
        <v>0</v>
      </c>
      <c r="AP39" s="181">
        <f>'NoPlay-Cap Table'!AP39</f>
        <v>0</v>
      </c>
      <c r="AQ39" s="181">
        <f>'NoPlay-Cap Table'!AQ39</f>
        <v>0</v>
      </c>
      <c r="AR39" s="181">
        <f>'NoPlay-Cap Table'!AR39</f>
        <v>0</v>
      </c>
      <c r="AS39" s="181">
        <f>'NoPlay-Cap Table'!AS39</f>
        <v>0</v>
      </c>
      <c r="AT39" s="180">
        <f>'NoPlay-Cap Table'!AT39</f>
        <v>0</v>
      </c>
      <c r="AU39" s="181">
        <f>'NoPlay-Cap Table'!AU39</f>
        <v>0</v>
      </c>
      <c r="AV39" s="181">
        <f>'NoPlay-Cap Table'!AV39</f>
        <v>0</v>
      </c>
      <c r="AW39" s="181">
        <f>'NoPlay-Cap Table'!AW39</f>
        <v>0</v>
      </c>
      <c r="AX39" s="181">
        <f>'NoPlay-Cap Table'!AX39</f>
        <v>0</v>
      </c>
      <c r="AY39" s="181">
        <f>'NoPlay-Cap Table'!AY39</f>
        <v>0</v>
      </c>
      <c r="AZ39" s="181">
        <f>'NoPlay-Cap Table'!AZ39</f>
        <v>0</v>
      </c>
      <c r="BA39" s="181">
        <f>'NoPlay-Cap Table'!BA39</f>
        <v>0</v>
      </c>
      <c r="BB39" s="180">
        <f>'NoPlay-Cap Table'!BB39</f>
        <v>0</v>
      </c>
      <c r="BC39" s="181">
        <f>'NoPlay-Cap Table'!BC39</f>
        <v>0</v>
      </c>
      <c r="BD39" s="181">
        <f>'NoPlay-Cap Table'!BD39</f>
        <v>0</v>
      </c>
      <c r="BE39" s="181">
        <f>'NoPlay-Cap Table'!BE39</f>
        <v>0</v>
      </c>
      <c r="BF39" s="181">
        <f>'NoPlay-Cap Table'!BF39</f>
        <v>0</v>
      </c>
      <c r="BG39" s="181">
        <f>'NoPlay-Cap Table'!BG39</f>
        <v>0</v>
      </c>
      <c r="BH39" s="181">
        <f>'NoPlay-Cap Table'!BH39</f>
        <v>0</v>
      </c>
      <c r="BI39" s="181">
        <f>'NoPlay-Cap Table'!BI39</f>
        <v>0</v>
      </c>
      <c r="BJ39" s="180">
        <f>'NoPlay-Cap Table'!BJ39</f>
        <v>0</v>
      </c>
      <c r="BK39" s="181">
        <f>'NoPlay-Cap Table'!BK39</f>
        <v>0</v>
      </c>
      <c r="BL39" s="181">
        <f>'NoPlay-Cap Table'!BL39</f>
        <v>0</v>
      </c>
      <c r="BM39" s="181">
        <f>'NoPlay-Cap Table'!BM39</f>
        <v>0</v>
      </c>
      <c r="BN39" s="181">
        <f>'NoPlay-Cap Table'!BN39</f>
        <v>0</v>
      </c>
      <c r="BO39" s="181">
        <f>'NoPlay-Cap Table'!BO39</f>
        <v>0</v>
      </c>
      <c r="BP39" s="181">
        <f>'NoPlay-Cap Table'!BP39</f>
        <v>0</v>
      </c>
      <c r="BQ39" s="181">
        <f>'NoPlay-Cap Table'!BQ39</f>
        <v>0</v>
      </c>
      <c r="BR39" s="180">
        <f>'NoPlay-Cap Table'!BR39</f>
        <v>0</v>
      </c>
      <c r="BS39" s="181">
        <f>'NoPlay-Cap Table'!BS39</f>
        <v>0</v>
      </c>
      <c r="BT39" s="181">
        <f>'NoPlay-Cap Table'!BT39</f>
        <v>0</v>
      </c>
      <c r="BU39" s="181">
        <f>'NoPlay-Cap Table'!BU39</f>
        <v>0</v>
      </c>
      <c r="BV39" s="181">
        <f>'NoPlay-Cap Table'!BV39</f>
        <v>0</v>
      </c>
      <c r="BW39" s="181">
        <f>'NoPlay-Cap Table'!BW39</f>
        <v>0</v>
      </c>
      <c r="BX39" s="181">
        <f>'NoPlay-Cap Table'!BX39</f>
        <v>0</v>
      </c>
      <c r="BY39" s="181">
        <f>'NoPlay-Cap Table'!BY39</f>
        <v>0</v>
      </c>
      <c r="BZ39" s="180">
        <f>'NoPlay-Cap Table'!BZ39</f>
        <v>0</v>
      </c>
      <c r="CA39" s="181">
        <f>'NoPlay-Cap Table'!CA39</f>
        <v>0</v>
      </c>
      <c r="CB39" s="181">
        <f>'NoPlay-Cap Table'!CB39</f>
        <v>0</v>
      </c>
      <c r="CC39" s="181">
        <f>'NoPlay-Cap Table'!CC39</f>
        <v>0</v>
      </c>
    </row>
    <row r="40" spans="1:83" s="190" customFormat="1" ht="15.75" customHeight="1" x14ac:dyDescent="0.35">
      <c r="A40" s="180"/>
      <c r="B40" s="180"/>
      <c r="D40" s="303" t="str">
        <f>'NoPlay-Cap Table'!D40</f>
        <v>TOTAL</v>
      </c>
      <c r="E40" s="304">
        <f>'NoPlay-Cap Table'!E40</f>
        <v>0</v>
      </c>
      <c r="F40" s="304">
        <f>'NoPlay-Cap Table'!F40</f>
        <v>0</v>
      </c>
      <c r="G40" s="304">
        <f>'NoPlay-Cap Table'!G40</f>
        <v>0</v>
      </c>
      <c r="H40" s="304">
        <f>'NoPlay-Cap Table'!H40</f>
        <v>0</v>
      </c>
      <c r="I40" s="304">
        <f>'NoPlay-Cap Table'!I40</f>
        <v>0</v>
      </c>
      <c r="J40" s="304" t="e">
        <f>'NoPlay-Cap Table'!J40</f>
        <v>#DIV/0!</v>
      </c>
      <c r="K40" s="305">
        <f>'NoPlay-Cap Table'!K40</f>
        <v>0</v>
      </c>
      <c r="L40" s="304">
        <f>'NoPlay-Cap Table'!L40</f>
        <v>0</v>
      </c>
      <c r="M40" s="304">
        <f>'NoPlay-Cap Table'!M40</f>
        <v>0</v>
      </c>
      <c r="N40" s="305" t="e">
        <f>'NoPlay-Cap Table'!N40</f>
        <v>#DIV/0!</v>
      </c>
      <c r="O40" s="305" t="e">
        <f>'NoPlay-Cap Table'!O40</f>
        <v>#DIV/0!</v>
      </c>
      <c r="P40" s="304">
        <f>'NoPlay-Cap Table'!P40</f>
        <v>0</v>
      </c>
      <c r="Q40" s="304">
        <f>'NoPlay-Cap Table'!Q40</f>
        <v>0</v>
      </c>
      <c r="R40" s="304">
        <f>'NoPlay-Cap Table'!R40</f>
        <v>0</v>
      </c>
      <c r="S40" s="305">
        <f>'NoPlay-Cap Table'!S40</f>
        <v>0</v>
      </c>
      <c r="T40" s="304">
        <f>'NoPlay-Cap Table'!T40</f>
        <v>0</v>
      </c>
      <c r="U40" s="304">
        <f>'NoPlay-Cap Table'!U40</f>
        <v>0</v>
      </c>
      <c r="V40" s="305" t="e">
        <f>'NoPlay-Cap Table'!V40</f>
        <v>#DIV/0!</v>
      </c>
      <c r="W40" s="305" t="e">
        <f>'NoPlay-Cap Table'!W40</f>
        <v>#DIV/0!</v>
      </c>
      <c r="X40" s="304">
        <f>'NoPlay-Cap Table'!X40</f>
        <v>0</v>
      </c>
      <c r="Y40" s="304">
        <f>'NoPlay-Cap Table'!Y40</f>
        <v>0</v>
      </c>
      <c r="Z40" s="304">
        <f>'NoPlay-Cap Table'!Z40</f>
        <v>0</v>
      </c>
      <c r="AA40" s="305">
        <f>'NoPlay-Cap Table'!AA40</f>
        <v>0</v>
      </c>
      <c r="AB40" s="304">
        <f>'NoPlay-Cap Table'!AB40</f>
        <v>0</v>
      </c>
      <c r="AC40" s="304">
        <f>'NoPlay-Cap Table'!AC40</f>
        <v>0</v>
      </c>
      <c r="AD40" s="305" t="e">
        <f>'NoPlay-Cap Table'!AD40</f>
        <v>#DIV/0!</v>
      </c>
      <c r="AE40" s="305" t="e">
        <f>'NoPlay-Cap Table'!AE40</f>
        <v>#DIV/0!</v>
      </c>
      <c r="AF40" s="304">
        <f>'NoPlay-Cap Table'!AF40</f>
        <v>0</v>
      </c>
      <c r="AG40" s="304">
        <f>'NoPlay-Cap Table'!AG40</f>
        <v>0</v>
      </c>
      <c r="AH40" s="304">
        <f>'NoPlay-Cap Table'!AH40</f>
        <v>0</v>
      </c>
      <c r="AI40" s="305">
        <f>'NoPlay-Cap Table'!AI40</f>
        <v>0</v>
      </c>
      <c r="AJ40" s="304">
        <f>'NoPlay-Cap Table'!AJ40</f>
        <v>0</v>
      </c>
      <c r="AK40" s="304">
        <f>'NoPlay-Cap Table'!AK40</f>
        <v>0</v>
      </c>
      <c r="AL40" s="305" t="e">
        <f>'NoPlay-Cap Table'!AL40</f>
        <v>#DIV/0!</v>
      </c>
      <c r="AM40" s="305" t="e">
        <f>'NoPlay-Cap Table'!AM40</f>
        <v>#DIV/0!</v>
      </c>
      <c r="AN40" s="304">
        <f>'NoPlay-Cap Table'!AN40</f>
        <v>0</v>
      </c>
      <c r="AO40" s="304">
        <f>'NoPlay-Cap Table'!AO40</f>
        <v>0</v>
      </c>
      <c r="AP40" s="304">
        <f>'NoPlay-Cap Table'!AP40</f>
        <v>0</v>
      </c>
      <c r="AQ40" s="305">
        <f>'NoPlay-Cap Table'!AQ40</f>
        <v>0</v>
      </c>
      <c r="AR40" s="304">
        <f>'NoPlay-Cap Table'!AR40</f>
        <v>0</v>
      </c>
      <c r="AS40" s="304">
        <f>'NoPlay-Cap Table'!AS40</f>
        <v>0</v>
      </c>
      <c r="AT40" s="305" t="e">
        <f>'NoPlay-Cap Table'!AT40</f>
        <v>#DIV/0!</v>
      </c>
      <c r="AU40" s="305" t="e">
        <f>'NoPlay-Cap Table'!AU40</f>
        <v>#DIV/0!</v>
      </c>
      <c r="AV40" s="304">
        <f>'NoPlay-Cap Table'!AV40</f>
        <v>0</v>
      </c>
      <c r="AW40" s="304">
        <f>'NoPlay-Cap Table'!AW40</f>
        <v>0</v>
      </c>
      <c r="AX40" s="304">
        <f>'NoPlay-Cap Table'!AX40</f>
        <v>0</v>
      </c>
      <c r="AY40" s="305">
        <f>'NoPlay-Cap Table'!AY40</f>
        <v>0</v>
      </c>
      <c r="AZ40" s="304">
        <f>'NoPlay-Cap Table'!AZ40</f>
        <v>0</v>
      </c>
      <c r="BA40" s="304">
        <f>'NoPlay-Cap Table'!BA40</f>
        <v>0</v>
      </c>
      <c r="BB40" s="305" t="e">
        <f>'NoPlay-Cap Table'!BB40</f>
        <v>#DIV/0!</v>
      </c>
      <c r="BC40" s="305" t="e">
        <f>'NoPlay-Cap Table'!BC40</f>
        <v>#DIV/0!</v>
      </c>
      <c r="BD40" s="304">
        <f>'NoPlay-Cap Table'!BD40</f>
        <v>0</v>
      </c>
      <c r="BE40" s="304">
        <f>'NoPlay-Cap Table'!BE40</f>
        <v>0</v>
      </c>
      <c r="BF40" s="304">
        <f>'NoPlay-Cap Table'!BF40</f>
        <v>0</v>
      </c>
      <c r="BG40" s="305">
        <f>'NoPlay-Cap Table'!BG40</f>
        <v>0</v>
      </c>
      <c r="BH40" s="304">
        <f>'NoPlay-Cap Table'!BH40</f>
        <v>0</v>
      </c>
      <c r="BI40" s="304">
        <f>'NoPlay-Cap Table'!BI40</f>
        <v>0</v>
      </c>
      <c r="BJ40" s="305" t="e">
        <f>'NoPlay-Cap Table'!BJ40</f>
        <v>#DIV/0!</v>
      </c>
      <c r="BK40" s="305" t="e">
        <f>'NoPlay-Cap Table'!BK40</f>
        <v>#DIV/0!</v>
      </c>
      <c r="BL40" s="304">
        <f>'NoPlay-Cap Table'!BL40</f>
        <v>0</v>
      </c>
      <c r="BM40" s="304">
        <f>'NoPlay-Cap Table'!BM40</f>
        <v>0</v>
      </c>
      <c r="BN40" s="304">
        <f>'NoPlay-Cap Table'!BN40</f>
        <v>0</v>
      </c>
      <c r="BO40" s="305">
        <f>'NoPlay-Cap Table'!BO40</f>
        <v>0</v>
      </c>
      <c r="BP40" s="304">
        <f>'NoPlay-Cap Table'!BP40</f>
        <v>0</v>
      </c>
      <c r="BQ40" s="304">
        <f>'NoPlay-Cap Table'!BQ40</f>
        <v>0</v>
      </c>
      <c r="BR40" s="305" t="e">
        <f>'NoPlay-Cap Table'!BR40</f>
        <v>#DIV/0!</v>
      </c>
      <c r="BS40" s="305" t="e">
        <f>'NoPlay-Cap Table'!BS40</f>
        <v>#DIV/0!</v>
      </c>
      <c r="BT40" s="304">
        <f>'NoPlay-Cap Table'!BT40</f>
        <v>0</v>
      </c>
      <c r="BU40" s="304">
        <f>'NoPlay-Cap Table'!BU40</f>
        <v>0</v>
      </c>
      <c r="BV40" s="304">
        <f>'NoPlay-Cap Table'!BV40</f>
        <v>0</v>
      </c>
      <c r="BW40" s="305">
        <f>'NoPlay-Cap Table'!BW40</f>
        <v>0</v>
      </c>
      <c r="BX40" s="304">
        <f>'NoPlay-Cap Table'!BX40</f>
        <v>0</v>
      </c>
      <c r="BY40" s="304">
        <f>'NoPlay-Cap Table'!BY40</f>
        <v>0</v>
      </c>
      <c r="BZ40" s="305" t="e">
        <f>'NoPlay-Cap Table'!BZ40</f>
        <v>#DIV/0!</v>
      </c>
      <c r="CA40" s="305" t="e">
        <f>'NoPlay-Cap Table'!CA40</f>
        <v>#DIV/0!</v>
      </c>
      <c r="CB40" s="180">
        <f>'NoPlay-Cap Table'!CB40</f>
        <v>0</v>
      </c>
      <c r="CC40" s="304" t="e">
        <f>'NoPlay-Cap Table'!CC40/1000000</f>
        <v>#DIV/0!</v>
      </c>
      <c r="CD40" s="180"/>
      <c r="CE40" s="180"/>
    </row>
    <row r="41" spans="1:83" s="255" customFormat="1" ht="15.75" customHeight="1" x14ac:dyDescent="0.35">
      <c r="A41" s="254"/>
      <c r="B41" s="254"/>
      <c r="D41" s="256" t="str">
        <f>'NoPlay-Cap Table'!D41</f>
        <v>CHECK</v>
      </c>
      <c r="E41" s="257">
        <f>'NoPlay-Cap Table'!E41</f>
        <v>0</v>
      </c>
      <c r="F41" s="257">
        <f>'NoPlay-Cap Table'!F41</f>
        <v>0</v>
      </c>
      <c r="G41" s="257">
        <f>'NoPlay-Cap Table'!G41</f>
        <v>0</v>
      </c>
      <c r="H41" s="1360" t="str">
        <f>'NoPlay-Cap Table'!H41</f>
        <v>DTCV OK; Investors OK</v>
      </c>
      <c r="I41" s="1361">
        <v>0</v>
      </c>
      <c r="J41" s="1361">
        <v>0</v>
      </c>
      <c r="K41" s="257">
        <f>'NoPlay-Cap Table'!K41</f>
        <v>0</v>
      </c>
      <c r="L41" s="257">
        <f>'NoPlay-Cap Table'!L41</f>
        <v>0</v>
      </c>
      <c r="M41" s="258">
        <f>'NoPlay-Cap Table'!M41</f>
        <v>0</v>
      </c>
      <c r="N41" s="258">
        <f>'NoPlay-Cap Table'!N41</f>
        <v>0</v>
      </c>
      <c r="O41" s="259">
        <f>'NoPlay-Cap Table'!O41</f>
        <v>0</v>
      </c>
      <c r="P41" s="1360" t="str">
        <f>'NoPlay-Cap Table'!P41</f>
        <v>DTCV OK; Investors OK</v>
      </c>
      <c r="Q41" s="1361">
        <v>0</v>
      </c>
      <c r="R41" s="1361">
        <v>0</v>
      </c>
      <c r="S41" s="257">
        <f>'NoPlay-Cap Table'!S41</f>
        <v>0</v>
      </c>
      <c r="T41" s="257">
        <f>'NoPlay-Cap Table'!T41</f>
        <v>0</v>
      </c>
      <c r="U41" s="258">
        <f>'NoPlay-Cap Table'!U41</f>
        <v>0</v>
      </c>
      <c r="V41" s="258">
        <f>'NoPlay-Cap Table'!V41</f>
        <v>0</v>
      </c>
      <c r="W41" s="259">
        <f>'NoPlay-Cap Table'!W41</f>
        <v>0</v>
      </c>
      <c r="X41" s="1360" t="str">
        <f>'NoPlay-Cap Table'!X41</f>
        <v>DTCV OK; Investors OK</v>
      </c>
      <c r="Y41" s="1361">
        <v>0</v>
      </c>
      <c r="Z41" s="1361">
        <v>0</v>
      </c>
      <c r="AA41" s="257">
        <f>'NoPlay-Cap Table'!AA41</f>
        <v>0</v>
      </c>
      <c r="AB41" s="257">
        <f>'NoPlay-Cap Table'!AB41</f>
        <v>0</v>
      </c>
      <c r="AC41" s="258">
        <f>'NoPlay-Cap Table'!AC41</f>
        <v>0</v>
      </c>
      <c r="AD41" s="258">
        <f>'NoPlay-Cap Table'!AD41</f>
        <v>0</v>
      </c>
      <c r="AE41" s="259">
        <f>'NoPlay-Cap Table'!AE41</f>
        <v>0</v>
      </c>
      <c r="AF41" s="1360" t="str">
        <f>'NoPlay-Cap Table'!AF41</f>
        <v>DTCV OK; Investors OK</v>
      </c>
      <c r="AG41" s="1361">
        <v>0</v>
      </c>
      <c r="AH41" s="1361">
        <v>0</v>
      </c>
      <c r="AI41" s="257">
        <f>'NoPlay-Cap Table'!AI41</f>
        <v>0</v>
      </c>
      <c r="AJ41" s="257">
        <f>'NoPlay-Cap Table'!AJ41</f>
        <v>0</v>
      </c>
      <c r="AK41" s="258">
        <f>'NoPlay-Cap Table'!AK41</f>
        <v>0</v>
      </c>
      <c r="AL41" s="258">
        <f>'NoPlay-Cap Table'!AL41</f>
        <v>0</v>
      </c>
      <c r="AM41" s="259">
        <f>'NoPlay-Cap Table'!AM41</f>
        <v>0</v>
      </c>
      <c r="AN41" s="1360" t="str">
        <f>'NoPlay-Cap Table'!AN41</f>
        <v>DTCV OK; Investors OK</v>
      </c>
      <c r="AO41" s="1361">
        <v>0</v>
      </c>
      <c r="AP41" s="1361">
        <v>0</v>
      </c>
      <c r="AQ41" s="257">
        <f>'NoPlay-Cap Table'!AQ41</f>
        <v>0</v>
      </c>
      <c r="AR41" s="257">
        <f>'NoPlay-Cap Table'!AR41</f>
        <v>0</v>
      </c>
      <c r="AS41" s="258">
        <f>'NoPlay-Cap Table'!AS41</f>
        <v>0</v>
      </c>
      <c r="AT41" s="258">
        <f>'NoPlay-Cap Table'!AT41</f>
        <v>0</v>
      </c>
      <c r="AU41" s="259">
        <f>'NoPlay-Cap Table'!AU41</f>
        <v>0</v>
      </c>
      <c r="AV41" s="1360" t="str">
        <f>'NoPlay-Cap Table'!AV41</f>
        <v>DTCV OK; Investors OK</v>
      </c>
      <c r="AW41" s="1361">
        <v>0</v>
      </c>
      <c r="AX41" s="1361">
        <v>0</v>
      </c>
      <c r="AY41" s="257">
        <f>'NoPlay-Cap Table'!AY41</f>
        <v>0</v>
      </c>
      <c r="AZ41" s="257">
        <f>'NoPlay-Cap Table'!AZ41</f>
        <v>0</v>
      </c>
      <c r="BA41" s="258">
        <f>'NoPlay-Cap Table'!BA41</f>
        <v>0</v>
      </c>
      <c r="BB41" s="258">
        <f>'NoPlay-Cap Table'!BB41</f>
        <v>0</v>
      </c>
      <c r="BC41" s="259">
        <f>'NoPlay-Cap Table'!BC41</f>
        <v>0</v>
      </c>
      <c r="BD41" s="1360" t="str">
        <f>'NoPlay-Cap Table'!BD41</f>
        <v>DTCV OK; Investors OK</v>
      </c>
      <c r="BE41" s="1361">
        <v>0</v>
      </c>
      <c r="BF41" s="1361">
        <v>0</v>
      </c>
      <c r="BG41" s="257">
        <f>'NoPlay-Cap Table'!BG41</f>
        <v>0</v>
      </c>
      <c r="BH41" s="257">
        <f>'NoPlay-Cap Table'!BH41</f>
        <v>0</v>
      </c>
      <c r="BI41" s="258">
        <f>'NoPlay-Cap Table'!BI41</f>
        <v>0</v>
      </c>
      <c r="BJ41" s="258">
        <f>'NoPlay-Cap Table'!BJ41</f>
        <v>0</v>
      </c>
      <c r="BK41" s="259">
        <f>'NoPlay-Cap Table'!BK41</f>
        <v>0</v>
      </c>
      <c r="BL41" s="1360" t="str">
        <f>'NoPlay-Cap Table'!BL41</f>
        <v>DTCV OK; Investors OK</v>
      </c>
      <c r="BM41" s="1361">
        <v>0</v>
      </c>
      <c r="BN41" s="1361">
        <v>0</v>
      </c>
      <c r="BO41" s="257">
        <f>'NoPlay-Cap Table'!BO41</f>
        <v>0</v>
      </c>
      <c r="BP41" s="257">
        <f>'NoPlay-Cap Table'!BP41</f>
        <v>0</v>
      </c>
      <c r="BQ41" s="258">
        <f>'NoPlay-Cap Table'!BQ41</f>
        <v>0</v>
      </c>
      <c r="BR41" s="258">
        <f>'NoPlay-Cap Table'!BR41</f>
        <v>0</v>
      </c>
      <c r="BS41" s="259">
        <f>'NoPlay-Cap Table'!BS41</f>
        <v>0</v>
      </c>
      <c r="BT41" s="1360" t="str">
        <f>'NoPlay-Cap Table'!BT41</f>
        <v>DTCV OK; Investors OK</v>
      </c>
      <c r="BU41" s="1361">
        <v>0</v>
      </c>
      <c r="BV41" s="1361">
        <v>0</v>
      </c>
      <c r="BW41" s="257">
        <f>'NoPlay-Cap Table'!BW41</f>
        <v>0</v>
      </c>
      <c r="BX41" s="257">
        <f>'NoPlay-Cap Table'!BX41</f>
        <v>0</v>
      </c>
      <c r="BY41" s="258">
        <f>'NoPlay-Cap Table'!BY41</f>
        <v>0</v>
      </c>
      <c r="BZ41" s="258">
        <f>'NoPlay-Cap Table'!BZ41</f>
        <v>0</v>
      </c>
      <c r="CA41" s="259">
        <f>'NoPlay-Cap Table'!CA41</f>
        <v>0</v>
      </c>
      <c r="CB41" s="180">
        <f>'NoPlay-Cap Table'!CB41</f>
        <v>0</v>
      </c>
      <c r="CC41" s="188">
        <f>'NoPlay-Cap Table'!CC41</f>
        <v>0</v>
      </c>
      <c r="CD41" s="180"/>
      <c r="CE41" s="180"/>
    </row>
    <row r="42" spans="1:83" s="255" customFormat="1" ht="15.75" customHeight="1" x14ac:dyDescent="0.35">
      <c r="A42" s="254"/>
      <c r="B42" s="254"/>
      <c r="D42" s="255">
        <f>'NoPlay-Cap Table'!D42</f>
        <v>0</v>
      </c>
      <c r="E42" s="255">
        <f>'NoPlay-Cap Table'!E42</f>
        <v>0</v>
      </c>
      <c r="F42" s="255">
        <f>'NoPlay-Cap Table'!F42</f>
        <v>0</v>
      </c>
      <c r="G42" s="255">
        <f>'NoPlay-Cap Table'!G42</f>
        <v>0</v>
      </c>
      <c r="H42" s="260">
        <f>'NoPlay-Cap Table'!H42</f>
        <v>0</v>
      </c>
      <c r="I42" s="260">
        <f>'NoPlay-Cap Table'!I42</f>
        <v>0</v>
      </c>
      <c r="J42" s="260">
        <f>'NoPlay-Cap Table'!J42</f>
        <v>0</v>
      </c>
      <c r="K42" s="255">
        <f>'NoPlay-Cap Table'!K42</f>
        <v>0</v>
      </c>
      <c r="L42" s="255">
        <f>'NoPlay-Cap Table'!L42</f>
        <v>0</v>
      </c>
      <c r="M42" s="261">
        <f>'NoPlay-Cap Table'!M42</f>
        <v>0</v>
      </c>
      <c r="N42" s="261">
        <f>'NoPlay-Cap Table'!N42</f>
        <v>0</v>
      </c>
      <c r="O42" s="188">
        <f>'NoPlay-Cap Table'!O42</f>
        <v>0</v>
      </c>
      <c r="P42" s="260">
        <f>'NoPlay-Cap Table'!P42</f>
        <v>0</v>
      </c>
      <c r="Q42" s="260">
        <f>'NoPlay-Cap Table'!Q42</f>
        <v>0</v>
      </c>
      <c r="R42" s="260">
        <f>'NoPlay-Cap Table'!R42</f>
        <v>0</v>
      </c>
      <c r="S42" s="255">
        <f>'NoPlay-Cap Table'!S42</f>
        <v>0</v>
      </c>
      <c r="T42" s="255">
        <f>'NoPlay-Cap Table'!T42</f>
        <v>0</v>
      </c>
      <c r="U42" s="261">
        <f>'NoPlay-Cap Table'!U42</f>
        <v>0</v>
      </c>
      <c r="V42" s="261">
        <f>'NoPlay-Cap Table'!V42</f>
        <v>0</v>
      </c>
      <c r="W42" s="188">
        <f>'NoPlay-Cap Table'!W42</f>
        <v>0</v>
      </c>
      <c r="X42" s="260">
        <f>'NoPlay-Cap Table'!X42</f>
        <v>0</v>
      </c>
      <c r="Y42" s="260">
        <f>'NoPlay-Cap Table'!Y42</f>
        <v>0</v>
      </c>
      <c r="Z42" s="260">
        <f>'NoPlay-Cap Table'!Z42</f>
        <v>0</v>
      </c>
      <c r="AA42" s="255">
        <f>'NoPlay-Cap Table'!AA42</f>
        <v>0</v>
      </c>
      <c r="AB42" s="255">
        <f>'NoPlay-Cap Table'!AB42</f>
        <v>0</v>
      </c>
      <c r="AC42" s="261">
        <f>'NoPlay-Cap Table'!AC42</f>
        <v>0</v>
      </c>
      <c r="AD42" s="261">
        <f>'NoPlay-Cap Table'!AD42</f>
        <v>0</v>
      </c>
      <c r="AE42" s="188">
        <f>'NoPlay-Cap Table'!AE42</f>
        <v>0</v>
      </c>
      <c r="AF42" s="260">
        <f>'NoPlay-Cap Table'!AF42</f>
        <v>0</v>
      </c>
      <c r="AG42" s="260">
        <f>'NoPlay-Cap Table'!AG42</f>
        <v>0</v>
      </c>
      <c r="AH42" s="260">
        <f>'NoPlay-Cap Table'!AH42</f>
        <v>0</v>
      </c>
      <c r="AI42" s="255">
        <f>'NoPlay-Cap Table'!AI42</f>
        <v>0</v>
      </c>
      <c r="AJ42" s="255">
        <f>'NoPlay-Cap Table'!AJ42</f>
        <v>0</v>
      </c>
      <c r="AK42" s="261">
        <f>'NoPlay-Cap Table'!AK42</f>
        <v>0</v>
      </c>
      <c r="AL42" s="261">
        <f>'NoPlay-Cap Table'!AL42</f>
        <v>0</v>
      </c>
      <c r="AM42" s="188">
        <f>'NoPlay-Cap Table'!AM42</f>
        <v>0</v>
      </c>
      <c r="AN42" s="260">
        <f>'NoPlay-Cap Table'!AN42</f>
        <v>0</v>
      </c>
      <c r="AO42" s="260">
        <f>'NoPlay-Cap Table'!AO42</f>
        <v>0</v>
      </c>
      <c r="AP42" s="260">
        <f>'NoPlay-Cap Table'!AP42</f>
        <v>0</v>
      </c>
      <c r="AQ42" s="255">
        <f>'NoPlay-Cap Table'!AQ42</f>
        <v>0</v>
      </c>
      <c r="AR42" s="255">
        <f>'NoPlay-Cap Table'!AR42</f>
        <v>0</v>
      </c>
      <c r="AS42" s="261">
        <f>'NoPlay-Cap Table'!AS42</f>
        <v>0</v>
      </c>
      <c r="AT42" s="261">
        <f>'NoPlay-Cap Table'!AT42</f>
        <v>0</v>
      </c>
      <c r="AU42" s="188">
        <f>'NoPlay-Cap Table'!AU42</f>
        <v>0</v>
      </c>
      <c r="AV42" s="260">
        <f>'NoPlay-Cap Table'!AV42</f>
        <v>0</v>
      </c>
      <c r="AW42" s="260">
        <f>'NoPlay-Cap Table'!AW42</f>
        <v>0</v>
      </c>
      <c r="AX42" s="260">
        <f>'NoPlay-Cap Table'!AX42</f>
        <v>0</v>
      </c>
      <c r="AY42" s="255">
        <f>'NoPlay-Cap Table'!AY42</f>
        <v>0</v>
      </c>
      <c r="AZ42" s="255">
        <f>'NoPlay-Cap Table'!AZ42</f>
        <v>0</v>
      </c>
      <c r="BA42" s="261">
        <f>'NoPlay-Cap Table'!BA42</f>
        <v>0</v>
      </c>
      <c r="BB42" s="261">
        <f>'NoPlay-Cap Table'!BB42</f>
        <v>0</v>
      </c>
      <c r="BC42" s="188">
        <f>'NoPlay-Cap Table'!BC42</f>
        <v>0</v>
      </c>
      <c r="BD42" s="260">
        <f>'NoPlay-Cap Table'!BD42</f>
        <v>0</v>
      </c>
      <c r="BE42" s="260">
        <f>'NoPlay-Cap Table'!BE42</f>
        <v>0</v>
      </c>
      <c r="BF42" s="260">
        <f>'NoPlay-Cap Table'!BF42</f>
        <v>0</v>
      </c>
      <c r="BG42" s="255">
        <f>'NoPlay-Cap Table'!BG42</f>
        <v>0</v>
      </c>
      <c r="BH42" s="255">
        <f>'NoPlay-Cap Table'!BH42</f>
        <v>0</v>
      </c>
      <c r="BI42" s="261">
        <f>'NoPlay-Cap Table'!BI42</f>
        <v>0</v>
      </c>
      <c r="BJ42" s="261">
        <f>'NoPlay-Cap Table'!BJ42</f>
        <v>0</v>
      </c>
      <c r="BK42" s="188">
        <f>'NoPlay-Cap Table'!BK42</f>
        <v>0</v>
      </c>
      <c r="BL42" s="260">
        <f>'NoPlay-Cap Table'!BL42</f>
        <v>0</v>
      </c>
      <c r="BM42" s="260">
        <f>'NoPlay-Cap Table'!BM42</f>
        <v>0</v>
      </c>
      <c r="BN42" s="260">
        <f>'NoPlay-Cap Table'!BN42</f>
        <v>0</v>
      </c>
      <c r="BO42" s="255">
        <f>'NoPlay-Cap Table'!BO42</f>
        <v>0</v>
      </c>
      <c r="BP42" s="255">
        <f>'NoPlay-Cap Table'!BP42</f>
        <v>0</v>
      </c>
      <c r="BQ42" s="261">
        <f>'NoPlay-Cap Table'!BQ42</f>
        <v>0</v>
      </c>
      <c r="BR42" s="261">
        <f>'NoPlay-Cap Table'!BR42</f>
        <v>0</v>
      </c>
      <c r="BS42" s="188">
        <f>'NoPlay-Cap Table'!BS42</f>
        <v>0</v>
      </c>
      <c r="BT42" s="260">
        <f>'NoPlay-Cap Table'!BT42</f>
        <v>0</v>
      </c>
      <c r="BU42" s="260">
        <f>'NoPlay-Cap Table'!BU42</f>
        <v>0</v>
      </c>
      <c r="BV42" s="260">
        <f>'NoPlay-Cap Table'!BV42</f>
        <v>0</v>
      </c>
      <c r="BW42" s="255">
        <f>'NoPlay-Cap Table'!BW42</f>
        <v>0</v>
      </c>
      <c r="BX42" s="255">
        <f>'NoPlay-Cap Table'!BX42</f>
        <v>0</v>
      </c>
      <c r="BY42" s="261">
        <f>'NoPlay-Cap Table'!BY42</f>
        <v>0</v>
      </c>
      <c r="BZ42" s="261">
        <f>'NoPlay-Cap Table'!BZ42</f>
        <v>0</v>
      </c>
      <c r="CA42" s="188">
        <f>'NoPlay-Cap Table'!CA42</f>
        <v>0</v>
      </c>
      <c r="CB42" s="180">
        <f>'NoPlay-Cap Table'!CB42</f>
        <v>0</v>
      </c>
      <c r="CC42" s="188">
        <f>'NoPlay-Cap Table'!CC42</f>
        <v>0</v>
      </c>
      <c r="CD42" s="180"/>
      <c r="CE42" s="180"/>
    </row>
    <row r="43" spans="1:83" s="255" customFormat="1" ht="15.75" customHeight="1" x14ac:dyDescent="0.35">
      <c r="A43" s="254"/>
      <c r="B43" s="254"/>
      <c r="D43" s="255">
        <f>'NoPlay-Cap Table'!D43</f>
        <v>0</v>
      </c>
      <c r="E43" s="255">
        <f>'NoPlay-Cap Table'!E43</f>
        <v>0</v>
      </c>
      <c r="F43" s="255">
        <f>'NoPlay-Cap Table'!F43</f>
        <v>0</v>
      </c>
      <c r="G43" s="255">
        <f>'NoPlay-Cap Table'!G43</f>
        <v>0</v>
      </c>
      <c r="H43" s="262" t="str">
        <f>'NoPlay-Cap Table'!H43</f>
        <v>Seed Round</v>
      </c>
      <c r="I43" s="260">
        <f>'NoPlay-Cap Table'!I43</f>
        <v>0</v>
      </c>
      <c r="J43" s="260">
        <f>'NoPlay-Cap Table'!J43</f>
        <v>0</v>
      </c>
      <c r="K43" s="255">
        <f>'NoPlay-Cap Table'!K43</f>
        <v>0</v>
      </c>
      <c r="L43" s="1329" t="str">
        <f>'NoPlay-Cap Table'!L43</f>
        <v>New ESOP Calculator</v>
      </c>
      <c r="M43" s="1330">
        <v>0</v>
      </c>
      <c r="N43" s="188">
        <f>'NoPlay-Cap Table'!N43</f>
        <v>0</v>
      </c>
      <c r="O43" s="188">
        <f>'NoPlay-Cap Table'!O43</f>
        <v>0</v>
      </c>
      <c r="P43" s="263" t="str">
        <f>'NoPlay-Cap Table'!P43</f>
        <v>Series A Round</v>
      </c>
      <c r="Q43" s="260">
        <f>'NoPlay-Cap Table'!Q43</f>
        <v>0</v>
      </c>
      <c r="R43" s="260">
        <f>'NoPlay-Cap Table'!R43</f>
        <v>0</v>
      </c>
      <c r="S43" s="255">
        <f>'NoPlay-Cap Table'!S43</f>
        <v>0</v>
      </c>
      <c r="T43" s="1329" t="str">
        <f>'NoPlay-Cap Table'!T43</f>
        <v>New ESOP Calculator</v>
      </c>
      <c r="U43" s="1330">
        <v>0</v>
      </c>
      <c r="V43" s="261">
        <f>'NoPlay-Cap Table'!V43</f>
        <v>0</v>
      </c>
      <c r="W43" s="188">
        <f>'NoPlay-Cap Table'!W43</f>
        <v>0</v>
      </c>
      <c r="X43" s="263" t="str">
        <f>'NoPlay-Cap Table'!X43</f>
        <v>Series B Round</v>
      </c>
      <c r="Y43" s="260">
        <f>'NoPlay-Cap Table'!Y43</f>
        <v>0</v>
      </c>
      <c r="Z43" s="260">
        <f>'NoPlay-Cap Table'!Z43</f>
        <v>0</v>
      </c>
      <c r="AA43" s="255">
        <f>'NoPlay-Cap Table'!AA43</f>
        <v>0</v>
      </c>
      <c r="AB43" s="1329" t="str">
        <f>'NoPlay-Cap Table'!AB43</f>
        <v>New ESOP Calculator</v>
      </c>
      <c r="AC43" s="1330">
        <v>0</v>
      </c>
      <c r="AD43" s="261">
        <f>'NoPlay-Cap Table'!AD43</f>
        <v>0</v>
      </c>
      <c r="AE43" s="188">
        <f>'NoPlay-Cap Table'!AE43</f>
        <v>0</v>
      </c>
      <c r="AF43" s="263" t="str">
        <f>'NoPlay-Cap Table'!AF43</f>
        <v>Series C Round</v>
      </c>
      <c r="AG43" s="255">
        <f>'NoPlay-Cap Table'!AG43</f>
        <v>0</v>
      </c>
      <c r="AH43" s="255">
        <f>'NoPlay-Cap Table'!AH43</f>
        <v>0</v>
      </c>
      <c r="AI43" s="255">
        <f>'NoPlay-Cap Table'!AI43</f>
        <v>0</v>
      </c>
      <c r="AJ43" s="1329" t="str">
        <f>'NoPlay-Cap Table'!AJ43</f>
        <v>New ESOP Calculator</v>
      </c>
      <c r="AK43" s="1330">
        <v>0</v>
      </c>
      <c r="AL43" s="261">
        <f>'NoPlay-Cap Table'!AL43</f>
        <v>0</v>
      </c>
      <c r="AM43" s="188">
        <f>'NoPlay-Cap Table'!AM43</f>
        <v>0</v>
      </c>
      <c r="AN43" s="263" t="str">
        <f>'NoPlay-Cap Table'!AN43</f>
        <v>Series D Round</v>
      </c>
      <c r="AO43" s="255">
        <f>'NoPlay-Cap Table'!AO43</f>
        <v>0</v>
      </c>
      <c r="AP43" s="255">
        <f>'NoPlay-Cap Table'!AP43</f>
        <v>0</v>
      </c>
      <c r="AQ43" s="255">
        <f>'NoPlay-Cap Table'!AQ43</f>
        <v>0</v>
      </c>
      <c r="AR43" s="1329" t="str">
        <f>'NoPlay-Cap Table'!AR43</f>
        <v>New ESOP Calculator</v>
      </c>
      <c r="AS43" s="1330">
        <v>0</v>
      </c>
      <c r="AT43" s="261">
        <f>'NoPlay-Cap Table'!AT43</f>
        <v>0</v>
      </c>
      <c r="AU43" s="188">
        <f>'NoPlay-Cap Table'!AU43</f>
        <v>0</v>
      </c>
      <c r="AV43" s="263" t="str">
        <f>'NoPlay-Cap Table'!AV43</f>
        <v>Series E Round</v>
      </c>
      <c r="AW43" s="255">
        <f>'NoPlay-Cap Table'!AW43</f>
        <v>0</v>
      </c>
      <c r="AX43" s="255">
        <f>'NoPlay-Cap Table'!AX43</f>
        <v>0</v>
      </c>
      <c r="AY43" s="255">
        <f>'NoPlay-Cap Table'!AY43</f>
        <v>0</v>
      </c>
      <c r="AZ43" s="1329" t="str">
        <f>'NoPlay-Cap Table'!AZ43</f>
        <v>New ESOP Calculator</v>
      </c>
      <c r="BA43" s="1330">
        <v>0</v>
      </c>
      <c r="BB43" s="261">
        <f>'NoPlay-Cap Table'!BB43</f>
        <v>0</v>
      </c>
      <c r="BC43" s="188">
        <f>'NoPlay-Cap Table'!BC43</f>
        <v>0</v>
      </c>
      <c r="BD43" s="263" t="str">
        <f>'NoPlay-Cap Table'!BD43</f>
        <v>Series E-1 Round</v>
      </c>
      <c r="BE43" s="255">
        <f>'NoPlay-Cap Table'!BE43</f>
        <v>0</v>
      </c>
      <c r="BF43" s="255">
        <f>'NoPlay-Cap Table'!BF43</f>
        <v>0</v>
      </c>
      <c r="BG43" s="255">
        <f>'NoPlay-Cap Table'!BG43</f>
        <v>0</v>
      </c>
      <c r="BH43" s="1329" t="str">
        <f>'NoPlay-Cap Table'!BH43</f>
        <v>New ESOP Calculator</v>
      </c>
      <c r="BI43" s="1330">
        <v>0</v>
      </c>
      <c r="BJ43" s="261">
        <f>'NoPlay-Cap Table'!BJ43</f>
        <v>0</v>
      </c>
      <c r="BK43" s="188">
        <f>'NoPlay-Cap Table'!BK43</f>
        <v>0</v>
      </c>
      <c r="BL43" s="263" t="str">
        <f>'NoPlay-Cap Table'!BL43</f>
        <v>Series F Round</v>
      </c>
      <c r="BM43" s="255">
        <f>'NoPlay-Cap Table'!BM43</f>
        <v>0</v>
      </c>
      <c r="BN43" s="255">
        <f>'NoPlay-Cap Table'!BN43</f>
        <v>0</v>
      </c>
      <c r="BO43" s="255">
        <f>'NoPlay-Cap Table'!BO43</f>
        <v>0</v>
      </c>
      <c r="BP43" s="1329" t="str">
        <f>'NoPlay-Cap Table'!BP43</f>
        <v>New ESOP Calculator</v>
      </c>
      <c r="BQ43" s="1330">
        <v>0</v>
      </c>
      <c r="BR43" s="261">
        <f>'NoPlay-Cap Table'!BR43</f>
        <v>0</v>
      </c>
      <c r="BS43" s="188">
        <f>'NoPlay-Cap Table'!BS43</f>
        <v>0</v>
      </c>
      <c r="BT43" s="263" t="str">
        <f>'NoPlay-Cap Table'!BT43</f>
        <v>Series G Round</v>
      </c>
      <c r="BU43" s="255">
        <f>'NoPlay-Cap Table'!BU43</f>
        <v>0</v>
      </c>
      <c r="BV43" s="255">
        <f>'NoPlay-Cap Table'!BV43</f>
        <v>0</v>
      </c>
      <c r="BW43" s="255">
        <f>'NoPlay-Cap Table'!BW43</f>
        <v>0</v>
      </c>
      <c r="BX43" s="1329" t="str">
        <f>'NoPlay-Cap Table'!BX43</f>
        <v>New ESOP Calculator</v>
      </c>
      <c r="BY43" s="1330">
        <v>0</v>
      </c>
      <c r="BZ43" s="261">
        <f>'NoPlay-Cap Table'!BZ43</f>
        <v>0</v>
      </c>
      <c r="CA43" s="188">
        <f>'NoPlay-Cap Table'!CA43</f>
        <v>0</v>
      </c>
      <c r="CB43" s="180">
        <f>'NoPlay-Cap Table'!CB43</f>
        <v>0</v>
      </c>
      <c r="CC43" s="188">
        <f>'NoPlay-Cap Table'!CC43</f>
        <v>0</v>
      </c>
      <c r="CD43" s="180"/>
      <c r="CE43" s="180"/>
    </row>
    <row r="44" spans="1:83" ht="15.75" customHeight="1" x14ac:dyDescent="0.35">
      <c r="D44" s="236">
        <f>'NoPlay-Cap Table'!D44</f>
        <v>0</v>
      </c>
      <c r="E44" s="191">
        <f>'NoPlay-Cap Table'!E44</f>
        <v>0</v>
      </c>
      <c r="F44" s="191" t="str">
        <f>'NoPlay-Cap Table'!F44</f>
        <v>Pre-Money Valuation</v>
      </c>
      <c r="G44" s="191">
        <f>'NoPlay-Cap Table'!G44</f>
        <v>0</v>
      </c>
      <c r="H44" s="319" t="e">
        <f>'NoPlay-Cap Table'!H44</f>
        <v>#DIV/0!</v>
      </c>
      <c r="I44" s="192">
        <f>'NoPlay-Cap Table'!I44</f>
        <v>0</v>
      </c>
      <c r="J44" s="192">
        <f>'NoPlay-Cap Table'!J44</f>
        <v>0</v>
      </c>
      <c r="K44" s="192">
        <f>'NoPlay-Cap Table'!K44</f>
        <v>0</v>
      </c>
      <c r="L44" s="236" t="str">
        <f>'NoPlay-Cap Table'!L44</f>
        <v>Current ESOP %</v>
      </c>
      <c r="M44" s="270" t="e">
        <f>'NoPlay-Cap Table'!M44</f>
        <v>#DIV/0!</v>
      </c>
      <c r="N44" s="192">
        <f>'NoPlay-Cap Table'!N44</f>
        <v>0</v>
      </c>
      <c r="O44" s="192">
        <f>'NoPlay-Cap Table'!O44</f>
        <v>0</v>
      </c>
      <c r="P44" s="319">
        <f>'NoPlay-Cap Table'!P44</f>
        <v>0</v>
      </c>
      <c r="Q44" s="191">
        <f>'NoPlay-Cap Table'!Q44</f>
        <v>0</v>
      </c>
      <c r="R44" s="191">
        <f>'NoPlay-Cap Table'!R44</f>
        <v>0</v>
      </c>
      <c r="S44" s="191">
        <f>'NoPlay-Cap Table'!S44</f>
        <v>0</v>
      </c>
      <c r="T44" s="236" t="str">
        <f>'NoPlay-Cap Table'!T44</f>
        <v>Current ESOP %</v>
      </c>
      <c r="U44" s="270" t="e">
        <f>'NoPlay-Cap Table'!U44</f>
        <v>#DIV/0!</v>
      </c>
      <c r="V44" s="191">
        <f>'NoPlay-Cap Table'!V44</f>
        <v>0</v>
      </c>
      <c r="W44" s="191">
        <f>'NoPlay-Cap Table'!W44</f>
        <v>0</v>
      </c>
      <c r="X44" s="319">
        <f>'NoPlay-Cap Table'!X44</f>
        <v>0</v>
      </c>
      <c r="Y44" s="191">
        <f>'NoPlay-Cap Table'!Y44</f>
        <v>0</v>
      </c>
      <c r="Z44" s="191">
        <f>'NoPlay-Cap Table'!Z44</f>
        <v>0</v>
      </c>
      <c r="AA44" s="191">
        <f>'NoPlay-Cap Table'!AA44</f>
        <v>0</v>
      </c>
      <c r="AB44" s="236" t="str">
        <f>'NoPlay-Cap Table'!AB44</f>
        <v>Current ESOP %</v>
      </c>
      <c r="AC44" s="270" t="e">
        <f>'NoPlay-Cap Table'!AC44</f>
        <v>#DIV/0!</v>
      </c>
      <c r="AD44" s="191">
        <f>'NoPlay-Cap Table'!AD44</f>
        <v>0</v>
      </c>
      <c r="AE44" s="191">
        <f>'NoPlay-Cap Table'!AE44</f>
        <v>0</v>
      </c>
      <c r="AF44" s="319">
        <f>'NoPlay-Cap Table'!AF44</f>
        <v>0</v>
      </c>
      <c r="AG44" s="191">
        <f>'NoPlay-Cap Table'!AG44</f>
        <v>0</v>
      </c>
      <c r="AH44" s="191">
        <f>'NoPlay-Cap Table'!AH44</f>
        <v>0</v>
      </c>
      <c r="AI44" s="191">
        <f>'NoPlay-Cap Table'!AI44</f>
        <v>0</v>
      </c>
      <c r="AJ44" s="236" t="str">
        <f>'NoPlay-Cap Table'!AJ44</f>
        <v>Current ESOP %</v>
      </c>
      <c r="AK44" s="270" t="e">
        <f>'NoPlay-Cap Table'!AK44</f>
        <v>#DIV/0!</v>
      </c>
      <c r="AL44" s="191">
        <f>'NoPlay-Cap Table'!AL44</f>
        <v>0</v>
      </c>
      <c r="AM44" s="191">
        <f>'NoPlay-Cap Table'!AM44</f>
        <v>0</v>
      </c>
      <c r="AN44" s="319">
        <f>'NoPlay-Cap Table'!AN44</f>
        <v>0</v>
      </c>
      <c r="AO44" s="191">
        <f>'NoPlay-Cap Table'!AO44</f>
        <v>0</v>
      </c>
      <c r="AP44" s="191">
        <f>'NoPlay-Cap Table'!AP44</f>
        <v>0</v>
      </c>
      <c r="AQ44" s="191">
        <f>'NoPlay-Cap Table'!AQ44</f>
        <v>0</v>
      </c>
      <c r="AR44" s="236" t="str">
        <f>'NoPlay-Cap Table'!AR44</f>
        <v>Current ESOP %</v>
      </c>
      <c r="AS44" s="270" t="e">
        <f>'NoPlay-Cap Table'!AS44</f>
        <v>#DIV/0!</v>
      </c>
      <c r="AT44" s="191">
        <f>'NoPlay-Cap Table'!AT44</f>
        <v>0</v>
      </c>
      <c r="AU44" s="191">
        <f>'NoPlay-Cap Table'!AU44</f>
        <v>0</v>
      </c>
      <c r="AV44" s="319">
        <f>'NoPlay-Cap Table'!AV44</f>
        <v>0</v>
      </c>
      <c r="AW44" s="191">
        <f>'NoPlay-Cap Table'!AW44</f>
        <v>0</v>
      </c>
      <c r="AX44" s="191">
        <f>'NoPlay-Cap Table'!AX44</f>
        <v>0</v>
      </c>
      <c r="AY44" s="191">
        <f>'NoPlay-Cap Table'!AY44</f>
        <v>0</v>
      </c>
      <c r="AZ44" s="236" t="str">
        <f>'NoPlay-Cap Table'!AZ44</f>
        <v>Current ESOP %</v>
      </c>
      <c r="BA44" s="270" t="e">
        <f>'NoPlay-Cap Table'!BA44</f>
        <v>#DIV/0!</v>
      </c>
      <c r="BB44" s="191">
        <f>'NoPlay-Cap Table'!BB44</f>
        <v>0</v>
      </c>
      <c r="BC44" s="191">
        <f>'NoPlay-Cap Table'!BC44</f>
        <v>0</v>
      </c>
      <c r="BD44" s="319">
        <f>'NoPlay-Cap Table'!BD44</f>
        <v>0</v>
      </c>
      <c r="BE44" s="191">
        <f>'NoPlay-Cap Table'!BE44</f>
        <v>0</v>
      </c>
      <c r="BF44" s="191">
        <f>'NoPlay-Cap Table'!BF44</f>
        <v>0</v>
      </c>
      <c r="BG44" s="191">
        <f>'NoPlay-Cap Table'!BG44</f>
        <v>0</v>
      </c>
      <c r="BH44" s="236" t="str">
        <f>'NoPlay-Cap Table'!BH44</f>
        <v>Current ESOP %</v>
      </c>
      <c r="BI44" s="270" t="e">
        <f>'NoPlay-Cap Table'!BI44</f>
        <v>#DIV/0!</v>
      </c>
      <c r="BJ44" s="191">
        <f>'NoPlay-Cap Table'!BJ44</f>
        <v>0</v>
      </c>
      <c r="BK44" s="191">
        <f>'NoPlay-Cap Table'!BK44</f>
        <v>0</v>
      </c>
      <c r="BL44" s="319">
        <f>'NoPlay-Cap Table'!BL44</f>
        <v>0</v>
      </c>
      <c r="BM44" s="191">
        <f>'NoPlay-Cap Table'!BM44</f>
        <v>0</v>
      </c>
      <c r="BN44" s="191">
        <f>'NoPlay-Cap Table'!BN44</f>
        <v>0</v>
      </c>
      <c r="BO44" s="191">
        <f>'NoPlay-Cap Table'!BO44</f>
        <v>0</v>
      </c>
      <c r="BP44" s="236" t="str">
        <f>'NoPlay-Cap Table'!BP44</f>
        <v>Current ESOP %</v>
      </c>
      <c r="BQ44" s="270" t="e">
        <f>'NoPlay-Cap Table'!BQ44</f>
        <v>#DIV/0!</v>
      </c>
      <c r="BR44" s="191">
        <f>'NoPlay-Cap Table'!BR44</f>
        <v>0</v>
      </c>
      <c r="BS44" s="191">
        <f>'NoPlay-Cap Table'!BS44</f>
        <v>0</v>
      </c>
      <c r="BT44" s="319">
        <f>'NoPlay-Cap Table'!BT44</f>
        <v>0</v>
      </c>
      <c r="BU44" s="191">
        <f>'NoPlay-Cap Table'!BU44</f>
        <v>0</v>
      </c>
      <c r="BV44" s="191">
        <f>'NoPlay-Cap Table'!BV44</f>
        <v>0</v>
      </c>
      <c r="BW44" s="191">
        <f>'NoPlay-Cap Table'!BW44</f>
        <v>0</v>
      </c>
      <c r="BX44" s="236" t="str">
        <f>'NoPlay-Cap Table'!BX44</f>
        <v>Current ESOP %</v>
      </c>
      <c r="BY44" s="270" t="e">
        <f>'NoPlay-Cap Table'!BY44</f>
        <v>#DIV/0!</v>
      </c>
      <c r="BZ44" s="191">
        <f>'NoPlay-Cap Table'!BZ44</f>
        <v>0</v>
      </c>
      <c r="CA44" s="191">
        <f>'NoPlay-Cap Table'!CA44</f>
        <v>0</v>
      </c>
      <c r="CB44" s="181">
        <f>'NoPlay-Cap Table'!CB44</f>
        <v>0</v>
      </c>
      <c r="CC44" s="191">
        <f>'NoPlay-Cap Table'!CC44</f>
        <v>0</v>
      </c>
    </row>
    <row r="45" spans="1:83" ht="15.75" customHeight="1" x14ac:dyDescent="0.35">
      <c r="D45" s="236">
        <f>'NoPlay-Cap Table'!D45</f>
        <v>0</v>
      </c>
      <c r="E45" s="191">
        <f>'NoPlay-Cap Table'!E45</f>
        <v>0</v>
      </c>
      <c r="F45" s="191" t="str">
        <f>'NoPlay-Cap Table'!F45</f>
        <v>Money Raised</v>
      </c>
      <c r="G45" s="191">
        <f>'NoPlay-Cap Table'!G45</f>
        <v>0</v>
      </c>
      <c r="H45" s="319" t="e">
        <f>'NoPlay-Cap Table'!H45</f>
        <v>#DIV/0!</v>
      </c>
      <c r="I45" s="192">
        <f>'NoPlay-Cap Table'!I45</f>
        <v>0</v>
      </c>
      <c r="J45" s="192">
        <f>'NoPlay-Cap Table'!J45</f>
        <v>0</v>
      </c>
      <c r="K45" s="192">
        <f>'NoPlay-Cap Table'!K45</f>
        <v>0</v>
      </c>
      <c r="L45" s="236" t="str">
        <f>'NoPlay-Cap Table'!L45</f>
        <v>Target %</v>
      </c>
      <c r="M45" s="271">
        <f>'NoPlay-Cap Table'!M45</f>
        <v>0</v>
      </c>
      <c r="N45" s="192">
        <f>'NoPlay-Cap Table'!N45</f>
        <v>0</v>
      </c>
      <c r="O45" s="192">
        <f>'NoPlay-Cap Table'!O45</f>
        <v>0</v>
      </c>
      <c r="P45" s="319">
        <f>'NoPlay-Cap Table'!P45</f>
        <v>0</v>
      </c>
      <c r="Q45" s="191">
        <f>'NoPlay-Cap Table'!Q45</f>
        <v>0</v>
      </c>
      <c r="R45" s="191">
        <f>'NoPlay-Cap Table'!R45</f>
        <v>0</v>
      </c>
      <c r="S45" s="191">
        <f>'NoPlay-Cap Table'!S45</f>
        <v>0</v>
      </c>
      <c r="T45" s="236" t="str">
        <f>'NoPlay-Cap Table'!T45</f>
        <v>Target %</v>
      </c>
      <c r="U45" s="271">
        <f>'NoPlay-Cap Table'!U45</f>
        <v>0</v>
      </c>
      <c r="V45" s="191">
        <f>'NoPlay-Cap Table'!V45</f>
        <v>0</v>
      </c>
      <c r="W45" s="191">
        <f>'NoPlay-Cap Table'!W45</f>
        <v>0</v>
      </c>
      <c r="X45" s="319">
        <f>'NoPlay-Cap Table'!X45</f>
        <v>0</v>
      </c>
      <c r="Y45" s="191">
        <f>'NoPlay-Cap Table'!Y45</f>
        <v>0</v>
      </c>
      <c r="Z45" s="191">
        <f>'NoPlay-Cap Table'!Z45</f>
        <v>0</v>
      </c>
      <c r="AA45" s="191">
        <f>'NoPlay-Cap Table'!AA45</f>
        <v>0</v>
      </c>
      <c r="AB45" s="236" t="str">
        <f>'NoPlay-Cap Table'!AB45</f>
        <v>Target %</v>
      </c>
      <c r="AC45" s="271">
        <f>'NoPlay-Cap Table'!AC45</f>
        <v>0</v>
      </c>
      <c r="AD45" s="191">
        <f>'NoPlay-Cap Table'!AD45</f>
        <v>0</v>
      </c>
      <c r="AE45" s="191">
        <f>'NoPlay-Cap Table'!AE45</f>
        <v>0</v>
      </c>
      <c r="AF45" s="319">
        <f>'NoPlay-Cap Table'!AF45</f>
        <v>0</v>
      </c>
      <c r="AG45" s="191">
        <f>'NoPlay-Cap Table'!AG45</f>
        <v>0</v>
      </c>
      <c r="AH45" s="191">
        <f>'NoPlay-Cap Table'!AH45</f>
        <v>0</v>
      </c>
      <c r="AI45" s="191">
        <f>'NoPlay-Cap Table'!AI45</f>
        <v>0</v>
      </c>
      <c r="AJ45" s="236" t="str">
        <f>'NoPlay-Cap Table'!AJ45</f>
        <v>Target %</v>
      </c>
      <c r="AK45" s="271">
        <f>'NoPlay-Cap Table'!AK45</f>
        <v>0</v>
      </c>
      <c r="AL45" s="191">
        <f>'NoPlay-Cap Table'!AL45</f>
        <v>0</v>
      </c>
      <c r="AM45" s="191">
        <f>'NoPlay-Cap Table'!AM45</f>
        <v>0</v>
      </c>
      <c r="AN45" s="319">
        <f>'NoPlay-Cap Table'!AN45</f>
        <v>0</v>
      </c>
      <c r="AO45" s="191">
        <f>'NoPlay-Cap Table'!AO45</f>
        <v>0</v>
      </c>
      <c r="AP45" s="191">
        <f>'NoPlay-Cap Table'!AP45</f>
        <v>0</v>
      </c>
      <c r="AQ45" s="191">
        <f>'NoPlay-Cap Table'!AQ45</f>
        <v>0</v>
      </c>
      <c r="AR45" s="236" t="str">
        <f>'NoPlay-Cap Table'!AR45</f>
        <v>Target %</v>
      </c>
      <c r="AS45" s="271">
        <f>'NoPlay-Cap Table'!AS45</f>
        <v>0</v>
      </c>
      <c r="AT45" s="191">
        <f>'NoPlay-Cap Table'!AT45</f>
        <v>0</v>
      </c>
      <c r="AU45" s="191">
        <f>'NoPlay-Cap Table'!AU45</f>
        <v>0</v>
      </c>
      <c r="AV45" s="319">
        <f>'NoPlay-Cap Table'!AV45</f>
        <v>0</v>
      </c>
      <c r="AW45" s="191">
        <f>'NoPlay-Cap Table'!AW45</f>
        <v>0</v>
      </c>
      <c r="AX45" s="191">
        <f>'NoPlay-Cap Table'!AX45</f>
        <v>0</v>
      </c>
      <c r="AY45" s="191">
        <f>'NoPlay-Cap Table'!AY45</f>
        <v>0</v>
      </c>
      <c r="AZ45" s="236" t="str">
        <f>'NoPlay-Cap Table'!AZ45</f>
        <v>Target %</v>
      </c>
      <c r="BA45" s="271">
        <f>'NoPlay-Cap Table'!BA45</f>
        <v>0</v>
      </c>
      <c r="BB45" s="191">
        <f>'NoPlay-Cap Table'!BB45</f>
        <v>0</v>
      </c>
      <c r="BC45" s="191">
        <f>'NoPlay-Cap Table'!BC45</f>
        <v>0</v>
      </c>
      <c r="BD45" s="319">
        <f>'NoPlay-Cap Table'!BD45</f>
        <v>0</v>
      </c>
      <c r="BE45" s="191">
        <f>'NoPlay-Cap Table'!BE45</f>
        <v>0</v>
      </c>
      <c r="BF45" s="191">
        <f>'NoPlay-Cap Table'!BF45</f>
        <v>0</v>
      </c>
      <c r="BG45" s="191">
        <f>'NoPlay-Cap Table'!BG45</f>
        <v>0</v>
      </c>
      <c r="BH45" s="236" t="str">
        <f>'NoPlay-Cap Table'!BH45</f>
        <v>Target %</v>
      </c>
      <c r="BI45" s="271">
        <f>'NoPlay-Cap Table'!BI45</f>
        <v>0</v>
      </c>
      <c r="BJ45" s="191">
        <f>'NoPlay-Cap Table'!BJ45</f>
        <v>0</v>
      </c>
      <c r="BK45" s="191">
        <f>'NoPlay-Cap Table'!BK45</f>
        <v>0</v>
      </c>
      <c r="BL45" s="319">
        <f>'NoPlay-Cap Table'!BL45</f>
        <v>0</v>
      </c>
      <c r="BM45" s="191">
        <f>'NoPlay-Cap Table'!BM45</f>
        <v>0</v>
      </c>
      <c r="BN45" s="191">
        <f>'NoPlay-Cap Table'!BN45</f>
        <v>0</v>
      </c>
      <c r="BO45" s="191">
        <f>'NoPlay-Cap Table'!BO45</f>
        <v>0</v>
      </c>
      <c r="BP45" s="236" t="str">
        <f>'NoPlay-Cap Table'!BP45</f>
        <v>Target %</v>
      </c>
      <c r="BQ45" s="271">
        <f>'NoPlay-Cap Table'!BQ45</f>
        <v>0</v>
      </c>
      <c r="BR45" s="191">
        <f>'NoPlay-Cap Table'!BR45</f>
        <v>0</v>
      </c>
      <c r="BS45" s="191">
        <f>'NoPlay-Cap Table'!BS45</f>
        <v>0</v>
      </c>
      <c r="BT45" s="319">
        <f>'NoPlay-Cap Table'!BT45</f>
        <v>0</v>
      </c>
      <c r="BU45" s="191">
        <f>'NoPlay-Cap Table'!BU45</f>
        <v>0</v>
      </c>
      <c r="BV45" s="191">
        <f>'NoPlay-Cap Table'!BV45</f>
        <v>0</v>
      </c>
      <c r="BW45" s="191">
        <f>'NoPlay-Cap Table'!BW45</f>
        <v>0</v>
      </c>
      <c r="BX45" s="236" t="str">
        <f>'NoPlay-Cap Table'!BX45</f>
        <v>Target %</v>
      </c>
      <c r="BY45" s="271">
        <f>'NoPlay-Cap Table'!BY45</f>
        <v>0</v>
      </c>
      <c r="BZ45" s="191">
        <f>'NoPlay-Cap Table'!BZ45</f>
        <v>0</v>
      </c>
      <c r="CA45" s="191">
        <f>'NoPlay-Cap Table'!CA45</f>
        <v>0</v>
      </c>
      <c r="CB45" s="181">
        <f>'NoPlay-Cap Table'!CB45</f>
        <v>0</v>
      </c>
      <c r="CC45" s="191">
        <f>'NoPlay-Cap Table'!CC45</f>
        <v>0</v>
      </c>
    </row>
    <row r="46" spans="1:83" ht="15.75" customHeight="1" x14ac:dyDescent="0.35">
      <c r="D46" s="236">
        <f>'NoPlay-Cap Table'!D46</f>
        <v>0</v>
      </c>
      <c r="E46" s="191">
        <f>'NoPlay-Cap Table'!E46</f>
        <v>0</v>
      </c>
      <c r="F46" s="191" t="str">
        <f>'NoPlay-Cap Table'!F46</f>
        <v>Post-Money Valuation</v>
      </c>
      <c r="G46" s="191">
        <f>'NoPlay-Cap Table'!G46</f>
        <v>0</v>
      </c>
      <c r="H46" s="319" t="e">
        <f>'NoPlay-Cap Table'!H46</f>
        <v>#DIV/0!</v>
      </c>
      <c r="I46" s="192">
        <f>'NoPlay-Cap Table'!I46</f>
        <v>0</v>
      </c>
      <c r="J46" s="192">
        <f>'NoPlay-Cap Table'!J46</f>
        <v>0</v>
      </c>
      <c r="K46" s="192">
        <f>'NoPlay-Cap Table'!K46</f>
        <v>0</v>
      </c>
      <c r="L46" s="236" t="str">
        <f>'NoPlay-Cap Table'!L46</f>
        <v>∆ #ESOP needed:</v>
      </c>
      <c r="M46" s="272">
        <f>'NoPlay-Cap Table'!M46</f>
        <v>0</v>
      </c>
      <c r="N46" s="192">
        <f>'NoPlay-Cap Table'!N46</f>
        <v>0</v>
      </c>
      <c r="O46" s="192">
        <f>'NoPlay-Cap Table'!O46</f>
        <v>0</v>
      </c>
      <c r="P46" s="319">
        <f>'NoPlay-Cap Table'!P46</f>
        <v>0</v>
      </c>
      <c r="Q46" s="191">
        <f>'NoPlay-Cap Table'!Q46</f>
        <v>0</v>
      </c>
      <c r="R46" s="191">
        <f>'NoPlay-Cap Table'!R46</f>
        <v>0</v>
      </c>
      <c r="S46" s="191">
        <f>'NoPlay-Cap Table'!S46</f>
        <v>0</v>
      </c>
      <c r="T46" s="236" t="str">
        <f>'NoPlay-Cap Table'!T46</f>
        <v>∆ #ESOP needed:</v>
      </c>
      <c r="U46" s="272">
        <f>'NoPlay-Cap Table'!U46</f>
        <v>0</v>
      </c>
      <c r="V46" s="191">
        <f>'NoPlay-Cap Table'!V46</f>
        <v>0</v>
      </c>
      <c r="W46" s="191">
        <f>'NoPlay-Cap Table'!W46</f>
        <v>0</v>
      </c>
      <c r="X46" s="319">
        <f>'NoPlay-Cap Table'!X46</f>
        <v>0</v>
      </c>
      <c r="Y46" s="191">
        <f>'NoPlay-Cap Table'!Y46</f>
        <v>0</v>
      </c>
      <c r="Z46" s="191">
        <f>'NoPlay-Cap Table'!Z46</f>
        <v>0</v>
      </c>
      <c r="AA46" s="191">
        <f>'NoPlay-Cap Table'!AA46</f>
        <v>0</v>
      </c>
      <c r="AB46" s="236" t="str">
        <f>'NoPlay-Cap Table'!AB46</f>
        <v>∆ #ESOP needed:</v>
      </c>
      <c r="AC46" s="272">
        <f>'NoPlay-Cap Table'!AC46</f>
        <v>0</v>
      </c>
      <c r="AD46" s="191">
        <f>'NoPlay-Cap Table'!AD46</f>
        <v>0</v>
      </c>
      <c r="AE46" s="191">
        <f>'NoPlay-Cap Table'!AE46</f>
        <v>0</v>
      </c>
      <c r="AF46" s="319">
        <f>'NoPlay-Cap Table'!AF46</f>
        <v>0</v>
      </c>
      <c r="AG46" s="191">
        <f>'NoPlay-Cap Table'!AG46</f>
        <v>0</v>
      </c>
      <c r="AH46" s="191">
        <f>'NoPlay-Cap Table'!AH46</f>
        <v>0</v>
      </c>
      <c r="AI46" s="191">
        <f>'NoPlay-Cap Table'!AI46</f>
        <v>0</v>
      </c>
      <c r="AJ46" s="236" t="str">
        <f>'NoPlay-Cap Table'!AJ46</f>
        <v>∆ #ESOP needed:</v>
      </c>
      <c r="AK46" s="272">
        <f>'NoPlay-Cap Table'!AK46</f>
        <v>0</v>
      </c>
      <c r="AL46" s="191">
        <f>'NoPlay-Cap Table'!AL46</f>
        <v>0</v>
      </c>
      <c r="AM46" s="191">
        <f>'NoPlay-Cap Table'!AM46</f>
        <v>0</v>
      </c>
      <c r="AN46" s="319">
        <f>'NoPlay-Cap Table'!AN46</f>
        <v>0</v>
      </c>
      <c r="AO46" s="191">
        <f>'NoPlay-Cap Table'!AO46</f>
        <v>0</v>
      </c>
      <c r="AP46" s="191">
        <f>'NoPlay-Cap Table'!AP46</f>
        <v>0</v>
      </c>
      <c r="AQ46" s="191">
        <f>'NoPlay-Cap Table'!AQ46</f>
        <v>0</v>
      </c>
      <c r="AR46" s="236" t="str">
        <f>'NoPlay-Cap Table'!AR46</f>
        <v>∆ #ESOP needed:</v>
      </c>
      <c r="AS46" s="272">
        <f>'NoPlay-Cap Table'!AS46</f>
        <v>0</v>
      </c>
      <c r="AT46" s="191">
        <f>'NoPlay-Cap Table'!AT46</f>
        <v>0</v>
      </c>
      <c r="AU46" s="191">
        <f>'NoPlay-Cap Table'!AU46</f>
        <v>0</v>
      </c>
      <c r="AV46" s="319">
        <f>'NoPlay-Cap Table'!AV46</f>
        <v>0</v>
      </c>
      <c r="AW46" s="191">
        <f>'NoPlay-Cap Table'!AW46</f>
        <v>0</v>
      </c>
      <c r="AX46" s="191">
        <f>'NoPlay-Cap Table'!AX46</f>
        <v>0</v>
      </c>
      <c r="AY46" s="191">
        <f>'NoPlay-Cap Table'!AY46</f>
        <v>0</v>
      </c>
      <c r="AZ46" s="236" t="str">
        <f>'NoPlay-Cap Table'!AZ46</f>
        <v>∆ #ESOP needed:</v>
      </c>
      <c r="BA46" s="272">
        <f>'NoPlay-Cap Table'!BA46</f>
        <v>0</v>
      </c>
      <c r="BB46" s="191">
        <f>'NoPlay-Cap Table'!BB46</f>
        <v>0</v>
      </c>
      <c r="BC46" s="191">
        <f>'NoPlay-Cap Table'!BC46</f>
        <v>0</v>
      </c>
      <c r="BD46" s="319">
        <f>'NoPlay-Cap Table'!BD46</f>
        <v>0</v>
      </c>
      <c r="BE46" s="191">
        <f>'NoPlay-Cap Table'!BE46</f>
        <v>0</v>
      </c>
      <c r="BF46" s="191">
        <f>'NoPlay-Cap Table'!BF46</f>
        <v>0</v>
      </c>
      <c r="BG46" s="191">
        <f>'NoPlay-Cap Table'!BG46</f>
        <v>0</v>
      </c>
      <c r="BH46" s="236" t="str">
        <f>'NoPlay-Cap Table'!BH46</f>
        <v>∆ #ESOP needed:</v>
      </c>
      <c r="BI46" s="272">
        <f>'NoPlay-Cap Table'!BI46</f>
        <v>0</v>
      </c>
      <c r="BJ46" s="191">
        <f>'NoPlay-Cap Table'!BJ46</f>
        <v>0</v>
      </c>
      <c r="BK46" s="191">
        <f>'NoPlay-Cap Table'!BK46</f>
        <v>0</v>
      </c>
      <c r="BL46" s="319">
        <f>'NoPlay-Cap Table'!BL46</f>
        <v>0</v>
      </c>
      <c r="BM46" s="191">
        <f>'NoPlay-Cap Table'!BM46</f>
        <v>0</v>
      </c>
      <c r="BN46" s="191">
        <f>'NoPlay-Cap Table'!BN46</f>
        <v>0</v>
      </c>
      <c r="BO46" s="191">
        <f>'NoPlay-Cap Table'!BO46</f>
        <v>0</v>
      </c>
      <c r="BP46" s="236" t="str">
        <f>'NoPlay-Cap Table'!BP46</f>
        <v>∆ #ESOP needed:</v>
      </c>
      <c r="BQ46" s="272">
        <f>'NoPlay-Cap Table'!BQ46</f>
        <v>0</v>
      </c>
      <c r="BR46" s="191">
        <f>'NoPlay-Cap Table'!BR46</f>
        <v>0</v>
      </c>
      <c r="BS46" s="191">
        <f>'NoPlay-Cap Table'!BS46</f>
        <v>0</v>
      </c>
      <c r="BT46" s="319">
        <f>'NoPlay-Cap Table'!BT46</f>
        <v>0</v>
      </c>
      <c r="BU46" s="191">
        <f>'NoPlay-Cap Table'!BU46</f>
        <v>0</v>
      </c>
      <c r="BV46" s="191">
        <f>'NoPlay-Cap Table'!BV46</f>
        <v>0</v>
      </c>
      <c r="BW46" s="191">
        <f>'NoPlay-Cap Table'!BW46</f>
        <v>0</v>
      </c>
      <c r="BX46" s="236" t="str">
        <f>'NoPlay-Cap Table'!BX46</f>
        <v>∆ #ESOP needed:</v>
      </c>
      <c r="BY46" s="272">
        <f>'NoPlay-Cap Table'!BY46</f>
        <v>0</v>
      </c>
      <c r="BZ46" s="191">
        <f>'NoPlay-Cap Table'!BZ46</f>
        <v>0</v>
      </c>
      <c r="CA46" s="191">
        <f>'NoPlay-Cap Table'!CA46</f>
        <v>0</v>
      </c>
      <c r="CB46" s="181">
        <f>'NoPlay-Cap Table'!CB46</f>
        <v>0</v>
      </c>
      <c r="CC46" s="191">
        <f>'NoPlay-Cap Table'!CC46</f>
        <v>0</v>
      </c>
    </row>
    <row r="47" spans="1:83" s="207" customFormat="1" ht="12" customHeight="1" x14ac:dyDescent="0.3">
      <c r="D47" s="344">
        <f>'NoPlay-Cap Table'!D47</f>
        <v>0</v>
      </c>
      <c r="E47" s="207">
        <f>'NoPlay-Cap Table'!E47</f>
        <v>0</v>
      </c>
      <c r="F47" s="207" t="str">
        <f>'NoPlay-Cap Table'!F47</f>
        <v>Validation</v>
      </c>
      <c r="G47" s="207">
        <f>'NoPlay-Cap Table'!G47</f>
        <v>0</v>
      </c>
      <c r="H47" s="322" t="e">
        <f>'NoPlay-Cap Table'!H47</f>
        <v>#DIV/0!</v>
      </c>
      <c r="I47" s="207">
        <f>'NoPlay-Cap Table'!I47</f>
        <v>0</v>
      </c>
      <c r="J47" s="207">
        <f>'NoPlay-Cap Table'!J47</f>
        <v>0</v>
      </c>
      <c r="K47" s="207">
        <f>'NoPlay-Cap Table'!K47</f>
        <v>0</v>
      </c>
      <c r="L47" s="207">
        <f>'NoPlay-Cap Table'!L47</f>
        <v>0</v>
      </c>
      <c r="M47" s="207">
        <f>'NoPlay-Cap Table'!M47</f>
        <v>0</v>
      </c>
      <c r="N47" s="207">
        <f>'NoPlay-Cap Table'!N47</f>
        <v>0</v>
      </c>
      <c r="O47" s="207">
        <f>'NoPlay-Cap Table'!O47</f>
        <v>0</v>
      </c>
      <c r="P47" s="322">
        <f>'NoPlay-Cap Table'!P47</f>
        <v>0</v>
      </c>
      <c r="Q47" s="207">
        <f>'NoPlay-Cap Table'!Q47</f>
        <v>0</v>
      </c>
      <c r="R47" s="207">
        <f>'NoPlay-Cap Table'!R47</f>
        <v>0</v>
      </c>
      <c r="S47" s="207">
        <f>'NoPlay-Cap Table'!S47</f>
        <v>0</v>
      </c>
      <c r="T47" s="207">
        <f>'NoPlay-Cap Table'!T47</f>
        <v>0</v>
      </c>
      <c r="U47" s="207">
        <f>'NoPlay-Cap Table'!U47</f>
        <v>0</v>
      </c>
      <c r="V47" s="207">
        <f>'NoPlay-Cap Table'!V47</f>
        <v>0</v>
      </c>
      <c r="W47" s="207">
        <f>'NoPlay-Cap Table'!W47</f>
        <v>0</v>
      </c>
      <c r="X47" s="322">
        <f>'NoPlay-Cap Table'!X47</f>
        <v>0</v>
      </c>
      <c r="Y47" s="207">
        <f>'NoPlay-Cap Table'!Y47</f>
        <v>0</v>
      </c>
      <c r="Z47" s="207">
        <f>'NoPlay-Cap Table'!Z47</f>
        <v>0</v>
      </c>
      <c r="AA47" s="207">
        <f>'NoPlay-Cap Table'!AA47</f>
        <v>0</v>
      </c>
      <c r="AB47" s="207">
        <f>'NoPlay-Cap Table'!AB47</f>
        <v>0</v>
      </c>
      <c r="AC47" s="207">
        <f>'NoPlay-Cap Table'!AC47</f>
        <v>0</v>
      </c>
      <c r="AD47" s="207">
        <f>'NoPlay-Cap Table'!AD47</f>
        <v>0</v>
      </c>
      <c r="AE47" s="207">
        <f>'NoPlay-Cap Table'!AE47</f>
        <v>0</v>
      </c>
      <c r="AF47" s="322">
        <f>'NoPlay-Cap Table'!AF47</f>
        <v>0</v>
      </c>
      <c r="AG47" s="207">
        <f>'NoPlay-Cap Table'!AG47</f>
        <v>0</v>
      </c>
      <c r="AH47" s="207">
        <f>'NoPlay-Cap Table'!AH47</f>
        <v>0</v>
      </c>
      <c r="AI47" s="207">
        <f>'NoPlay-Cap Table'!AI47</f>
        <v>0</v>
      </c>
      <c r="AJ47" s="207">
        <f>'NoPlay-Cap Table'!AJ47</f>
        <v>0</v>
      </c>
      <c r="AK47" s="207">
        <f>'NoPlay-Cap Table'!AK47</f>
        <v>0</v>
      </c>
      <c r="AL47" s="207">
        <f>'NoPlay-Cap Table'!AL47</f>
        <v>0</v>
      </c>
      <c r="AM47" s="207">
        <f>'NoPlay-Cap Table'!AM47</f>
        <v>0</v>
      </c>
      <c r="AN47" s="322">
        <f>'NoPlay-Cap Table'!AN47</f>
        <v>0</v>
      </c>
      <c r="AO47" s="207">
        <f>'NoPlay-Cap Table'!AO47</f>
        <v>0</v>
      </c>
      <c r="AP47" s="207">
        <f>'NoPlay-Cap Table'!AP47</f>
        <v>0</v>
      </c>
      <c r="AQ47" s="207">
        <f>'NoPlay-Cap Table'!AQ47</f>
        <v>0</v>
      </c>
      <c r="AR47" s="207">
        <f>'NoPlay-Cap Table'!AR47</f>
        <v>0</v>
      </c>
      <c r="AS47" s="207">
        <f>'NoPlay-Cap Table'!AS47</f>
        <v>0</v>
      </c>
      <c r="AT47" s="207">
        <f>'NoPlay-Cap Table'!AT47</f>
        <v>0</v>
      </c>
      <c r="AU47" s="207">
        <f>'NoPlay-Cap Table'!AU47</f>
        <v>0</v>
      </c>
      <c r="AV47" s="322">
        <f>'NoPlay-Cap Table'!AV47</f>
        <v>0</v>
      </c>
      <c r="AW47" s="207">
        <f>'NoPlay-Cap Table'!AW47</f>
        <v>0</v>
      </c>
      <c r="AX47" s="207">
        <f>'NoPlay-Cap Table'!AX47</f>
        <v>0</v>
      </c>
      <c r="AY47" s="207">
        <f>'NoPlay-Cap Table'!AY47</f>
        <v>0</v>
      </c>
      <c r="AZ47" s="207">
        <f>'NoPlay-Cap Table'!AZ47</f>
        <v>0</v>
      </c>
      <c r="BA47" s="207">
        <f>'NoPlay-Cap Table'!BA47</f>
        <v>0</v>
      </c>
      <c r="BB47" s="207">
        <f>'NoPlay-Cap Table'!BB47</f>
        <v>0</v>
      </c>
      <c r="BC47" s="207">
        <f>'NoPlay-Cap Table'!BC47</f>
        <v>0</v>
      </c>
      <c r="BD47" s="322">
        <f>'NoPlay-Cap Table'!BD47</f>
        <v>0</v>
      </c>
      <c r="BE47" s="207">
        <f>'NoPlay-Cap Table'!BE47</f>
        <v>0</v>
      </c>
      <c r="BF47" s="207">
        <f>'NoPlay-Cap Table'!BF47</f>
        <v>0</v>
      </c>
      <c r="BG47" s="207">
        <f>'NoPlay-Cap Table'!BG47</f>
        <v>0</v>
      </c>
      <c r="BH47" s="207">
        <f>'NoPlay-Cap Table'!BH47</f>
        <v>0</v>
      </c>
      <c r="BI47" s="207">
        <f>'NoPlay-Cap Table'!BI47</f>
        <v>0</v>
      </c>
      <c r="BJ47" s="207">
        <f>'NoPlay-Cap Table'!BJ47</f>
        <v>0</v>
      </c>
      <c r="BK47" s="207">
        <f>'NoPlay-Cap Table'!BK47</f>
        <v>0</v>
      </c>
      <c r="BL47" s="322">
        <f>'NoPlay-Cap Table'!BL47</f>
        <v>0</v>
      </c>
      <c r="BM47" s="207">
        <f>'NoPlay-Cap Table'!BM47</f>
        <v>0</v>
      </c>
      <c r="BN47" s="207">
        <f>'NoPlay-Cap Table'!BN47</f>
        <v>0</v>
      </c>
      <c r="BO47" s="207">
        <f>'NoPlay-Cap Table'!BO47</f>
        <v>0</v>
      </c>
      <c r="BP47" s="207">
        <f>'NoPlay-Cap Table'!BP47</f>
        <v>0</v>
      </c>
      <c r="BQ47" s="207">
        <f>'NoPlay-Cap Table'!BQ47</f>
        <v>0</v>
      </c>
      <c r="BR47" s="207">
        <f>'NoPlay-Cap Table'!BR47</f>
        <v>0</v>
      </c>
      <c r="BS47" s="207">
        <f>'NoPlay-Cap Table'!BS47</f>
        <v>0</v>
      </c>
      <c r="BT47" s="322">
        <f>'NoPlay-Cap Table'!BT47</f>
        <v>0</v>
      </c>
      <c r="BU47" s="207">
        <f>'NoPlay-Cap Table'!BU47</f>
        <v>0</v>
      </c>
      <c r="BV47" s="207">
        <f>'NoPlay-Cap Table'!BV47</f>
        <v>0</v>
      </c>
      <c r="BW47" s="207">
        <f>'NoPlay-Cap Table'!BW47</f>
        <v>0</v>
      </c>
      <c r="BX47" s="207">
        <f>'NoPlay-Cap Table'!BX47</f>
        <v>0</v>
      </c>
      <c r="BY47" s="207">
        <f>'NoPlay-Cap Table'!BY47</f>
        <v>0</v>
      </c>
      <c r="BZ47" s="207">
        <f>'NoPlay-Cap Table'!BZ47</f>
        <v>0</v>
      </c>
      <c r="CA47" s="207">
        <f>'NoPlay-Cap Table'!CA47</f>
        <v>0</v>
      </c>
      <c r="CB47" s="207">
        <f>'NoPlay-Cap Table'!CB47</f>
        <v>0</v>
      </c>
      <c r="CC47" s="207">
        <f>'NoPlay-Cap Table'!CC47</f>
        <v>0</v>
      </c>
    </row>
    <row r="48" spans="1:83" ht="15.75" customHeight="1" x14ac:dyDescent="0.35">
      <c r="P48" s="210"/>
      <c r="X48" s="210"/>
    </row>
    <row r="49" spans="1:85" ht="15.75" customHeight="1" x14ac:dyDescent="0.35">
      <c r="H49" s="1331"/>
      <c r="I49" s="1331"/>
    </row>
    <row r="50" spans="1:85" s="214" customFormat="1" ht="48" customHeight="1" x14ac:dyDescent="0.35">
      <c r="A50" s="180"/>
      <c r="B50" s="180"/>
      <c r="C50" s="217"/>
      <c r="D50" s="711">
        <f t="shared" ref="D50:BO53" si="10">D15</f>
        <v>0</v>
      </c>
      <c r="E50" s="711" t="str">
        <f t="shared" si="10"/>
        <v>Options</v>
      </c>
      <c r="F50" s="711" t="str">
        <f t="shared" si="10"/>
        <v>Warrants</v>
      </c>
      <c r="G50" s="711" t="str">
        <f t="shared" si="10"/>
        <v>Common Stock</v>
      </c>
      <c r="H50" s="267" t="str">
        <f t="shared" si="10"/>
        <v>Seed Preferred</v>
      </c>
      <c r="I50" s="711" t="str">
        <f t="shared" si="10"/>
        <v>Seed Warrants</v>
      </c>
      <c r="J50" s="711" t="str">
        <f t="shared" si="10"/>
        <v>Seed      $$ Invested</v>
      </c>
      <c r="K50" s="711" t="str">
        <f t="shared" si="10"/>
        <v>Seed Preferred  %</v>
      </c>
      <c r="L50" s="711" t="str">
        <f t="shared" si="10"/>
        <v>Total Preferred
Shares</v>
      </c>
      <c r="M50" s="711" t="str">
        <f t="shared" si="10"/>
        <v>Fully Diluted Shares</v>
      </c>
      <c r="N50" s="711" t="str">
        <f t="shared" si="10"/>
        <v>% Total Preferred</v>
      </c>
      <c r="O50" s="711" t="str">
        <f t="shared" si="10"/>
        <v>% Fully Diluted</v>
      </c>
      <c r="P50" s="267" t="str">
        <f t="shared" si="10"/>
        <v>Series A Preferred</v>
      </c>
      <c r="Q50" s="711" t="str">
        <f t="shared" si="10"/>
        <v>Series A Warrants</v>
      </c>
      <c r="R50" s="711" t="str">
        <f t="shared" si="10"/>
        <v>Series A      $$ Invested</v>
      </c>
      <c r="S50" s="711" t="str">
        <f t="shared" si="10"/>
        <v>Series A Preferred  %</v>
      </c>
      <c r="T50" s="711" t="str">
        <f t="shared" si="10"/>
        <v>Total Preferred
Shares</v>
      </c>
      <c r="U50" s="711" t="str">
        <f t="shared" si="10"/>
        <v>Fully Diluted Shares</v>
      </c>
      <c r="V50" s="711" t="str">
        <f t="shared" si="10"/>
        <v>% Total Preferred</v>
      </c>
      <c r="W50" s="711" t="str">
        <f t="shared" si="10"/>
        <v>% Fully Diluted</v>
      </c>
      <c r="X50" s="267" t="str">
        <f t="shared" si="10"/>
        <v>Series B Preferred</v>
      </c>
      <c r="Y50" s="711" t="str">
        <f t="shared" si="10"/>
        <v>Series B Warrants</v>
      </c>
      <c r="Z50" s="711" t="str">
        <f t="shared" si="10"/>
        <v>Series B      $$ Invested</v>
      </c>
      <c r="AA50" s="711" t="str">
        <f t="shared" si="10"/>
        <v>Series B Preferred  %</v>
      </c>
      <c r="AB50" s="711" t="str">
        <f t="shared" si="10"/>
        <v>Total Preferred
Shares</v>
      </c>
      <c r="AC50" s="711" t="str">
        <f t="shared" si="10"/>
        <v>Fully Diluted Shares</v>
      </c>
      <c r="AD50" s="711" t="str">
        <f t="shared" si="10"/>
        <v>% Total Preferred</v>
      </c>
      <c r="AE50" s="711" t="str">
        <f t="shared" si="10"/>
        <v>% Fully Diluted</v>
      </c>
      <c r="AF50" s="267" t="str">
        <f t="shared" si="10"/>
        <v>Series C Preferred</v>
      </c>
      <c r="AG50" s="711" t="str">
        <f t="shared" si="10"/>
        <v>Series C Warrants</v>
      </c>
      <c r="AH50" s="711" t="str">
        <f t="shared" si="10"/>
        <v>Series C      $$ Invested</v>
      </c>
      <c r="AI50" s="711" t="str">
        <f t="shared" si="10"/>
        <v>Series C Preferred  %</v>
      </c>
      <c r="AJ50" s="711" t="str">
        <f t="shared" si="10"/>
        <v>Total Preferred
Shares</v>
      </c>
      <c r="AK50" s="711" t="str">
        <f t="shared" si="10"/>
        <v>Fully Diluted Shares</v>
      </c>
      <c r="AL50" s="711" t="str">
        <f t="shared" si="10"/>
        <v>% Total Preferred</v>
      </c>
      <c r="AM50" s="711" t="str">
        <f t="shared" si="10"/>
        <v>% Fully Diluted</v>
      </c>
      <c r="AN50" s="267" t="str">
        <f t="shared" si="10"/>
        <v>Series D Preferred</v>
      </c>
      <c r="AO50" s="711" t="str">
        <f t="shared" si="10"/>
        <v>Series D Warrants</v>
      </c>
      <c r="AP50" s="711" t="str">
        <f t="shared" si="10"/>
        <v>Series D      $$ Invested</v>
      </c>
      <c r="AQ50" s="711" t="str">
        <f t="shared" si="10"/>
        <v>Series D Preferred  %</v>
      </c>
      <c r="AR50" s="711" t="str">
        <f t="shared" si="10"/>
        <v>Total Preferred
Shares</v>
      </c>
      <c r="AS50" s="711" t="str">
        <f t="shared" si="10"/>
        <v>Fully Diluted Shares</v>
      </c>
      <c r="AT50" s="711" t="str">
        <f t="shared" si="10"/>
        <v>% Total Preferred</v>
      </c>
      <c r="AU50" s="711" t="str">
        <f t="shared" si="10"/>
        <v>% Fully Diluted</v>
      </c>
      <c r="AV50" s="267" t="str">
        <f t="shared" si="10"/>
        <v>Series E Preferred</v>
      </c>
      <c r="AW50" s="711" t="str">
        <f t="shared" si="10"/>
        <v>Series E Warrants</v>
      </c>
      <c r="AX50" s="711" t="str">
        <f t="shared" si="10"/>
        <v>Series E      $$ Invested (k)</v>
      </c>
      <c r="AY50" s="711" t="str">
        <f t="shared" si="10"/>
        <v>Series E Preferred  %</v>
      </c>
      <c r="AZ50" s="711" t="str">
        <f t="shared" si="10"/>
        <v>Total Preferred
Shares</v>
      </c>
      <c r="BA50" s="711" t="str">
        <f t="shared" si="10"/>
        <v>Fully Diluted Shares</v>
      </c>
      <c r="BB50" s="711" t="str">
        <f t="shared" si="10"/>
        <v>% Total Preferred</v>
      </c>
      <c r="BC50" s="711" t="str">
        <f t="shared" si="10"/>
        <v>% Fully Diluted</v>
      </c>
      <c r="BD50" s="267" t="str">
        <f t="shared" si="10"/>
        <v>Series E-1 Preferred</v>
      </c>
      <c r="BE50" s="711" t="str">
        <f t="shared" si="10"/>
        <v>Series E-1 Warrants</v>
      </c>
      <c r="BF50" s="711" t="str">
        <f t="shared" si="10"/>
        <v>Series E-1      $$ Invested (k)</v>
      </c>
      <c r="BG50" s="711" t="str">
        <f t="shared" si="10"/>
        <v>Series E-1 Preferred  %</v>
      </c>
      <c r="BH50" s="711" t="str">
        <f t="shared" si="10"/>
        <v>Total Preferred
Shares</v>
      </c>
      <c r="BI50" s="711" t="str">
        <f t="shared" si="10"/>
        <v>Fully Diluted Shares</v>
      </c>
      <c r="BJ50" s="711" t="str">
        <f t="shared" si="10"/>
        <v>% Total Preferred</v>
      </c>
      <c r="BK50" s="711" t="str">
        <f t="shared" si="10"/>
        <v>% Fully Diluted</v>
      </c>
      <c r="BL50" s="267" t="str">
        <f t="shared" si="10"/>
        <v>Series F Preferred</v>
      </c>
      <c r="BM50" s="711" t="str">
        <f t="shared" si="10"/>
        <v>Series F Warrants</v>
      </c>
      <c r="BN50" s="711" t="str">
        <f t="shared" si="10"/>
        <v>Series F      $$ Invested (k)</v>
      </c>
      <c r="BO50" s="711" t="str">
        <f t="shared" si="10"/>
        <v>Series F Preferred  %</v>
      </c>
      <c r="BP50" s="711" t="str">
        <f t="shared" ref="BP50:CC65" si="11">BP15</f>
        <v>Total Preferred
Shares</v>
      </c>
      <c r="BQ50" s="711" t="str">
        <f t="shared" si="11"/>
        <v>Fully Diluted Shares</v>
      </c>
      <c r="BR50" s="711" t="str">
        <f t="shared" si="11"/>
        <v>% Total Preferred</v>
      </c>
      <c r="BS50" s="711" t="str">
        <f t="shared" si="11"/>
        <v>% Fully Diluted</v>
      </c>
      <c r="BT50" s="711" t="str">
        <f t="shared" si="11"/>
        <v>Series G Preferred</v>
      </c>
      <c r="BU50" s="711" t="str">
        <f t="shared" si="11"/>
        <v>Series G Warrants</v>
      </c>
      <c r="BV50" s="711" t="str">
        <f t="shared" si="11"/>
        <v>Series G      $$ Invested</v>
      </c>
      <c r="BW50" s="711" t="str">
        <f t="shared" si="11"/>
        <v>Series G Preferred  %</v>
      </c>
      <c r="BX50" s="711" t="str">
        <f t="shared" si="11"/>
        <v>Total Preferred
Shares</v>
      </c>
      <c r="BY50" s="711" t="str">
        <f t="shared" si="11"/>
        <v>Fully Diluted Shares</v>
      </c>
      <c r="BZ50" s="711" t="str">
        <f t="shared" si="11"/>
        <v>% Total Preferred</v>
      </c>
      <c r="CA50" s="711" t="str">
        <f t="shared" si="11"/>
        <v>% Fully Diluted</v>
      </c>
      <c r="CB50" s="180">
        <f t="shared" si="11"/>
        <v>0</v>
      </c>
      <c r="CC50" s="711" t="str">
        <f t="shared" si="11"/>
        <v>TOTAL $$ INVESTED</v>
      </c>
      <c r="CD50" s="180"/>
      <c r="CE50" s="180"/>
    </row>
    <row r="51" spans="1:85" s="226" customFormat="1" ht="15.75" customHeight="1" x14ac:dyDescent="0.35">
      <c r="A51" s="180"/>
      <c r="B51" s="180"/>
      <c r="C51" s="218">
        <v>1</v>
      </c>
      <c r="D51" s="219" t="str">
        <f t="shared" si="10"/>
        <v>Issue Price</v>
      </c>
      <c r="E51" s="220">
        <f t="shared" si="10"/>
        <v>0</v>
      </c>
      <c r="F51" s="220">
        <f t="shared" si="10"/>
        <v>0</v>
      </c>
      <c r="G51" s="220">
        <f t="shared" si="10"/>
        <v>0</v>
      </c>
      <c r="H51" s="221" t="e">
        <f t="shared" si="10"/>
        <v>#DIV/0!</v>
      </c>
      <c r="I51" s="221" t="e">
        <f t="shared" si="10"/>
        <v>#DIV/0!</v>
      </c>
      <c r="J51" s="220">
        <f t="shared" si="10"/>
        <v>0</v>
      </c>
      <c r="K51" s="220">
        <f t="shared" si="10"/>
        <v>0</v>
      </c>
      <c r="L51" s="220">
        <f t="shared" si="10"/>
        <v>0</v>
      </c>
      <c r="M51" s="220">
        <f t="shared" si="10"/>
        <v>0</v>
      </c>
      <c r="N51" s="222">
        <f t="shared" si="10"/>
        <v>0</v>
      </c>
      <c r="O51" s="223">
        <f t="shared" si="10"/>
        <v>0</v>
      </c>
      <c r="P51" s="221">
        <f t="shared" si="10"/>
        <v>0</v>
      </c>
      <c r="Q51" s="221">
        <f t="shared" si="10"/>
        <v>0</v>
      </c>
      <c r="R51" s="222">
        <f t="shared" si="10"/>
        <v>0</v>
      </c>
      <c r="S51" s="222">
        <f t="shared" si="10"/>
        <v>0</v>
      </c>
      <c r="T51" s="222">
        <f t="shared" si="10"/>
        <v>0</v>
      </c>
      <c r="U51" s="222">
        <f t="shared" si="10"/>
        <v>0</v>
      </c>
      <c r="V51" s="222">
        <f t="shared" si="10"/>
        <v>0</v>
      </c>
      <c r="W51" s="222">
        <f t="shared" si="10"/>
        <v>0</v>
      </c>
      <c r="X51" s="221">
        <f t="shared" si="10"/>
        <v>0</v>
      </c>
      <c r="Y51" s="221">
        <f t="shared" si="10"/>
        <v>0</v>
      </c>
      <c r="Z51" s="222">
        <f t="shared" si="10"/>
        <v>0</v>
      </c>
      <c r="AA51" s="222">
        <f t="shared" si="10"/>
        <v>0</v>
      </c>
      <c r="AB51" s="222">
        <f t="shared" si="10"/>
        <v>0</v>
      </c>
      <c r="AC51" s="222">
        <f t="shared" si="10"/>
        <v>0</v>
      </c>
      <c r="AD51" s="222">
        <f t="shared" si="10"/>
        <v>0</v>
      </c>
      <c r="AE51" s="222">
        <f t="shared" si="10"/>
        <v>0</v>
      </c>
      <c r="AF51" s="221">
        <f t="shared" si="10"/>
        <v>0</v>
      </c>
      <c r="AG51" s="221">
        <f t="shared" si="10"/>
        <v>0</v>
      </c>
      <c r="AH51" s="222">
        <f t="shared" si="10"/>
        <v>0</v>
      </c>
      <c r="AI51" s="222">
        <f t="shared" si="10"/>
        <v>0</v>
      </c>
      <c r="AJ51" s="222">
        <f t="shared" si="10"/>
        <v>0</v>
      </c>
      <c r="AK51" s="222">
        <f t="shared" si="10"/>
        <v>0</v>
      </c>
      <c r="AL51" s="222">
        <f t="shared" si="10"/>
        <v>0</v>
      </c>
      <c r="AM51" s="222">
        <f t="shared" si="10"/>
        <v>0</v>
      </c>
      <c r="AN51" s="221">
        <f t="shared" si="10"/>
        <v>0</v>
      </c>
      <c r="AO51" s="221">
        <f t="shared" si="10"/>
        <v>0</v>
      </c>
      <c r="AP51" s="222">
        <f t="shared" si="10"/>
        <v>0</v>
      </c>
      <c r="AQ51" s="222">
        <f t="shared" si="10"/>
        <v>0</v>
      </c>
      <c r="AR51" s="222">
        <f t="shared" si="10"/>
        <v>0</v>
      </c>
      <c r="AS51" s="222">
        <f t="shared" si="10"/>
        <v>0</v>
      </c>
      <c r="AT51" s="222">
        <f t="shared" si="10"/>
        <v>0</v>
      </c>
      <c r="AU51" s="222">
        <f t="shared" si="10"/>
        <v>0</v>
      </c>
      <c r="AV51" s="221">
        <f t="shared" si="10"/>
        <v>0</v>
      </c>
      <c r="AW51" s="221">
        <f t="shared" si="10"/>
        <v>0</v>
      </c>
      <c r="AX51" s="222">
        <f t="shared" si="10"/>
        <v>0</v>
      </c>
      <c r="AY51" s="222">
        <f t="shared" si="10"/>
        <v>0</v>
      </c>
      <c r="AZ51" s="222">
        <f t="shared" si="10"/>
        <v>0</v>
      </c>
      <c r="BA51" s="222">
        <f t="shared" si="10"/>
        <v>0</v>
      </c>
      <c r="BB51" s="222">
        <f t="shared" si="10"/>
        <v>0</v>
      </c>
      <c r="BC51" s="222">
        <f t="shared" si="10"/>
        <v>0</v>
      </c>
      <c r="BD51" s="221">
        <f t="shared" si="10"/>
        <v>0</v>
      </c>
      <c r="BE51" s="221">
        <f t="shared" si="10"/>
        <v>0</v>
      </c>
      <c r="BF51" s="222">
        <f t="shared" si="10"/>
        <v>0</v>
      </c>
      <c r="BG51" s="222">
        <f t="shared" si="10"/>
        <v>0</v>
      </c>
      <c r="BH51" s="222">
        <f t="shared" si="10"/>
        <v>0</v>
      </c>
      <c r="BI51" s="222">
        <f t="shared" si="10"/>
        <v>0</v>
      </c>
      <c r="BJ51" s="222">
        <f t="shared" si="10"/>
        <v>0</v>
      </c>
      <c r="BK51" s="222">
        <f t="shared" si="10"/>
        <v>0</v>
      </c>
      <c r="BL51" s="221">
        <f t="shared" si="10"/>
        <v>0</v>
      </c>
      <c r="BM51" s="221">
        <f t="shared" si="10"/>
        <v>0</v>
      </c>
      <c r="BN51" s="222">
        <f t="shared" si="10"/>
        <v>0</v>
      </c>
      <c r="BO51" s="222">
        <f t="shared" si="10"/>
        <v>0</v>
      </c>
      <c r="BP51" s="222">
        <f t="shared" si="11"/>
        <v>0</v>
      </c>
      <c r="BQ51" s="222">
        <f t="shared" si="11"/>
        <v>0</v>
      </c>
      <c r="BR51" s="222">
        <f t="shared" si="11"/>
        <v>0</v>
      </c>
      <c r="BS51" s="222">
        <f t="shared" si="11"/>
        <v>0</v>
      </c>
      <c r="BT51" s="221">
        <f t="shared" si="11"/>
        <v>0</v>
      </c>
      <c r="BU51" s="221">
        <f t="shared" si="11"/>
        <v>0</v>
      </c>
      <c r="BV51" s="222">
        <f t="shared" si="11"/>
        <v>0</v>
      </c>
      <c r="BW51" s="222">
        <f t="shared" si="11"/>
        <v>0</v>
      </c>
      <c r="BX51" s="222">
        <f t="shared" si="11"/>
        <v>0</v>
      </c>
      <c r="BY51" s="222">
        <f t="shared" si="11"/>
        <v>0</v>
      </c>
      <c r="BZ51" s="222">
        <f t="shared" si="11"/>
        <v>0</v>
      </c>
      <c r="CA51" s="224">
        <f t="shared" si="11"/>
        <v>0</v>
      </c>
      <c r="CB51" s="180">
        <f t="shared" si="11"/>
        <v>0</v>
      </c>
      <c r="CC51" s="225">
        <f t="shared" si="11"/>
        <v>0</v>
      </c>
      <c r="CD51" s="180"/>
      <c r="CE51" s="180"/>
    </row>
    <row r="52" spans="1:85" s="226" customFormat="1" ht="15.75" customHeight="1" x14ac:dyDescent="0.35">
      <c r="A52" s="180"/>
      <c r="B52" s="180"/>
      <c r="C52" s="218">
        <v>2</v>
      </c>
      <c r="D52" s="219" t="str">
        <f t="shared" si="10"/>
        <v>Liquidation Preference Multiple</v>
      </c>
      <c r="E52" s="220">
        <f t="shared" si="10"/>
        <v>0</v>
      </c>
      <c r="F52" s="220">
        <f t="shared" si="10"/>
        <v>0</v>
      </c>
      <c r="G52" s="220">
        <f t="shared" si="10"/>
        <v>0</v>
      </c>
      <c r="H52" s="227">
        <f t="shared" si="10"/>
        <v>1</v>
      </c>
      <c r="I52" s="222">
        <f t="shared" si="10"/>
        <v>0</v>
      </c>
      <c r="J52" s="222">
        <f t="shared" si="10"/>
        <v>0</v>
      </c>
      <c r="K52" s="222">
        <f t="shared" si="10"/>
        <v>0</v>
      </c>
      <c r="L52" s="222">
        <f t="shared" si="10"/>
        <v>0</v>
      </c>
      <c r="M52" s="222">
        <f t="shared" si="10"/>
        <v>0</v>
      </c>
      <c r="N52" s="222">
        <f t="shared" si="10"/>
        <v>0</v>
      </c>
      <c r="O52" s="222">
        <f t="shared" si="10"/>
        <v>0</v>
      </c>
      <c r="P52" s="227">
        <f t="shared" si="10"/>
        <v>1</v>
      </c>
      <c r="Q52" s="222">
        <f t="shared" si="10"/>
        <v>0</v>
      </c>
      <c r="R52" s="222">
        <f t="shared" si="10"/>
        <v>0</v>
      </c>
      <c r="S52" s="222">
        <f t="shared" si="10"/>
        <v>0</v>
      </c>
      <c r="T52" s="222">
        <f t="shared" si="10"/>
        <v>0</v>
      </c>
      <c r="U52" s="222">
        <f t="shared" si="10"/>
        <v>0</v>
      </c>
      <c r="V52" s="222">
        <f t="shared" si="10"/>
        <v>0</v>
      </c>
      <c r="W52" s="222">
        <f t="shared" si="10"/>
        <v>0</v>
      </c>
      <c r="X52" s="227">
        <f t="shared" si="10"/>
        <v>1</v>
      </c>
      <c r="Y52" s="222">
        <f t="shared" si="10"/>
        <v>0</v>
      </c>
      <c r="Z52" s="222">
        <f t="shared" si="10"/>
        <v>0</v>
      </c>
      <c r="AA52" s="222">
        <f t="shared" si="10"/>
        <v>0</v>
      </c>
      <c r="AB52" s="222">
        <f t="shared" si="10"/>
        <v>0</v>
      </c>
      <c r="AC52" s="222">
        <f t="shared" si="10"/>
        <v>0</v>
      </c>
      <c r="AD52" s="222">
        <f t="shared" si="10"/>
        <v>0</v>
      </c>
      <c r="AE52" s="222">
        <f t="shared" si="10"/>
        <v>0</v>
      </c>
      <c r="AF52" s="227">
        <f t="shared" si="10"/>
        <v>1</v>
      </c>
      <c r="AG52" s="222">
        <f t="shared" si="10"/>
        <v>0</v>
      </c>
      <c r="AH52" s="222">
        <f t="shared" si="10"/>
        <v>0</v>
      </c>
      <c r="AI52" s="222">
        <f t="shared" si="10"/>
        <v>0</v>
      </c>
      <c r="AJ52" s="222">
        <f t="shared" si="10"/>
        <v>0</v>
      </c>
      <c r="AK52" s="222">
        <f t="shared" si="10"/>
        <v>0</v>
      </c>
      <c r="AL52" s="222">
        <f t="shared" si="10"/>
        <v>0</v>
      </c>
      <c r="AM52" s="222">
        <f t="shared" si="10"/>
        <v>0</v>
      </c>
      <c r="AN52" s="227">
        <f t="shared" si="10"/>
        <v>1</v>
      </c>
      <c r="AO52" s="222">
        <f t="shared" si="10"/>
        <v>0</v>
      </c>
      <c r="AP52" s="222">
        <f t="shared" si="10"/>
        <v>0</v>
      </c>
      <c r="AQ52" s="222">
        <f t="shared" si="10"/>
        <v>0</v>
      </c>
      <c r="AR52" s="222">
        <f t="shared" si="10"/>
        <v>0</v>
      </c>
      <c r="AS52" s="222">
        <f t="shared" si="10"/>
        <v>0</v>
      </c>
      <c r="AT52" s="222">
        <f t="shared" si="10"/>
        <v>0</v>
      </c>
      <c r="AU52" s="222">
        <f t="shared" si="10"/>
        <v>0</v>
      </c>
      <c r="AV52" s="227">
        <f t="shared" si="10"/>
        <v>1</v>
      </c>
      <c r="AW52" s="222">
        <f t="shared" si="10"/>
        <v>0</v>
      </c>
      <c r="AX52" s="222">
        <f t="shared" si="10"/>
        <v>0</v>
      </c>
      <c r="AY52" s="222">
        <f t="shared" si="10"/>
        <v>0</v>
      </c>
      <c r="AZ52" s="222">
        <f t="shared" si="10"/>
        <v>0</v>
      </c>
      <c r="BA52" s="222">
        <f t="shared" si="10"/>
        <v>0</v>
      </c>
      <c r="BB52" s="222">
        <f t="shared" si="10"/>
        <v>0</v>
      </c>
      <c r="BC52" s="222">
        <f t="shared" si="10"/>
        <v>0</v>
      </c>
      <c r="BD52" s="227">
        <f t="shared" si="10"/>
        <v>1</v>
      </c>
      <c r="BE52" s="222">
        <f t="shared" si="10"/>
        <v>0</v>
      </c>
      <c r="BF52" s="222">
        <f t="shared" si="10"/>
        <v>0</v>
      </c>
      <c r="BG52" s="222">
        <f t="shared" si="10"/>
        <v>0</v>
      </c>
      <c r="BH52" s="222">
        <f t="shared" si="10"/>
        <v>0</v>
      </c>
      <c r="BI52" s="222">
        <f t="shared" si="10"/>
        <v>0</v>
      </c>
      <c r="BJ52" s="222">
        <f t="shared" si="10"/>
        <v>0</v>
      </c>
      <c r="BK52" s="222">
        <f t="shared" si="10"/>
        <v>0</v>
      </c>
      <c r="BL52" s="227">
        <f t="shared" si="10"/>
        <v>1</v>
      </c>
      <c r="BM52" s="222">
        <f t="shared" si="10"/>
        <v>0</v>
      </c>
      <c r="BN52" s="222">
        <f t="shared" si="10"/>
        <v>0</v>
      </c>
      <c r="BO52" s="222">
        <f t="shared" si="10"/>
        <v>0</v>
      </c>
      <c r="BP52" s="222">
        <f t="shared" si="11"/>
        <v>0</v>
      </c>
      <c r="BQ52" s="222">
        <f t="shared" si="11"/>
        <v>0</v>
      </c>
      <c r="BR52" s="222">
        <f t="shared" si="11"/>
        <v>0</v>
      </c>
      <c r="BS52" s="222">
        <f t="shared" si="11"/>
        <v>0</v>
      </c>
      <c r="BT52" s="227">
        <f t="shared" si="11"/>
        <v>1</v>
      </c>
      <c r="BU52" s="222">
        <f t="shared" si="11"/>
        <v>0</v>
      </c>
      <c r="BV52" s="222">
        <f t="shared" si="11"/>
        <v>0</v>
      </c>
      <c r="BW52" s="222">
        <f t="shared" si="11"/>
        <v>0</v>
      </c>
      <c r="BX52" s="222">
        <f t="shared" si="11"/>
        <v>0</v>
      </c>
      <c r="BY52" s="222">
        <f t="shared" si="11"/>
        <v>0</v>
      </c>
      <c r="BZ52" s="222">
        <f t="shared" si="11"/>
        <v>0</v>
      </c>
      <c r="CA52" s="228">
        <f t="shared" si="11"/>
        <v>0</v>
      </c>
      <c r="CB52" s="180">
        <f t="shared" si="11"/>
        <v>0</v>
      </c>
      <c r="CC52" s="229">
        <f t="shared" si="11"/>
        <v>0</v>
      </c>
      <c r="CD52" s="180"/>
      <c r="CE52" s="180"/>
    </row>
    <row r="53" spans="1:85" s="226" customFormat="1" ht="15.75" customHeight="1" x14ac:dyDescent="0.35">
      <c r="A53" s="180"/>
      <c r="B53" s="180"/>
      <c r="C53" s="218">
        <v>3</v>
      </c>
      <c r="D53" s="219" t="str">
        <f t="shared" si="10"/>
        <v>Seniority Rank</v>
      </c>
      <c r="E53" s="230">
        <f t="shared" si="10"/>
        <v>0</v>
      </c>
      <c r="F53" s="230">
        <f t="shared" si="10"/>
        <v>0</v>
      </c>
      <c r="G53" s="230">
        <f t="shared" si="10"/>
        <v>0</v>
      </c>
      <c r="H53" s="326">
        <f t="shared" si="10"/>
        <v>3</v>
      </c>
      <c r="I53" s="231">
        <f t="shared" si="10"/>
        <v>0</v>
      </c>
      <c r="J53" s="231">
        <f t="shared" si="10"/>
        <v>0</v>
      </c>
      <c r="K53" s="231">
        <f t="shared" si="10"/>
        <v>0</v>
      </c>
      <c r="L53" s="231">
        <f t="shared" si="10"/>
        <v>0</v>
      </c>
      <c r="M53" s="231">
        <f t="shared" si="10"/>
        <v>0</v>
      </c>
      <c r="N53" s="231">
        <f t="shared" si="10"/>
        <v>0</v>
      </c>
      <c r="O53" s="231">
        <f t="shared" si="10"/>
        <v>0</v>
      </c>
      <c r="P53" s="326">
        <f t="shared" si="10"/>
        <v>3</v>
      </c>
      <c r="Q53" s="231">
        <f t="shared" si="10"/>
        <v>0</v>
      </c>
      <c r="R53" s="231">
        <f t="shared" si="10"/>
        <v>0</v>
      </c>
      <c r="S53" s="231">
        <f t="shared" si="10"/>
        <v>0</v>
      </c>
      <c r="T53" s="231">
        <f t="shared" si="10"/>
        <v>0</v>
      </c>
      <c r="U53" s="231">
        <f t="shared" si="10"/>
        <v>0</v>
      </c>
      <c r="V53" s="231">
        <f t="shared" si="10"/>
        <v>0</v>
      </c>
      <c r="W53" s="231">
        <f t="shared" si="10"/>
        <v>0</v>
      </c>
      <c r="X53" s="326">
        <f t="shared" si="10"/>
        <v>3</v>
      </c>
      <c r="Y53" s="231">
        <f t="shared" si="10"/>
        <v>0</v>
      </c>
      <c r="Z53" s="231">
        <f t="shared" si="10"/>
        <v>0</v>
      </c>
      <c r="AA53" s="231">
        <f t="shared" si="10"/>
        <v>0</v>
      </c>
      <c r="AB53" s="231">
        <f t="shared" si="10"/>
        <v>0</v>
      </c>
      <c r="AC53" s="231">
        <f t="shared" si="10"/>
        <v>0</v>
      </c>
      <c r="AD53" s="231">
        <f t="shared" si="10"/>
        <v>0</v>
      </c>
      <c r="AE53" s="231">
        <f t="shared" si="10"/>
        <v>0</v>
      </c>
      <c r="AF53" s="326">
        <f t="shared" si="10"/>
        <v>3</v>
      </c>
      <c r="AG53" s="231">
        <f t="shared" si="10"/>
        <v>0</v>
      </c>
      <c r="AH53" s="231">
        <f t="shared" si="10"/>
        <v>0</v>
      </c>
      <c r="AI53" s="231">
        <f t="shared" si="10"/>
        <v>0</v>
      </c>
      <c r="AJ53" s="231">
        <f t="shared" si="10"/>
        <v>0</v>
      </c>
      <c r="AK53" s="231">
        <f t="shared" si="10"/>
        <v>0</v>
      </c>
      <c r="AL53" s="231">
        <f t="shared" si="10"/>
        <v>0</v>
      </c>
      <c r="AM53" s="231">
        <f t="shared" si="10"/>
        <v>0</v>
      </c>
      <c r="AN53" s="326">
        <f t="shared" si="10"/>
        <v>3</v>
      </c>
      <c r="AO53" s="231">
        <f t="shared" si="10"/>
        <v>0</v>
      </c>
      <c r="AP53" s="231">
        <f t="shared" si="10"/>
        <v>0</v>
      </c>
      <c r="AQ53" s="231">
        <f t="shared" si="10"/>
        <v>0</v>
      </c>
      <c r="AR53" s="231">
        <f t="shared" si="10"/>
        <v>0</v>
      </c>
      <c r="AS53" s="231">
        <f t="shared" si="10"/>
        <v>0</v>
      </c>
      <c r="AT53" s="231">
        <f t="shared" si="10"/>
        <v>0</v>
      </c>
      <c r="AU53" s="231">
        <f t="shared" si="10"/>
        <v>0</v>
      </c>
      <c r="AV53" s="326">
        <f t="shared" si="10"/>
        <v>3</v>
      </c>
      <c r="AW53" s="231">
        <f t="shared" si="10"/>
        <v>0</v>
      </c>
      <c r="AX53" s="231">
        <f t="shared" si="10"/>
        <v>0</v>
      </c>
      <c r="AY53" s="231">
        <f t="shared" si="10"/>
        <v>0</v>
      </c>
      <c r="AZ53" s="231">
        <f t="shared" si="10"/>
        <v>0</v>
      </c>
      <c r="BA53" s="231">
        <f t="shared" si="10"/>
        <v>0</v>
      </c>
      <c r="BB53" s="231">
        <f t="shared" si="10"/>
        <v>0</v>
      </c>
      <c r="BC53" s="231">
        <f t="shared" si="10"/>
        <v>0</v>
      </c>
      <c r="BD53" s="326">
        <f t="shared" si="10"/>
        <v>3</v>
      </c>
      <c r="BE53" s="231">
        <f t="shared" si="10"/>
        <v>0</v>
      </c>
      <c r="BF53" s="231">
        <f t="shared" si="10"/>
        <v>0</v>
      </c>
      <c r="BG53" s="231">
        <f t="shared" si="10"/>
        <v>0</v>
      </c>
      <c r="BH53" s="231">
        <f t="shared" si="10"/>
        <v>0</v>
      </c>
      <c r="BI53" s="231">
        <f t="shared" si="10"/>
        <v>0</v>
      </c>
      <c r="BJ53" s="231">
        <f t="shared" si="10"/>
        <v>0</v>
      </c>
      <c r="BK53" s="231">
        <f t="shared" si="10"/>
        <v>0</v>
      </c>
      <c r="BL53" s="326">
        <f t="shared" si="10"/>
        <v>3</v>
      </c>
      <c r="BM53" s="231">
        <f t="shared" si="10"/>
        <v>0</v>
      </c>
      <c r="BN53" s="231">
        <f t="shared" si="10"/>
        <v>0</v>
      </c>
      <c r="BO53" s="231">
        <f t="shared" ref="BO53" si="12">BO18</f>
        <v>0</v>
      </c>
      <c r="BP53" s="231">
        <f t="shared" si="11"/>
        <v>0</v>
      </c>
      <c r="BQ53" s="231">
        <f t="shared" si="11"/>
        <v>0</v>
      </c>
      <c r="BR53" s="231">
        <f t="shared" si="11"/>
        <v>0</v>
      </c>
      <c r="BS53" s="231">
        <f t="shared" si="11"/>
        <v>0</v>
      </c>
      <c r="BT53" s="326">
        <f t="shared" si="11"/>
        <v>3</v>
      </c>
      <c r="BU53" s="231">
        <f t="shared" si="11"/>
        <v>0</v>
      </c>
      <c r="BV53" s="231">
        <f t="shared" si="11"/>
        <v>0</v>
      </c>
      <c r="BW53" s="231">
        <f t="shared" si="11"/>
        <v>0</v>
      </c>
      <c r="BX53" s="231">
        <f t="shared" si="11"/>
        <v>0</v>
      </c>
      <c r="BY53" s="231">
        <f t="shared" si="11"/>
        <v>0</v>
      </c>
      <c r="BZ53" s="231">
        <f t="shared" si="11"/>
        <v>0</v>
      </c>
      <c r="CA53" s="232">
        <f t="shared" si="11"/>
        <v>0</v>
      </c>
      <c r="CB53" s="233">
        <f t="shared" si="11"/>
        <v>0</v>
      </c>
      <c r="CC53" s="234">
        <f t="shared" si="11"/>
        <v>0</v>
      </c>
      <c r="CD53" s="180"/>
      <c r="CE53" s="180"/>
    </row>
    <row r="54" spans="1:85" s="181" customFormat="1" ht="7.5" customHeight="1" x14ac:dyDescent="0.35">
      <c r="A54" s="180"/>
      <c r="B54" s="180"/>
      <c r="C54" s="179"/>
      <c r="D54" s="180">
        <f t="shared" ref="D54:BO58" si="13">D19</f>
        <v>0</v>
      </c>
      <c r="E54" s="180">
        <f t="shared" si="13"/>
        <v>0</v>
      </c>
      <c r="F54" s="180">
        <f t="shared" si="13"/>
        <v>0</v>
      </c>
      <c r="G54" s="235">
        <f t="shared" si="13"/>
        <v>0</v>
      </c>
      <c r="H54" s="180">
        <f t="shared" si="13"/>
        <v>0</v>
      </c>
      <c r="I54" s="180">
        <f t="shared" si="13"/>
        <v>0</v>
      </c>
      <c r="J54" s="181">
        <f t="shared" si="13"/>
        <v>0</v>
      </c>
      <c r="K54" s="180">
        <f t="shared" si="13"/>
        <v>0</v>
      </c>
      <c r="L54" s="180">
        <f t="shared" si="13"/>
        <v>0</v>
      </c>
      <c r="M54" s="181">
        <f t="shared" si="13"/>
        <v>0</v>
      </c>
      <c r="N54" s="180">
        <f t="shared" si="13"/>
        <v>0</v>
      </c>
      <c r="O54" s="235">
        <f t="shared" si="13"/>
        <v>0</v>
      </c>
      <c r="P54" s="180">
        <f t="shared" si="13"/>
        <v>0</v>
      </c>
      <c r="Q54" s="180">
        <f t="shared" si="13"/>
        <v>0</v>
      </c>
      <c r="R54" s="181">
        <f t="shared" si="13"/>
        <v>0</v>
      </c>
      <c r="S54" s="180">
        <f t="shared" si="13"/>
        <v>0</v>
      </c>
      <c r="T54" s="180">
        <f t="shared" si="13"/>
        <v>0</v>
      </c>
      <c r="U54" s="181">
        <f t="shared" si="13"/>
        <v>0</v>
      </c>
      <c r="V54" s="180">
        <f t="shared" si="13"/>
        <v>0</v>
      </c>
      <c r="W54" s="235">
        <f t="shared" si="13"/>
        <v>0</v>
      </c>
      <c r="X54" s="180">
        <f t="shared" si="13"/>
        <v>0</v>
      </c>
      <c r="Y54" s="180">
        <f t="shared" si="13"/>
        <v>0</v>
      </c>
      <c r="Z54" s="181">
        <f t="shared" si="13"/>
        <v>0</v>
      </c>
      <c r="AA54" s="180">
        <f t="shared" si="13"/>
        <v>0</v>
      </c>
      <c r="AB54" s="180">
        <f t="shared" si="13"/>
        <v>0</v>
      </c>
      <c r="AC54" s="181">
        <f t="shared" si="13"/>
        <v>0</v>
      </c>
      <c r="AD54" s="180">
        <f t="shared" si="13"/>
        <v>0</v>
      </c>
      <c r="AE54" s="235">
        <f t="shared" si="13"/>
        <v>0</v>
      </c>
      <c r="AF54" s="180">
        <f t="shared" si="13"/>
        <v>0</v>
      </c>
      <c r="AG54" s="180">
        <f t="shared" si="13"/>
        <v>0</v>
      </c>
      <c r="AH54" s="181">
        <f t="shared" si="13"/>
        <v>0</v>
      </c>
      <c r="AI54" s="180">
        <f t="shared" si="13"/>
        <v>0</v>
      </c>
      <c r="AJ54" s="180">
        <f t="shared" si="13"/>
        <v>0</v>
      </c>
      <c r="AK54" s="181">
        <f t="shared" si="13"/>
        <v>0</v>
      </c>
      <c r="AL54" s="180">
        <f t="shared" si="13"/>
        <v>0</v>
      </c>
      <c r="AM54" s="235">
        <f t="shared" si="13"/>
        <v>0</v>
      </c>
      <c r="AN54" s="180">
        <f t="shared" si="13"/>
        <v>0</v>
      </c>
      <c r="AO54" s="180">
        <f t="shared" si="13"/>
        <v>0</v>
      </c>
      <c r="AP54" s="181">
        <f t="shared" si="13"/>
        <v>0</v>
      </c>
      <c r="AQ54" s="180">
        <f t="shared" si="13"/>
        <v>0</v>
      </c>
      <c r="AR54" s="180">
        <f t="shared" si="13"/>
        <v>0</v>
      </c>
      <c r="AS54" s="181">
        <f t="shared" si="13"/>
        <v>0</v>
      </c>
      <c r="AT54" s="180">
        <f t="shared" si="13"/>
        <v>0</v>
      </c>
      <c r="AU54" s="235">
        <f t="shared" si="13"/>
        <v>0</v>
      </c>
      <c r="AV54" s="180">
        <f t="shared" si="13"/>
        <v>0</v>
      </c>
      <c r="AW54" s="180">
        <f t="shared" si="13"/>
        <v>0</v>
      </c>
      <c r="AX54" s="181">
        <f t="shared" si="13"/>
        <v>0</v>
      </c>
      <c r="AY54" s="180">
        <f t="shared" si="13"/>
        <v>0</v>
      </c>
      <c r="AZ54" s="180">
        <f t="shared" si="13"/>
        <v>0</v>
      </c>
      <c r="BA54" s="181">
        <f t="shared" si="13"/>
        <v>0</v>
      </c>
      <c r="BB54" s="180">
        <f t="shared" si="13"/>
        <v>0</v>
      </c>
      <c r="BC54" s="235">
        <f t="shared" si="13"/>
        <v>0</v>
      </c>
      <c r="BD54" s="180">
        <f t="shared" si="13"/>
        <v>0</v>
      </c>
      <c r="BE54" s="180">
        <f t="shared" si="13"/>
        <v>0</v>
      </c>
      <c r="BF54" s="181">
        <f t="shared" si="13"/>
        <v>0</v>
      </c>
      <c r="BG54" s="180">
        <f t="shared" si="13"/>
        <v>0</v>
      </c>
      <c r="BH54" s="180">
        <f t="shared" si="13"/>
        <v>0</v>
      </c>
      <c r="BI54" s="181">
        <f t="shared" si="13"/>
        <v>0</v>
      </c>
      <c r="BJ54" s="180">
        <f t="shared" si="13"/>
        <v>0</v>
      </c>
      <c r="BK54" s="235">
        <f t="shared" si="13"/>
        <v>0</v>
      </c>
      <c r="BL54" s="180">
        <f t="shared" si="13"/>
        <v>0</v>
      </c>
      <c r="BM54" s="180">
        <f t="shared" si="13"/>
        <v>0</v>
      </c>
      <c r="BN54" s="181">
        <f t="shared" si="13"/>
        <v>0</v>
      </c>
      <c r="BO54" s="180">
        <f t="shared" si="13"/>
        <v>0</v>
      </c>
      <c r="BP54" s="180">
        <f t="shared" si="11"/>
        <v>0</v>
      </c>
      <c r="BQ54" s="181">
        <f t="shared" si="11"/>
        <v>0</v>
      </c>
      <c r="BR54" s="180">
        <f t="shared" si="11"/>
        <v>0</v>
      </c>
      <c r="BS54" s="235">
        <f t="shared" si="11"/>
        <v>0</v>
      </c>
      <c r="BT54" s="180">
        <f t="shared" si="11"/>
        <v>0</v>
      </c>
      <c r="BU54" s="180">
        <f t="shared" si="11"/>
        <v>0</v>
      </c>
      <c r="BV54" s="181">
        <f t="shared" si="11"/>
        <v>0</v>
      </c>
      <c r="BW54" s="180">
        <f t="shared" si="11"/>
        <v>0</v>
      </c>
      <c r="BX54" s="180">
        <f t="shared" si="11"/>
        <v>0</v>
      </c>
      <c r="BY54" s="181">
        <f t="shared" si="11"/>
        <v>0</v>
      </c>
      <c r="BZ54" s="180">
        <f t="shared" si="11"/>
        <v>0</v>
      </c>
      <c r="CA54" s="235">
        <f t="shared" si="11"/>
        <v>0</v>
      </c>
      <c r="CB54" s="180">
        <f t="shared" si="11"/>
        <v>0</v>
      </c>
      <c r="CC54" s="181">
        <f t="shared" si="11"/>
        <v>0</v>
      </c>
      <c r="CD54" s="180"/>
      <c r="CE54" s="180"/>
    </row>
    <row r="55" spans="1:85" ht="15.75" customHeight="1" x14ac:dyDescent="0.35">
      <c r="A55" s="180"/>
      <c r="B55" s="180"/>
      <c r="D55" s="236" t="str">
        <f t="shared" si="13"/>
        <v>DTC Ventures</v>
      </c>
      <c r="E55" s="237">
        <f t="shared" si="13"/>
        <v>0</v>
      </c>
      <c r="F55" s="237">
        <f t="shared" si="13"/>
        <v>0</v>
      </c>
      <c r="G55" s="237">
        <f t="shared" si="13"/>
        <v>0</v>
      </c>
      <c r="H55" s="238">
        <f t="shared" si="13"/>
        <v>0</v>
      </c>
      <c r="I55" s="239">
        <f t="shared" si="13"/>
        <v>0</v>
      </c>
      <c r="J55" s="272" t="e">
        <f t="shared" ref="J55:J62" si="14">H55*H$51*H$52</f>
        <v>#DIV/0!</v>
      </c>
      <c r="K55" s="288">
        <f t="shared" si="13"/>
        <v>0</v>
      </c>
      <c r="L55" s="272">
        <f t="shared" si="13"/>
        <v>0</v>
      </c>
      <c r="M55" s="272">
        <f t="shared" si="13"/>
        <v>0</v>
      </c>
      <c r="N55" s="288" t="e">
        <f t="shared" si="13"/>
        <v>#DIV/0!</v>
      </c>
      <c r="O55" s="288" t="e">
        <f t="shared" si="13"/>
        <v>#DIV/0!</v>
      </c>
      <c r="P55" s="238">
        <f t="shared" si="13"/>
        <v>0</v>
      </c>
      <c r="Q55" s="239">
        <f t="shared" si="13"/>
        <v>0</v>
      </c>
      <c r="R55" s="272">
        <f t="shared" ref="R55:R62" si="15">P55*P$51*P$52</f>
        <v>0</v>
      </c>
      <c r="S55" s="288">
        <f t="shared" si="13"/>
        <v>0</v>
      </c>
      <c r="T55" s="272">
        <f t="shared" si="13"/>
        <v>0</v>
      </c>
      <c r="U55" s="272">
        <f t="shared" si="13"/>
        <v>0</v>
      </c>
      <c r="V55" s="288" t="e">
        <f t="shared" si="13"/>
        <v>#DIV/0!</v>
      </c>
      <c r="W55" s="288" t="e">
        <f t="shared" si="13"/>
        <v>#DIV/0!</v>
      </c>
      <c r="X55" s="238">
        <f t="shared" si="13"/>
        <v>0</v>
      </c>
      <c r="Y55" s="239">
        <f t="shared" si="13"/>
        <v>0</v>
      </c>
      <c r="Z55" s="272">
        <f t="shared" ref="Z55:Z62" si="16">X55*X$51*X$52</f>
        <v>0</v>
      </c>
      <c r="AA55" s="288">
        <f t="shared" si="13"/>
        <v>0</v>
      </c>
      <c r="AB55" s="272">
        <f t="shared" si="13"/>
        <v>0</v>
      </c>
      <c r="AC55" s="272">
        <f t="shared" si="13"/>
        <v>0</v>
      </c>
      <c r="AD55" s="288" t="e">
        <f t="shared" si="13"/>
        <v>#DIV/0!</v>
      </c>
      <c r="AE55" s="288" t="e">
        <f t="shared" si="13"/>
        <v>#DIV/0!</v>
      </c>
      <c r="AF55" s="238">
        <f t="shared" si="13"/>
        <v>0</v>
      </c>
      <c r="AG55" s="239">
        <f t="shared" si="13"/>
        <v>0</v>
      </c>
      <c r="AH55" s="272">
        <f t="shared" ref="AH55:AH62" si="17">AF55*AF$51*AF$52</f>
        <v>0</v>
      </c>
      <c r="AI55" s="288">
        <f t="shared" si="13"/>
        <v>0</v>
      </c>
      <c r="AJ55" s="272">
        <f t="shared" si="13"/>
        <v>0</v>
      </c>
      <c r="AK55" s="272">
        <f t="shared" si="13"/>
        <v>0</v>
      </c>
      <c r="AL55" s="288" t="e">
        <f t="shared" si="13"/>
        <v>#DIV/0!</v>
      </c>
      <c r="AM55" s="288" t="e">
        <f t="shared" si="13"/>
        <v>#DIV/0!</v>
      </c>
      <c r="AN55" s="238">
        <f t="shared" si="13"/>
        <v>0</v>
      </c>
      <c r="AO55" s="239">
        <f t="shared" si="13"/>
        <v>0</v>
      </c>
      <c r="AP55" s="272">
        <f t="shared" ref="AP55:AP62" si="18">AN55*AN$51*AN$52</f>
        <v>0</v>
      </c>
      <c r="AQ55" s="288">
        <f t="shared" si="13"/>
        <v>0</v>
      </c>
      <c r="AR55" s="272">
        <f t="shared" si="13"/>
        <v>0</v>
      </c>
      <c r="AS55" s="272">
        <f t="shared" si="13"/>
        <v>0</v>
      </c>
      <c r="AT55" s="288" t="e">
        <f t="shared" si="13"/>
        <v>#DIV/0!</v>
      </c>
      <c r="AU55" s="288" t="e">
        <f t="shared" si="13"/>
        <v>#DIV/0!</v>
      </c>
      <c r="AV55" s="238">
        <f t="shared" si="13"/>
        <v>0</v>
      </c>
      <c r="AW55" s="239">
        <f t="shared" si="13"/>
        <v>0</v>
      </c>
      <c r="AX55" s="272">
        <f t="shared" ref="AX55:AX62" si="19">AV55*AV$51*AV$52</f>
        <v>0</v>
      </c>
      <c r="AY55" s="288">
        <f t="shared" si="13"/>
        <v>0</v>
      </c>
      <c r="AZ55" s="272">
        <f t="shared" si="13"/>
        <v>0</v>
      </c>
      <c r="BA55" s="272">
        <f t="shared" si="13"/>
        <v>0</v>
      </c>
      <c r="BB55" s="288" t="e">
        <f t="shared" si="13"/>
        <v>#DIV/0!</v>
      </c>
      <c r="BC55" s="288" t="e">
        <f t="shared" si="13"/>
        <v>#DIV/0!</v>
      </c>
      <c r="BD55" s="238">
        <f t="shared" si="13"/>
        <v>0</v>
      </c>
      <c r="BE55" s="239">
        <f t="shared" si="13"/>
        <v>0</v>
      </c>
      <c r="BF55" s="272">
        <f t="shared" ref="BF55:BF62" si="20">BD55*BD$51*BD$52</f>
        <v>0</v>
      </c>
      <c r="BG55" s="288">
        <f t="shared" si="13"/>
        <v>0</v>
      </c>
      <c r="BH55" s="272">
        <f t="shared" si="13"/>
        <v>0</v>
      </c>
      <c r="BI55" s="272">
        <f t="shared" si="13"/>
        <v>0</v>
      </c>
      <c r="BJ55" s="288" t="e">
        <f t="shared" si="13"/>
        <v>#DIV/0!</v>
      </c>
      <c r="BK55" s="288" t="e">
        <f t="shared" si="13"/>
        <v>#DIV/0!</v>
      </c>
      <c r="BL55" s="238">
        <f t="shared" si="13"/>
        <v>0</v>
      </c>
      <c r="BM55" s="239">
        <f t="shared" si="13"/>
        <v>0</v>
      </c>
      <c r="BN55" s="272">
        <f t="shared" ref="BN55:BN62" si="21">BL55*BL$51*BL$52</f>
        <v>0</v>
      </c>
      <c r="BO55" s="288">
        <f t="shared" si="13"/>
        <v>0</v>
      </c>
      <c r="BP55" s="272">
        <f t="shared" si="11"/>
        <v>0</v>
      </c>
      <c r="BQ55" s="272">
        <f t="shared" si="11"/>
        <v>0</v>
      </c>
      <c r="BR55" s="288" t="e">
        <f t="shared" si="11"/>
        <v>#DIV/0!</v>
      </c>
      <c r="BS55" s="288" t="e">
        <f t="shared" si="11"/>
        <v>#DIV/0!</v>
      </c>
      <c r="BT55" s="238">
        <f t="shared" si="11"/>
        <v>0</v>
      </c>
      <c r="BU55" s="239">
        <f t="shared" si="11"/>
        <v>0</v>
      </c>
      <c r="BV55" s="272">
        <f t="shared" ref="BV55:BV62" si="22">BT55*BT$51*BT$52</f>
        <v>0</v>
      </c>
      <c r="BW55" s="288">
        <f t="shared" si="11"/>
        <v>0</v>
      </c>
      <c r="BX55" s="272">
        <f t="shared" si="11"/>
        <v>0</v>
      </c>
      <c r="BY55" s="272">
        <f t="shared" si="11"/>
        <v>0</v>
      </c>
      <c r="BZ55" s="288" t="e">
        <f t="shared" si="11"/>
        <v>#DIV/0!</v>
      </c>
      <c r="CA55" s="288" t="e">
        <f t="shared" si="11"/>
        <v>#DIV/0!</v>
      </c>
      <c r="CB55" s="180">
        <f t="shared" si="11"/>
        <v>0</v>
      </c>
      <c r="CC55" s="272" t="e">
        <f t="shared" si="11"/>
        <v>#DIV/0!</v>
      </c>
      <c r="CD55" s="180"/>
      <c r="CG55" s="764"/>
    </row>
    <row r="56" spans="1:85" ht="15.75" customHeight="1" x14ac:dyDescent="0.35">
      <c r="A56" s="180"/>
      <c r="B56" s="180"/>
      <c r="D56" s="241" t="str">
        <f t="shared" si="13"/>
        <v>Investor 1</v>
      </c>
      <c r="E56" s="239">
        <f t="shared" si="13"/>
        <v>0</v>
      </c>
      <c r="F56" s="239">
        <f t="shared" si="13"/>
        <v>0</v>
      </c>
      <c r="G56" s="239">
        <f t="shared" si="13"/>
        <v>0</v>
      </c>
      <c r="H56" s="238">
        <f t="shared" si="13"/>
        <v>0</v>
      </c>
      <c r="I56" s="239">
        <f t="shared" si="13"/>
        <v>0</v>
      </c>
      <c r="J56" s="272" t="e">
        <f t="shared" si="14"/>
        <v>#DIV/0!</v>
      </c>
      <c r="K56" s="288">
        <f t="shared" si="13"/>
        <v>0</v>
      </c>
      <c r="L56" s="272">
        <f t="shared" si="13"/>
        <v>0</v>
      </c>
      <c r="M56" s="272">
        <f t="shared" si="13"/>
        <v>0</v>
      </c>
      <c r="N56" s="288" t="e">
        <f t="shared" si="13"/>
        <v>#DIV/0!</v>
      </c>
      <c r="O56" s="288" t="e">
        <f t="shared" si="13"/>
        <v>#DIV/0!</v>
      </c>
      <c r="P56" s="238">
        <f t="shared" si="13"/>
        <v>0</v>
      </c>
      <c r="Q56" s="239">
        <f t="shared" si="13"/>
        <v>0</v>
      </c>
      <c r="R56" s="272">
        <f t="shared" si="15"/>
        <v>0</v>
      </c>
      <c r="S56" s="288">
        <f t="shared" si="13"/>
        <v>0</v>
      </c>
      <c r="T56" s="272">
        <f t="shared" si="13"/>
        <v>0</v>
      </c>
      <c r="U56" s="272">
        <f t="shared" si="13"/>
        <v>0</v>
      </c>
      <c r="V56" s="288" t="e">
        <f t="shared" si="13"/>
        <v>#DIV/0!</v>
      </c>
      <c r="W56" s="288" t="e">
        <f t="shared" si="13"/>
        <v>#DIV/0!</v>
      </c>
      <c r="X56" s="238">
        <f t="shared" si="13"/>
        <v>0</v>
      </c>
      <c r="Y56" s="239">
        <f t="shared" si="13"/>
        <v>0</v>
      </c>
      <c r="Z56" s="272">
        <f t="shared" si="16"/>
        <v>0</v>
      </c>
      <c r="AA56" s="288">
        <f t="shared" si="13"/>
        <v>0</v>
      </c>
      <c r="AB56" s="272">
        <f t="shared" si="13"/>
        <v>0</v>
      </c>
      <c r="AC56" s="272">
        <f t="shared" si="13"/>
        <v>0</v>
      </c>
      <c r="AD56" s="288" t="e">
        <f t="shared" si="13"/>
        <v>#DIV/0!</v>
      </c>
      <c r="AE56" s="288" t="e">
        <f t="shared" si="13"/>
        <v>#DIV/0!</v>
      </c>
      <c r="AF56" s="238">
        <f t="shared" si="13"/>
        <v>0</v>
      </c>
      <c r="AG56" s="239">
        <f t="shared" si="13"/>
        <v>0</v>
      </c>
      <c r="AH56" s="272">
        <f t="shared" si="17"/>
        <v>0</v>
      </c>
      <c r="AI56" s="288">
        <f t="shared" si="13"/>
        <v>0</v>
      </c>
      <c r="AJ56" s="272">
        <f t="shared" si="13"/>
        <v>0</v>
      </c>
      <c r="AK56" s="272">
        <f t="shared" si="13"/>
        <v>0</v>
      </c>
      <c r="AL56" s="288" t="e">
        <f t="shared" si="13"/>
        <v>#DIV/0!</v>
      </c>
      <c r="AM56" s="288" t="e">
        <f t="shared" si="13"/>
        <v>#DIV/0!</v>
      </c>
      <c r="AN56" s="238">
        <f t="shared" si="13"/>
        <v>0</v>
      </c>
      <c r="AO56" s="239">
        <f t="shared" si="13"/>
        <v>0</v>
      </c>
      <c r="AP56" s="272">
        <f t="shared" si="18"/>
        <v>0</v>
      </c>
      <c r="AQ56" s="288">
        <f t="shared" si="13"/>
        <v>0</v>
      </c>
      <c r="AR56" s="272">
        <f t="shared" si="13"/>
        <v>0</v>
      </c>
      <c r="AS56" s="272">
        <f t="shared" si="13"/>
        <v>0</v>
      </c>
      <c r="AT56" s="288" t="e">
        <f t="shared" si="13"/>
        <v>#DIV/0!</v>
      </c>
      <c r="AU56" s="288" t="e">
        <f t="shared" si="13"/>
        <v>#DIV/0!</v>
      </c>
      <c r="AV56" s="238">
        <f t="shared" si="13"/>
        <v>0</v>
      </c>
      <c r="AW56" s="239">
        <f t="shared" si="13"/>
        <v>0</v>
      </c>
      <c r="AX56" s="272">
        <f t="shared" si="19"/>
        <v>0</v>
      </c>
      <c r="AY56" s="288">
        <f t="shared" si="13"/>
        <v>0</v>
      </c>
      <c r="AZ56" s="272">
        <f t="shared" si="13"/>
        <v>0</v>
      </c>
      <c r="BA56" s="272">
        <f t="shared" si="13"/>
        <v>0</v>
      </c>
      <c r="BB56" s="288" t="e">
        <f t="shared" si="13"/>
        <v>#DIV/0!</v>
      </c>
      <c r="BC56" s="288" t="e">
        <f t="shared" si="13"/>
        <v>#DIV/0!</v>
      </c>
      <c r="BD56" s="238">
        <f t="shared" si="13"/>
        <v>0</v>
      </c>
      <c r="BE56" s="239">
        <f t="shared" si="13"/>
        <v>0</v>
      </c>
      <c r="BF56" s="272">
        <f t="shared" si="20"/>
        <v>0</v>
      </c>
      <c r="BG56" s="288">
        <f t="shared" si="13"/>
        <v>0</v>
      </c>
      <c r="BH56" s="272">
        <f t="shared" si="13"/>
        <v>0</v>
      </c>
      <c r="BI56" s="272">
        <f t="shared" si="13"/>
        <v>0</v>
      </c>
      <c r="BJ56" s="288" t="e">
        <f t="shared" si="13"/>
        <v>#DIV/0!</v>
      </c>
      <c r="BK56" s="288" t="e">
        <f t="shared" si="13"/>
        <v>#DIV/0!</v>
      </c>
      <c r="BL56" s="238">
        <f t="shared" si="13"/>
        <v>0</v>
      </c>
      <c r="BM56" s="239">
        <f t="shared" si="13"/>
        <v>0</v>
      </c>
      <c r="BN56" s="272">
        <f t="shared" si="21"/>
        <v>0</v>
      </c>
      <c r="BO56" s="288">
        <f t="shared" si="13"/>
        <v>0</v>
      </c>
      <c r="BP56" s="272">
        <f t="shared" si="11"/>
        <v>0</v>
      </c>
      <c r="BQ56" s="272">
        <f t="shared" si="11"/>
        <v>0</v>
      </c>
      <c r="BR56" s="288" t="e">
        <f t="shared" si="11"/>
        <v>#DIV/0!</v>
      </c>
      <c r="BS56" s="288" t="e">
        <f t="shared" si="11"/>
        <v>#DIV/0!</v>
      </c>
      <c r="BT56" s="238">
        <f t="shared" si="11"/>
        <v>0</v>
      </c>
      <c r="BU56" s="239">
        <f t="shared" si="11"/>
        <v>0</v>
      </c>
      <c r="BV56" s="272">
        <f t="shared" si="22"/>
        <v>0</v>
      </c>
      <c r="BW56" s="288">
        <f t="shared" si="11"/>
        <v>0</v>
      </c>
      <c r="BX56" s="272">
        <f t="shared" si="11"/>
        <v>0</v>
      </c>
      <c r="BY56" s="272">
        <f t="shared" si="11"/>
        <v>0</v>
      </c>
      <c r="BZ56" s="288" t="e">
        <f t="shared" si="11"/>
        <v>#DIV/0!</v>
      </c>
      <c r="CA56" s="288" t="e">
        <f t="shared" si="11"/>
        <v>#DIV/0!</v>
      </c>
      <c r="CB56" s="180">
        <f t="shared" si="11"/>
        <v>0</v>
      </c>
      <c r="CC56" s="272" t="e">
        <f t="shared" si="11"/>
        <v>#DIV/0!</v>
      </c>
      <c r="CD56" s="180"/>
      <c r="CE56" s="180"/>
    </row>
    <row r="57" spans="1:85" ht="15.75" customHeight="1" x14ac:dyDescent="0.35">
      <c r="A57" s="180"/>
      <c r="B57" s="180"/>
      <c r="D57" s="241" t="str">
        <f t="shared" si="13"/>
        <v>Investor 2</v>
      </c>
      <c r="E57" s="239">
        <f t="shared" si="13"/>
        <v>0</v>
      </c>
      <c r="F57" s="239">
        <f t="shared" si="13"/>
        <v>0</v>
      </c>
      <c r="G57" s="239">
        <f t="shared" si="13"/>
        <v>0</v>
      </c>
      <c r="H57" s="238">
        <f t="shared" si="13"/>
        <v>0</v>
      </c>
      <c r="I57" s="239">
        <f t="shared" si="13"/>
        <v>0</v>
      </c>
      <c r="J57" s="272" t="e">
        <f t="shared" si="14"/>
        <v>#DIV/0!</v>
      </c>
      <c r="K57" s="288">
        <f t="shared" si="13"/>
        <v>0</v>
      </c>
      <c r="L57" s="272">
        <f t="shared" si="13"/>
        <v>0</v>
      </c>
      <c r="M57" s="272">
        <f t="shared" si="13"/>
        <v>0</v>
      </c>
      <c r="N57" s="288" t="e">
        <f t="shared" si="13"/>
        <v>#DIV/0!</v>
      </c>
      <c r="O57" s="288" t="e">
        <f t="shared" si="13"/>
        <v>#DIV/0!</v>
      </c>
      <c r="P57" s="238">
        <f t="shared" si="13"/>
        <v>0</v>
      </c>
      <c r="Q57" s="239">
        <f t="shared" si="13"/>
        <v>0</v>
      </c>
      <c r="R57" s="272">
        <f t="shared" si="15"/>
        <v>0</v>
      </c>
      <c r="S57" s="288">
        <f t="shared" si="13"/>
        <v>0</v>
      </c>
      <c r="T57" s="272">
        <f t="shared" si="13"/>
        <v>0</v>
      </c>
      <c r="U57" s="272">
        <f t="shared" si="13"/>
        <v>0</v>
      </c>
      <c r="V57" s="288" t="e">
        <f t="shared" si="13"/>
        <v>#DIV/0!</v>
      </c>
      <c r="W57" s="288" t="e">
        <f t="shared" si="13"/>
        <v>#DIV/0!</v>
      </c>
      <c r="X57" s="238">
        <f t="shared" si="13"/>
        <v>0</v>
      </c>
      <c r="Y57" s="239">
        <f t="shared" si="13"/>
        <v>0</v>
      </c>
      <c r="Z57" s="272">
        <f t="shared" si="16"/>
        <v>0</v>
      </c>
      <c r="AA57" s="288">
        <f t="shared" si="13"/>
        <v>0</v>
      </c>
      <c r="AB57" s="272">
        <f t="shared" si="13"/>
        <v>0</v>
      </c>
      <c r="AC57" s="272">
        <f t="shared" si="13"/>
        <v>0</v>
      </c>
      <c r="AD57" s="288" t="e">
        <f t="shared" si="13"/>
        <v>#DIV/0!</v>
      </c>
      <c r="AE57" s="288" t="e">
        <f t="shared" si="13"/>
        <v>#DIV/0!</v>
      </c>
      <c r="AF57" s="238">
        <f t="shared" si="13"/>
        <v>0</v>
      </c>
      <c r="AG57" s="239">
        <f t="shared" si="13"/>
        <v>0</v>
      </c>
      <c r="AH57" s="272">
        <f t="shared" si="17"/>
        <v>0</v>
      </c>
      <c r="AI57" s="288">
        <f t="shared" si="13"/>
        <v>0</v>
      </c>
      <c r="AJ57" s="272">
        <f t="shared" si="13"/>
        <v>0</v>
      </c>
      <c r="AK57" s="272">
        <f t="shared" si="13"/>
        <v>0</v>
      </c>
      <c r="AL57" s="288" t="e">
        <f t="shared" si="13"/>
        <v>#DIV/0!</v>
      </c>
      <c r="AM57" s="288" t="e">
        <f t="shared" si="13"/>
        <v>#DIV/0!</v>
      </c>
      <c r="AN57" s="238">
        <f t="shared" si="13"/>
        <v>0</v>
      </c>
      <c r="AO57" s="239">
        <f t="shared" si="13"/>
        <v>0</v>
      </c>
      <c r="AP57" s="272">
        <f t="shared" si="18"/>
        <v>0</v>
      </c>
      <c r="AQ57" s="288">
        <f t="shared" si="13"/>
        <v>0</v>
      </c>
      <c r="AR57" s="272">
        <f t="shared" si="13"/>
        <v>0</v>
      </c>
      <c r="AS57" s="272">
        <f t="shared" si="13"/>
        <v>0</v>
      </c>
      <c r="AT57" s="288" t="e">
        <f t="shared" si="13"/>
        <v>#DIV/0!</v>
      </c>
      <c r="AU57" s="288" t="e">
        <f t="shared" si="13"/>
        <v>#DIV/0!</v>
      </c>
      <c r="AV57" s="238">
        <f t="shared" si="13"/>
        <v>0</v>
      </c>
      <c r="AW57" s="239">
        <f t="shared" si="13"/>
        <v>0</v>
      </c>
      <c r="AX57" s="272">
        <f t="shared" si="19"/>
        <v>0</v>
      </c>
      <c r="AY57" s="288">
        <f t="shared" si="13"/>
        <v>0</v>
      </c>
      <c r="AZ57" s="272">
        <f t="shared" si="13"/>
        <v>0</v>
      </c>
      <c r="BA57" s="272">
        <f t="shared" si="13"/>
        <v>0</v>
      </c>
      <c r="BB57" s="288" t="e">
        <f t="shared" si="13"/>
        <v>#DIV/0!</v>
      </c>
      <c r="BC57" s="288" t="e">
        <f t="shared" si="13"/>
        <v>#DIV/0!</v>
      </c>
      <c r="BD57" s="238">
        <f t="shared" si="13"/>
        <v>0</v>
      </c>
      <c r="BE57" s="239">
        <f t="shared" si="13"/>
        <v>0</v>
      </c>
      <c r="BF57" s="272">
        <f t="shared" si="20"/>
        <v>0</v>
      </c>
      <c r="BG57" s="288">
        <f t="shared" si="13"/>
        <v>0</v>
      </c>
      <c r="BH57" s="272">
        <f t="shared" si="13"/>
        <v>0</v>
      </c>
      <c r="BI57" s="272">
        <f t="shared" si="13"/>
        <v>0</v>
      </c>
      <c r="BJ57" s="288" t="e">
        <f t="shared" si="13"/>
        <v>#DIV/0!</v>
      </c>
      <c r="BK57" s="288" t="e">
        <f t="shared" si="13"/>
        <v>#DIV/0!</v>
      </c>
      <c r="BL57" s="238">
        <f t="shared" si="13"/>
        <v>0</v>
      </c>
      <c r="BM57" s="239">
        <f t="shared" si="13"/>
        <v>0</v>
      </c>
      <c r="BN57" s="272">
        <f t="shared" si="21"/>
        <v>0</v>
      </c>
      <c r="BO57" s="288">
        <f t="shared" si="13"/>
        <v>0</v>
      </c>
      <c r="BP57" s="272">
        <f t="shared" si="11"/>
        <v>0</v>
      </c>
      <c r="BQ57" s="272">
        <f t="shared" si="11"/>
        <v>0</v>
      </c>
      <c r="BR57" s="288" t="e">
        <f t="shared" si="11"/>
        <v>#DIV/0!</v>
      </c>
      <c r="BS57" s="288" t="e">
        <f t="shared" si="11"/>
        <v>#DIV/0!</v>
      </c>
      <c r="BT57" s="238">
        <f t="shared" si="11"/>
        <v>0</v>
      </c>
      <c r="BU57" s="239">
        <f t="shared" si="11"/>
        <v>0</v>
      </c>
      <c r="BV57" s="272">
        <f t="shared" si="22"/>
        <v>0</v>
      </c>
      <c r="BW57" s="288">
        <f t="shared" si="11"/>
        <v>0</v>
      </c>
      <c r="BX57" s="272">
        <f t="shared" si="11"/>
        <v>0</v>
      </c>
      <c r="BY57" s="272">
        <f t="shared" si="11"/>
        <v>0</v>
      </c>
      <c r="BZ57" s="288" t="e">
        <f t="shared" si="11"/>
        <v>#DIV/0!</v>
      </c>
      <c r="CA57" s="288" t="e">
        <f t="shared" si="11"/>
        <v>#DIV/0!</v>
      </c>
      <c r="CB57" s="242">
        <f t="shared" si="11"/>
        <v>0</v>
      </c>
      <c r="CC57" s="272" t="e">
        <f t="shared" si="11"/>
        <v>#DIV/0!</v>
      </c>
      <c r="CD57" s="242"/>
      <c r="CE57" s="242"/>
    </row>
    <row r="58" spans="1:85" ht="15.75" customHeight="1" x14ac:dyDescent="0.35">
      <c r="A58" s="180"/>
      <c r="B58" s="180"/>
      <c r="D58" s="241" t="str">
        <f t="shared" si="13"/>
        <v>Investor 3</v>
      </c>
      <c r="E58" s="239">
        <f t="shared" si="13"/>
        <v>0</v>
      </c>
      <c r="F58" s="239">
        <f t="shared" si="13"/>
        <v>0</v>
      </c>
      <c r="G58" s="239">
        <f t="shared" si="13"/>
        <v>0</v>
      </c>
      <c r="H58" s="238">
        <f t="shared" si="13"/>
        <v>0</v>
      </c>
      <c r="I58" s="239">
        <f t="shared" si="13"/>
        <v>0</v>
      </c>
      <c r="J58" s="272" t="e">
        <f t="shared" si="14"/>
        <v>#DIV/0!</v>
      </c>
      <c r="K58" s="288">
        <f t="shared" si="13"/>
        <v>0</v>
      </c>
      <c r="L58" s="272">
        <f t="shared" si="13"/>
        <v>0</v>
      </c>
      <c r="M58" s="272">
        <f t="shared" si="13"/>
        <v>0</v>
      </c>
      <c r="N58" s="288" t="e">
        <f t="shared" si="13"/>
        <v>#DIV/0!</v>
      </c>
      <c r="O58" s="288" t="e">
        <f t="shared" si="13"/>
        <v>#DIV/0!</v>
      </c>
      <c r="P58" s="238">
        <f t="shared" si="13"/>
        <v>0</v>
      </c>
      <c r="Q58" s="239">
        <f t="shared" si="13"/>
        <v>0</v>
      </c>
      <c r="R58" s="272">
        <f t="shared" si="15"/>
        <v>0</v>
      </c>
      <c r="S58" s="288">
        <f t="shared" si="13"/>
        <v>0</v>
      </c>
      <c r="T58" s="272">
        <f t="shared" si="13"/>
        <v>0</v>
      </c>
      <c r="U58" s="272">
        <f t="shared" si="13"/>
        <v>0</v>
      </c>
      <c r="V58" s="288" t="e">
        <f t="shared" si="13"/>
        <v>#DIV/0!</v>
      </c>
      <c r="W58" s="288" t="e">
        <f t="shared" si="13"/>
        <v>#DIV/0!</v>
      </c>
      <c r="X58" s="238">
        <f t="shared" si="13"/>
        <v>0</v>
      </c>
      <c r="Y58" s="239">
        <f t="shared" si="13"/>
        <v>0</v>
      </c>
      <c r="Z58" s="272">
        <f t="shared" si="16"/>
        <v>0</v>
      </c>
      <c r="AA58" s="288">
        <f t="shared" si="13"/>
        <v>0</v>
      </c>
      <c r="AB58" s="272">
        <f t="shared" si="13"/>
        <v>0</v>
      </c>
      <c r="AC58" s="272">
        <f t="shared" si="13"/>
        <v>0</v>
      </c>
      <c r="AD58" s="288" t="e">
        <f t="shared" ref="AA58:AG70" si="23">AD23</f>
        <v>#DIV/0!</v>
      </c>
      <c r="AE58" s="288" t="e">
        <f t="shared" si="23"/>
        <v>#DIV/0!</v>
      </c>
      <c r="AF58" s="238">
        <f t="shared" si="23"/>
        <v>0</v>
      </c>
      <c r="AG58" s="239">
        <f t="shared" si="23"/>
        <v>0</v>
      </c>
      <c r="AH58" s="272">
        <f t="shared" si="17"/>
        <v>0</v>
      </c>
      <c r="AI58" s="288">
        <f t="shared" ref="AI58:AX73" si="24">AI23</f>
        <v>0</v>
      </c>
      <c r="AJ58" s="272">
        <f t="shared" si="24"/>
        <v>0</v>
      </c>
      <c r="AK58" s="272">
        <f t="shared" si="24"/>
        <v>0</v>
      </c>
      <c r="AL58" s="288" t="e">
        <f t="shared" si="24"/>
        <v>#DIV/0!</v>
      </c>
      <c r="AM58" s="288" t="e">
        <f t="shared" si="24"/>
        <v>#DIV/0!</v>
      </c>
      <c r="AN58" s="238">
        <f t="shared" si="24"/>
        <v>0</v>
      </c>
      <c r="AO58" s="239">
        <f t="shared" si="24"/>
        <v>0</v>
      </c>
      <c r="AP58" s="272">
        <f t="shared" si="18"/>
        <v>0</v>
      </c>
      <c r="AQ58" s="288">
        <f t="shared" ref="AQ58:AW70" si="25">AQ23</f>
        <v>0</v>
      </c>
      <c r="AR58" s="272">
        <f t="shared" si="25"/>
        <v>0</v>
      </c>
      <c r="AS58" s="272">
        <f t="shared" si="25"/>
        <v>0</v>
      </c>
      <c r="AT58" s="288" t="e">
        <f t="shared" si="25"/>
        <v>#DIV/0!</v>
      </c>
      <c r="AU58" s="288" t="e">
        <f t="shared" si="25"/>
        <v>#DIV/0!</v>
      </c>
      <c r="AV58" s="238">
        <f t="shared" si="25"/>
        <v>0</v>
      </c>
      <c r="AW58" s="239">
        <f t="shared" si="25"/>
        <v>0</v>
      </c>
      <c r="AX58" s="272">
        <f t="shared" si="19"/>
        <v>0</v>
      </c>
      <c r="AY58" s="288">
        <f t="shared" ref="AY58:BN73" si="26">AY23</f>
        <v>0</v>
      </c>
      <c r="AZ58" s="272">
        <f t="shared" si="26"/>
        <v>0</v>
      </c>
      <c r="BA58" s="272">
        <f t="shared" si="26"/>
        <v>0</v>
      </c>
      <c r="BB58" s="288" t="e">
        <f t="shared" si="26"/>
        <v>#DIV/0!</v>
      </c>
      <c r="BC58" s="288" t="e">
        <f t="shared" si="26"/>
        <v>#DIV/0!</v>
      </c>
      <c r="BD58" s="238">
        <f t="shared" si="26"/>
        <v>0</v>
      </c>
      <c r="BE58" s="239">
        <f t="shared" si="26"/>
        <v>0</v>
      </c>
      <c r="BF58" s="272">
        <f t="shared" si="20"/>
        <v>0</v>
      </c>
      <c r="BG58" s="288">
        <f t="shared" ref="BG58:BM70" si="27">BG23</f>
        <v>0</v>
      </c>
      <c r="BH58" s="272">
        <f t="shared" si="27"/>
        <v>0</v>
      </c>
      <c r="BI58" s="272">
        <f t="shared" si="27"/>
        <v>0</v>
      </c>
      <c r="BJ58" s="288" t="e">
        <f t="shared" si="27"/>
        <v>#DIV/0!</v>
      </c>
      <c r="BK58" s="288" t="e">
        <f t="shared" si="27"/>
        <v>#DIV/0!</v>
      </c>
      <c r="BL58" s="238">
        <f t="shared" si="27"/>
        <v>0</v>
      </c>
      <c r="BM58" s="239">
        <f t="shared" si="27"/>
        <v>0</v>
      </c>
      <c r="BN58" s="272">
        <f t="shared" si="21"/>
        <v>0</v>
      </c>
      <c r="BO58" s="288">
        <f t="shared" ref="BO58:CC73" si="28">BO23</f>
        <v>0</v>
      </c>
      <c r="BP58" s="272">
        <f t="shared" si="11"/>
        <v>0</v>
      </c>
      <c r="BQ58" s="272">
        <f t="shared" si="11"/>
        <v>0</v>
      </c>
      <c r="BR58" s="288" t="e">
        <f t="shared" si="11"/>
        <v>#DIV/0!</v>
      </c>
      <c r="BS58" s="288" t="e">
        <f t="shared" si="11"/>
        <v>#DIV/0!</v>
      </c>
      <c r="BT58" s="238">
        <f t="shared" si="11"/>
        <v>0</v>
      </c>
      <c r="BU58" s="239">
        <f t="shared" si="11"/>
        <v>0</v>
      </c>
      <c r="BV58" s="272">
        <f t="shared" si="22"/>
        <v>0</v>
      </c>
      <c r="BW58" s="288">
        <f t="shared" si="11"/>
        <v>0</v>
      </c>
      <c r="BX58" s="272">
        <f t="shared" si="11"/>
        <v>0</v>
      </c>
      <c r="BY58" s="272">
        <f t="shared" si="11"/>
        <v>0</v>
      </c>
      <c r="BZ58" s="288" t="e">
        <f t="shared" si="11"/>
        <v>#DIV/0!</v>
      </c>
      <c r="CA58" s="288" t="e">
        <f t="shared" si="11"/>
        <v>#DIV/0!</v>
      </c>
      <c r="CB58" s="180">
        <f t="shared" si="11"/>
        <v>0</v>
      </c>
      <c r="CC58" s="272" t="e">
        <f t="shared" si="11"/>
        <v>#DIV/0!</v>
      </c>
      <c r="CD58" s="180"/>
      <c r="CE58" s="180"/>
    </row>
    <row r="59" spans="1:85" ht="15.75" customHeight="1" x14ac:dyDescent="0.35">
      <c r="A59" s="180"/>
      <c r="B59" s="180"/>
      <c r="D59" s="241" t="str">
        <f t="shared" ref="D59:S73" si="29">D24</f>
        <v>Investor 4</v>
      </c>
      <c r="E59" s="239">
        <f t="shared" si="29"/>
        <v>0</v>
      </c>
      <c r="F59" s="239">
        <f t="shared" si="29"/>
        <v>0</v>
      </c>
      <c r="G59" s="239">
        <f t="shared" si="29"/>
        <v>0</v>
      </c>
      <c r="H59" s="238">
        <f t="shared" si="29"/>
        <v>0</v>
      </c>
      <c r="I59" s="239">
        <f t="shared" si="29"/>
        <v>0</v>
      </c>
      <c r="J59" s="272" t="e">
        <f t="shared" si="14"/>
        <v>#DIV/0!</v>
      </c>
      <c r="K59" s="288">
        <f t="shared" ref="K59:Q70" si="30">K24</f>
        <v>0</v>
      </c>
      <c r="L59" s="272">
        <f t="shared" si="30"/>
        <v>0</v>
      </c>
      <c r="M59" s="272">
        <f t="shared" si="30"/>
        <v>0</v>
      </c>
      <c r="N59" s="288" t="e">
        <f t="shared" si="30"/>
        <v>#DIV/0!</v>
      </c>
      <c r="O59" s="288" t="e">
        <f t="shared" si="30"/>
        <v>#DIV/0!</v>
      </c>
      <c r="P59" s="238">
        <f t="shared" si="30"/>
        <v>0</v>
      </c>
      <c r="Q59" s="239">
        <f t="shared" si="30"/>
        <v>0</v>
      </c>
      <c r="R59" s="272">
        <f t="shared" si="15"/>
        <v>0</v>
      </c>
      <c r="S59" s="288">
        <f t="shared" ref="S59:AH73" si="31">S24</f>
        <v>0</v>
      </c>
      <c r="T59" s="272">
        <f t="shared" si="31"/>
        <v>0</v>
      </c>
      <c r="U59" s="272">
        <f t="shared" si="31"/>
        <v>0</v>
      </c>
      <c r="V59" s="288" t="e">
        <f t="shared" si="31"/>
        <v>#DIV/0!</v>
      </c>
      <c r="W59" s="288" t="e">
        <f t="shared" si="31"/>
        <v>#DIV/0!</v>
      </c>
      <c r="X59" s="238">
        <f t="shared" si="31"/>
        <v>0</v>
      </c>
      <c r="Y59" s="239">
        <f t="shared" si="31"/>
        <v>0</v>
      </c>
      <c r="Z59" s="272">
        <f t="shared" si="16"/>
        <v>0</v>
      </c>
      <c r="AA59" s="288">
        <f t="shared" si="23"/>
        <v>0</v>
      </c>
      <c r="AB59" s="272">
        <f t="shared" si="23"/>
        <v>0</v>
      </c>
      <c r="AC59" s="272">
        <f t="shared" si="23"/>
        <v>0</v>
      </c>
      <c r="AD59" s="288" t="e">
        <f t="shared" si="23"/>
        <v>#DIV/0!</v>
      </c>
      <c r="AE59" s="288" t="e">
        <f t="shared" si="23"/>
        <v>#DIV/0!</v>
      </c>
      <c r="AF59" s="238">
        <f t="shared" si="23"/>
        <v>0</v>
      </c>
      <c r="AG59" s="239">
        <f t="shared" si="23"/>
        <v>0</v>
      </c>
      <c r="AH59" s="272">
        <f t="shared" si="17"/>
        <v>0</v>
      </c>
      <c r="AI59" s="288">
        <f t="shared" si="24"/>
        <v>0</v>
      </c>
      <c r="AJ59" s="272">
        <f t="shared" si="24"/>
        <v>0</v>
      </c>
      <c r="AK59" s="272">
        <f t="shared" si="24"/>
        <v>0</v>
      </c>
      <c r="AL59" s="288" t="e">
        <f t="shared" si="24"/>
        <v>#DIV/0!</v>
      </c>
      <c r="AM59" s="288" t="e">
        <f t="shared" si="24"/>
        <v>#DIV/0!</v>
      </c>
      <c r="AN59" s="238">
        <f t="shared" si="24"/>
        <v>0</v>
      </c>
      <c r="AO59" s="239">
        <f t="shared" si="24"/>
        <v>0</v>
      </c>
      <c r="AP59" s="272">
        <f t="shared" si="18"/>
        <v>0</v>
      </c>
      <c r="AQ59" s="288">
        <f t="shared" si="25"/>
        <v>0</v>
      </c>
      <c r="AR59" s="272">
        <f t="shared" si="25"/>
        <v>0</v>
      </c>
      <c r="AS59" s="272">
        <f t="shared" si="25"/>
        <v>0</v>
      </c>
      <c r="AT59" s="288" t="e">
        <f t="shared" si="25"/>
        <v>#DIV/0!</v>
      </c>
      <c r="AU59" s="288" t="e">
        <f t="shared" si="25"/>
        <v>#DIV/0!</v>
      </c>
      <c r="AV59" s="238">
        <f t="shared" si="25"/>
        <v>0</v>
      </c>
      <c r="AW59" s="239">
        <f t="shared" si="25"/>
        <v>0</v>
      </c>
      <c r="AX59" s="272">
        <f t="shared" si="19"/>
        <v>0</v>
      </c>
      <c r="AY59" s="288">
        <f t="shared" si="26"/>
        <v>0</v>
      </c>
      <c r="AZ59" s="272">
        <f t="shared" si="26"/>
        <v>0</v>
      </c>
      <c r="BA59" s="272">
        <f t="shared" si="26"/>
        <v>0</v>
      </c>
      <c r="BB59" s="288" t="e">
        <f t="shared" si="26"/>
        <v>#DIV/0!</v>
      </c>
      <c r="BC59" s="288" t="e">
        <f t="shared" si="26"/>
        <v>#DIV/0!</v>
      </c>
      <c r="BD59" s="238">
        <f t="shared" si="26"/>
        <v>0</v>
      </c>
      <c r="BE59" s="239">
        <f t="shared" si="26"/>
        <v>0</v>
      </c>
      <c r="BF59" s="272">
        <f t="shared" si="20"/>
        <v>0</v>
      </c>
      <c r="BG59" s="288">
        <f t="shared" si="27"/>
        <v>0</v>
      </c>
      <c r="BH59" s="272">
        <f t="shared" si="27"/>
        <v>0</v>
      </c>
      <c r="BI59" s="272">
        <f t="shared" si="27"/>
        <v>0</v>
      </c>
      <c r="BJ59" s="288" t="e">
        <f t="shared" si="27"/>
        <v>#DIV/0!</v>
      </c>
      <c r="BK59" s="288" t="e">
        <f t="shared" si="27"/>
        <v>#DIV/0!</v>
      </c>
      <c r="BL59" s="238">
        <f t="shared" si="27"/>
        <v>0</v>
      </c>
      <c r="BM59" s="239">
        <f t="shared" si="27"/>
        <v>0</v>
      </c>
      <c r="BN59" s="272">
        <f t="shared" si="21"/>
        <v>0</v>
      </c>
      <c r="BO59" s="288">
        <f t="shared" si="28"/>
        <v>0</v>
      </c>
      <c r="BP59" s="272">
        <f t="shared" si="11"/>
        <v>0</v>
      </c>
      <c r="BQ59" s="272">
        <f t="shared" si="11"/>
        <v>0</v>
      </c>
      <c r="BR59" s="288" t="e">
        <f t="shared" si="11"/>
        <v>#DIV/0!</v>
      </c>
      <c r="BS59" s="288" t="e">
        <f t="shared" si="11"/>
        <v>#DIV/0!</v>
      </c>
      <c r="BT59" s="238">
        <f t="shared" si="11"/>
        <v>0</v>
      </c>
      <c r="BU59" s="239">
        <f t="shared" si="11"/>
        <v>0</v>
      </c>
      <c r="BV59" s="272">
        <f t="shared" si="22"/>
        <v>0</v>
      </c>
      <c r="BW59" s="288">
        <f t="shared" si="11"/>
        <v>0</v>
      </c>
      <c r="BX59" s="272">
        <f t="shared" si="11"/>
        <v>0</v>
      </c>
      <c r="BY59" s="272">
        <f t="shared" si="11"/>
        <v>0</v>
      </c>
      <c r="BZ59" s="288" t="e">
        <f t="shared" si="11"/>
        <v>#DIV/0!</v>
      </c>
      <c r="CA59" s="288" t="e">
        <f t="shared" si="11"/>
        <v>#DIV/0!</v>
      </c>
      <c r="CB59" s="180">
        <f t="shared" si="11"/>
        <v>0</v>
      </c>
      <c r="CC59" s="272" t="e">
        <f t="shared" si="11"/>
        <v>#DIV/0!</v>
      </c>
      <c r="CD59" s="180"/>
      <c r="CE59" s="180"/>
    </row>
    <row r="60" spans="1:85" ht="15.75" customHeight="1" x14ac:dyDescent="0.35">
      <c r="A60" s="180"/>
      <c r="B60" s="180"/>
      <c r="D60" s="241" t="str">
        <f t="shared" si="29"/>
        <v>Investor 5</v>
      </c>
      <c r="E60" s="239">
        <f t="shared" si="29"/>
        <v>0</v>
      </c>
      <c r="F60" s="239">
        <f t="shared" si="29"/>
        <v>0</v>
      </c>
      <c r="G60" s="239">
        <f t="shared" si="29"/>
        <v>0</v>
      </c>
      <c r="H60" s="238">
        <f t="shared" si="29"/>
        <v>0</v>
      </c>
      <c r="I60" s="239">
        <f t="shared" si="29"/>
        <v>0</v>
      </c>
      <c r="J60" s="272" t="e">
        <f t="shared" si="14"/>
        <v>#DIV/0!</v>
      </c>
      <c r="K60" s="288">
        <f t="shared" si="30"/>
        <v>0</v>
      </c>
      <c r="L60" s="272">
        <f t="shared" si="30"/>
        <v>0</v>
      </c>
      <c r="M60" s="272">
        <f t="shared" si="30"/>
        <v>0</v>
      </c>
      <c r="N60" s="288" t="e">
        <f t="shared" si="30"/>
        <v>#DIV/0!</v>
      </c>
      <c r="O60" s="288" t="e">
        <f t="shared" si="30"/>
        <v>#DIV/0!</v>
      </c>
      <c r="P60" s="238">
        <f t="shared" si="30"/>
        <v>0</v>
      </c>
      <c r="Q60" s="239">
        <f t="shared" si="30"/>
        <v>0</v>
      </c>
      <c r="R60" s="272">
        <f t="shared" si="15"/>
        <v>0</v>
      </c>
      <c r="S60" s="288">
        <f t="shared" si="31"/>
        <v>0</v>
      </c>
      <c r="T60" s="272">
        <f t="shared" si="31"/>
        <v>0</v>
      </c>
      <c r="U60" s="272">
        <f t="shared" si="31"/>
        <v>0</v>
      </c>
      <c r="V60" s="288" t="e">
        <f t="shared" si="31"/>
        <v>#DIV/0!</v>
      </c>
      <c r="W60" s="288" t="e">
        <f t="shared" si="31"/>
        <v>#DIV/0!</v>
      </c>
      <c r="X60" s="238">
        <f t="shared" si="31"/>
        <v>0</v>
      </c>
      <c r="Y60" s="239">
        <f t="shared" si="31"/>
        <v>0</v>
      </c>
      <c r="Z60" s="272">
        <f t="shared" si="16"/>
        <v>0</v>
      </c>
      <c r="AA60" s="288">
        <f t="shared" si="23"/>
        <v>0</v>
      </c>
      <c r="AB60" s="272">
        <f t="shared" si="23"/>
        <v>0</v>
      </c>
      <c r="AC60" s="272">
        <f t="shared" si="23"/>
        <v>0</v>
      </c>
      <c r="AD60" s="288" t="e">
        <f t="shared" si="23"/>
        <v>#DIV/0!</v>
      </c>
      <c r="AE60" s="288" t="e">
        <f t="shared" si="23"/>
        <v>#DIV/0!</v>
      </c>
      <c r="AF60" s="238">
        <f t="shared" si="23"/>
        <v>0</v>
      </c>
      <c r="AG60" s="239">
        <f t="shared" si="23"/>
        <v>0</v>
      </c>
      <c r="AH60" s="272">
        <f t="shared" si="17"/>
        <v>0</v>
      </c>
      <c r="AI60" s="288">
        <f t="shared" si="24"/>
        <v>0</v>
      </c>
      <c r="AJ60" s="272">
        <f t="shared" si="24"/>
        <v>0</v>
      </c>
      <c r="AK60" s="272">
        <f t="shared" si="24"/>
        <v>0</v>
      </c>
      <c r="AL60" s="288" t="e">
        <f t="shared" si="24"/>
        <v>#DIV/0!</v>
      </c>
      <c r="AM60" s="288" t="e">
        <f t="shared" si="24"/>
        <v>#DIV/0!</v>
      </c>
      <c r="AN60" s="238">
        <f t="shared" si="24"/>
        <v>0</v>
      </c>
      <c r="AO60" s="239">
        <f t="shared" si="24"/>
        <v>0</v>
      </c>
      <c r="AP60" s="272">
        <f t="shared" si="18"/>
        <v>0</v>
      </c>
      <c r="AQ60" s="288">
        <f t="shared" si="25"/>
        <v>0</v>
      </c>
      <c r="AR60" s="272">
        <f t="shared" si="25"/>
        <v>0</v>
      </c>
      <c r="AS60" s="272">
        <f t="shared" si="25"/>
        <v>0</v>
      </c>
      <c r="AT60" s="288" t="e">
        <f t="shared" si="25"/>
        <v>#DIV/0!</v>
      </c>
      <c r="AU60" s="288" t="e">
        <f t="shared" si="25"/>
        <v>#DIV/0!</v>
      </c>
      <c r="AV60" s="238">
        <f t="shared" si="25"/>
        <v>0</v>
      </c>
      <c r="AW60" s="239">
        <f t="shared" si="25"/>
        <v>0</v>
      </c>
      <c r="AX60" s="272">
        <f t="shared" si="19"/>
        <v>0</v>
      </c>
      <c r="AY60" s="288">
        <f t="shared" si="26"/>
        <v>0</v>
      </c>
      <c r="AZ60" s="272">
        <f t="shared" si="26"/>
        <v>0</v>
      </c>
      <c r="BA60" s="272">
        <f t="shared" si="26"/>
        <v>0</v>
      </c>
      <c r="BB60" s="288" t="e">
        <f t="shared" si="26"/>
        <v>#DIV/0!</v>
      </c>
      <c r="BC60" s="288" t="e">
        <f t="shared" si="26"/>
        <v>#DIV/0!</v>
      </c>
      <c r="BD60" s="238">
        <f t="shared" si="26"/>
        <v>0</v>
      </c>
      <c r="BE60" s="239">
        <f t="shared" si="26"/>
        <v>0</v>
      </c>
      <c r="BF60" s="272">
        <f t="shared" si="20"/>
        <v>0</v>
      </c>
      <c r="BG60" s="288">
        <f t="shared" si="27"/>
        <v>0</v>
      </c>
      <c r="BH60" s="272">
        <f t="shared" si="27"/>
        <v>0</v>
      </c>
      <c r="BI60" s="272">
        <f t="shared" si="27"/>
        <v>0</v>
      </c>
      <c r="BJ60" s="288" t="e">
        <f t="shared" si="27"/>
        <v>#DIV/0!</v>
      </c>
      <c r="BK60" s="288" t="e">
        <f t="shared" si="27"/>
        <v>#DIV/0!</v>
      </c>
      <c r="BL60" s="238">
        <f t="shared" si="27"/>
        <v>0</v>
      </c>
      <c r="BM60" s="239">
        <f t="shared" si="27"/>
        <v>0</v>
      </c>
      <c r="BN60" s="272">
        <f t="shared" si="21"/>
        <v>0</v>
      </c>
      <c r="BO60" s="288">
        <f t="shared" si="28"/>
        <v>0</v>
      </c>
      <c r="BP60" s="272">
        <f t="shared" si="11"/>
        <v>0</v>
      </c>
      <c r="BQ60" s="272">
        <f t="shared" si="11"/>
        <v>0</v>
      </c>
      <c r="BR60" s="288" t="e">
        <f t="shared" si="11"/>
        <v>#DIV/0!</v>
      </c>
      <c r="BS60" s="288" t="e">
        <f t="shared" si="11"/>
        <v>#DIV/0!</v>
      </c>
      <c r="BT60" s="238">
        <f t="shared" si="11"/>
        <v>0</v>
      </c>
      <c r="BU60" s="239">
        <f t="shared" si="11"/>
        <v>0</v>
      </c>
      <c r="BV60" s="272">
        <f t="shared" si="22"/>
        <v>0</v>
      </c>
      <c r="BW60" s="288">
        <f t="shared" si="11"/>
        <v>0</v>
      </c>
      <c r="BX60" s="272">
        <f t="shared" si="11"/>
        <v>0</v>
      </c>
      <c r="BY60" s="272">
        <f t="shared" si="11"/>
        <v>0</v>
      </c>
      <c r="BZ60" s="288" t="e">
        <f t="shared" si="11"/>
        <v>#DIV/0!</v>
      </c>
      <c r="CA60" s="288" t="e">
        <f t="shared" si="11"/>
        <v>#DIV/0!</v>
      </c>
      <c r="CB60" s="180">
        <f t="shared" si="11"/>
        <v>0</v>
      </c>
      <c r="CC60" s="272" t="e">
        <f t="shared" si="11"/>
        <v>#DIV/0!</v>
      </c>
      <c r="CD60" s="180"/>
      <c r="CE60" s="180"/>
    </row>
    <row r="61" spans="1:85" ht="15.75" customHeight="1" x14ac:dyDescent="0.35">
      <c r="A61" s="180"/>
      <c r="B61" s="180"/>
      <c r="D61" s="241" t="str">
        <f t="shared" si="29"/>
        <v>Investor 6</v>
      </c>
      <c r="E61" s="239">
        <f t="shared" si="29"/>
        <v>0</v>
      </c>
      <c r="F61" s="239">
        <f t="shared" si="29"/>
        <v>0</v>
      </c>
      <c r="G61" s="239">
        <f t="shared" si="29"/>
        <v>0</v>
      </c>
      <c r="H61" s="238">
        <f t="shared" si="29"/>
        <v>0</v>
      </c>
      <c r="I61" s="239">
        <f t="shared" si="29"/>
        <v>0</v>
      </c>
      <c r="J61" s="272" t="e">
        <f t="shared" si="14"/>
        <v>#DIV/0!</v>
      </c>
      <c r="K61" s="288">
        <f t="shared" si="30"/>
        <v>0</v>
      </c>
      <c r="L61" s="272">
        <f t="shared" si="30"/>
        <v>0</v>
      </c>
      <c r="M61" s="272">
        <f t="shared" si="30"/>
        <v>0</v>
      </c>
      <c r="N61" s="288" t="e">
        <f t="shared" si="30"/>
        <v>#DIV/0!</v>
      </c>
      <c r="O61" s="288" t="e">
        <f t="shared" si="30"/>
        <v>#DIV/0!</v>
      </c>
      <c r="P61" s="238">
        <f t="shared" si="30"/>
        <v>0</v>
      </c>
      <c r="Q61" s="239">
        <f t="shared" si="30"/>
        <v>0</v>
      </c>
      <c r="R61" s="272">
        <f t="shared" si="15"/>
        <v>0</v>
      </c>
      <c r="S61" s="288">
        <f t="shared" si="31"/>
        <v>0</v>
      </c>
      <c r="T61" s="272">
        <f t="shared" si="31"/>
        <v>0</v>
      </c>
      <c r="U61" s="272">
        <f t="shared" si="31"/>
        <v>0</v>
      </c>
      <c r="V61" s="288" t="e">
        <f t="shared" si="31"/>
        <v>#DIV/0!</v>
      </c>
      <c r="W61" s="288" t="e">
        <f t="shared" si="31"/>
        <v>#DIV/0!</v>
      </c>
      <c r="X61" s="238">
        <f t="shared" si="31"/>
        <v>0</v>
      </c>
      <c r="Y61" s="239">
        <f t="shared" si="31"/>
        <v>0</v>
      </c>
      <c r="Z61" s="272">
        <f t="shared" si="16"/>
        <v>0</v>
      </c>
      <c r="AA61" s="288">
        <f t="shared" si="23"/>
        <v>0</v>
      </c>
      <c r="AB61" s="272">
        <f t="shared" si="23"/>
        <v>0</v>
      </c>
      <c r="AC61" s="272">
        <f t="shared" si="23"/>
        <v>0</v>
      </c>
      <c r="AD61" s="288" t="e">
        <f t="shared" si="23"/>
        <v>#DIV/0!</v>
      </c>
      <c r="AE61" s="288" t="e">
        <f t="shared" si="23"/>
        <v>#DIV/0!</v>
      </c>
      <c r="AF61" s="238">
        <f t="shared" si="23"/>
        <v>0</v>
      </c>
      <c r="AG61" s="239">
        <f t="shared" si="23"/>
        <v>0</v>
      </c>
      <c r="AH61" s="272">
        <f t="shared" si="17"/>
        <v>0</v>
      </c>
      <c r="AI61" s="288">
        <f t="shared" si="24"/>
        <v>0</v>
      </c>
      <c r="AJ61" s="272">
        <f t="shared" si="24"/>
        <v>0</v>
      </c>
      <c r="AK61" s="272">
        <f t="shared" si="24"/>
        <v>0</v>
      </c>
      <c r="AL61" s="288" t="e">
        <f t="shared" si="24"/>
        <v>#DIV/0!</v>
      </c>
      <c r="AM61" s="288" t="e">
        <f t="shared" si="24"/>
        <v>#DIV/0!</v>
      </c>
      <c r="AN61" s="238">
        <f t="shared" si="24"/>
        <v>0</v>
      </c>
      <c r="AO61" s="239">
        <f t="shared" si="24"/>
        <v>0</v>
      </c>
      <c r="AP61" s="272">
        <f t="shared" si="18"/>
        <v>0</v>
      </c>
      <c r="AQ61" s="288">
        <f t="shared" si="25"/>
        <v>0</v>
      </c>
      <c r="AR61" s="272">
        <f t="shared" si="25"/>
        <v>0</v>
      </c>
      <c r="AS61" s="272">
        <f t="shared" si="25"/>
        <v>0</v>
      </c>
      <c r="AT61" s="288" t="e">
        <f t="shared" si="25"/>
        <v>#DIV/0!</v>
      </c>
      <c r="AU61" s="288" t="e">
        <f t="shared" si="25"/>
        <v>#DIV/0!</v>
      </c>
      <c r="AV61" s="238">
        <f t="shared" si="25"/>
        <v>0</v>
      </c>
      <c r="AW61" s="239">
        <f t="shared" si="25"/>
        <v>0</v>
      </c>
      <c r="AX61" s="272">
        <f t="shared" si="19"/>
        <v>0</v>
      </c>
      <c r="AY61" s="288">
        <f t="shared" si="26"/>
        <v>0</v>
      </c>
      <c r="AZ61" s="272">
        <f t="shared" si="26"/>
        <v>0</v>
      </c>
      <c r="BA61" s="272">
        <f t="shared" si="26"/>
        <v>0</v>
      </c>
      <c r="BB61" s="288" t="e">
        <f t="shared" si="26"/>
        <v>#DIV/0!</v>
      </c>
      <c r="BC61" s="288" t="e">
        <f t="shared" si="26"/>
        <v>#DIV/0!</v>
      </c>
      <c r="BD61" s="238">
        <f t="shared" si="26"/>
        <v>0</v>
      </c>
      <c r="BE61" s="239">
        <f t="shared" si="26"/>
        <v>0</v>
      </c>
      <c r="BF61" s="272">
        <f t="shared" si="20"/>
        <v>0</v>
      </c>
      <c r="BG61" s="288">
        <f t="shared" si="27"/>
        <v>0</v>
      </c>
      <c r="BH61" s="272">
        <f t="shared" si="27"/>
        <v>0</v>
      </c>
      <c r="BI61" s="272">
        <f t="shared" si="27"/>
        <v>0</v>
      </c>
      <c r="BJ61" s="288" t="e">
        <f t="shared" si="27"/>
        <v>#DIV/0!</v>
      </c>
      <c r="BK61" s="288" t="e">
        <f t="shared" si="27"/>
        <v>#DIV/0!</v>
      </c>
      <c r="BL61" s="238">
        <f t="shared" si="27"/>
        <v>0</v>
      </c>
      <c r="BM61" s="239">
        <f t="shared" si="27"/>
        <v>0</v>
      </c>
      <c r="BN61" s="272">
        <f t="shared" si="21"/>
        <v>0</v>
      </c>
      <c r="BO61" s="288">
        <f t="shared" si="28"/>
        <v>0</v>
      </c>
      <c r="BP61" s="272">
        <f t="shared" si="11"/>
        <v>0</v>
      </c>
      <c r="BQ61" s="272">
        <f t="shared" si="11"/>
        <v>0</v>
      </c>
      <c r="BR61" s="288" t="e">
        <f t="shared" si="11"/>
        <v>#DIV/0!</v>
      </c>
      <c r="BS61" s="288" t="e">
        <f t="shared" si="11"/>
        <v>#DIV/0!</v>
      </c>
      <c r="BT61" s="238">
        <f t="shared" si="11"/>
        <v>0</v>
      </c>
      <c r="BU61" s="239">
        <f t="shared" si="11"/>
        <v>0</v>
      </c>
      <c r="BV61" s="272">
        <f t="shared" si="22"/>
        <v>0</v>
      </c>
      <c r="BW61" s="288">
        <f t="shared" si="11"/>
        <v>0</v>
      </c>
      <c r="BX61" s="272">
        <f t="shared" si="11"/>
        <v>0</v>
      </c>
      <c r="BY61" s="272">
        <f t="shared" si="11"/>
        <v>0</v>
      </c>
      <c r="BZ61" s="288" t="e">
        <f t="shared" si="11"/>
        <v>#DIV/0!</v>
      </c>
      <c r="CA61" s="288" t="e">
        <f t="shared" si="11"/>
        <v>#DIV/0!</v>
      </c>
      <c r="CB61" s="180">
        <f t="shared" si="11"/>
        <v>0</v>
      </c>
      <c r="CC61" s="272" t="e">
        <f t="shared" si="11"/>
        <v>#DIV/0!</v>
      </c>
      <c r="CD61" s="180"/>
      <c r="CE61" s="180"/>
    </row>
    <row r="62" spans="1:85" ht="15.75" customHeight="1" x14ac:dyDescent="0.35">
      <c r="A62" s="180"/>
      <c r="B62" s="180"/>
      <c r="D62" s="241">
        <f t="shared" si="29"/>
        <v>0</v>
      </c>
      <c r="E62" s="239">
        <f t="shared" si="29"/>
        <v>0</v>
      </c>
      <c r="F62" s="239">
        <f t="shared" si="29"/>
        <v>0</v>
      </c>
      <c r="G62" s="239">
        <f t="shared" si="29"/>
        <v>0</v>
      </c>
      <c r="H62" s="238">
        <f t="shared" si="29"/>
        <v>0</v>
      </c>
      <c r="I62" s="239">
        <f t="shared" si="29"/>
        <v>0</v>
      </c>
      <c r="J62" s="272" t="e">
        <f t="shared" si="14"/>
        <v>#DIV/0!</v>
      </c>
      <c r="K62" s="288">
        <f t="shared" si="30"/>
        <v>0</v>
      </c>
      <c r="L62" s="272">
        <f t="shared" si="30"/>
        <v>0</v>
      </c>
      <c r="M62" s="272">
        <f t="shared" si="30"/>
        <v>0</v>
      </c>
      <c r="N62" s="288" t="e">
        <f t="shared" si="30"/>
        <v>#DIV/0!</v>
      </c>
      <c r="O62" s="288" t="e">
        <f t="shared" si="30"/>
        <v>#DIV/0!</v>
      </c>
      <c r="P62" s="238">
        <f t="shared" si="30"/>
        <v>0</v>
      </c>
      <c r="Q62" s="239">
        <f t="shared" si="30"/>
        <v>0</v>
      </c>
      <c r="R62" s="272">
        <f t="shared" si="15"/>
        <v>0</v>
      </c>
      <c r="S62" s="288">
        <f t="shared" si="31"/>
        <v>0</v>
      </c>
      <c r="T62" s="272">
        <f t="shared" si="31"/>
        <v>0</v>
      </c>
      <c r="U62" s="272">
        <f t="shared" si="31"/>
        <v>0</v>
      </c>
      <c r="V62" s="288" t="e">
        <f t="shared" si="31"/>
        <v>#DIV/0!</v>
      </c>
      <c r="W62" s="288" t="e">
        <f t="shared" si="31"/>
        <v>#DIV/0!</v>
      </c>
      <c r="X62" s="238">
        <f t="shared" si="31"/>
        <v>0</v>
      </c>
      <c r="Y62" s="239">
        <f t="shared" si="31"/>
        <v>0</v>
      </c>
      <c r="Z62" s="272">
        <f t="shared" si="16"/>
        <v>0</v>
      </c>
      <c r="AA62" s="288">
        <f t="shared" si="23"/>
        <v>0</v>
      </c>
      <c r="AB62" s="272">
        <f t="shared" si="23"/>
        <v>0</v>
      </c>
      <c r="AC62" s="272">
        <f t="shared" si="23"/>
        <v>0</v>
      </c>
      <c r="AD62" s="288" t="e">
        <f t="shared" si="23"/>
        <v>#DIV/0!</v>
      </c>
      <c r="AE62" s="288" t="e">
        <f t="shared" si="23"/>
        <v>#DIV/0!</v>
      </c>
      <c r="AF62" s="238">
        <f t="shared" si="23"/>
        <v>0</v>
      </c>
      <c r="AG62" s="239">
        <f t="shared" si="23"/>
        <v>0</v>
      </c>
      <c r="AH62" s="272">
        <f t="shared" si="17"/>
        <v>0</v>
      </c>
      <c r="AI62" s="288">
        <f t="shared" si="24"/>
        <v>0</v>
      </c>
      <c r="AJ62" s="272">
        <f t="shared" si="24"/>
        <v>0</v>
      </c>
      <c r="AK62" s="272">
        <f t="shared" si="24"/>
        <v>0</v>
      </c>
      <c r="AL62" s="288" t="e">
        <f t="shared" si="24"/>
        <v>#DIV/0!</v>
      </c>
      <c r="AM62" s="288" t="e">
        <f t="shared" si="24"/>
        <v>#DIV/0!</v>
      </c>
      <c r="AN62" s="238">
        <f t="shared" si="24"/>
        <v>0</v>
      </c>
      <c r="AO62" s="239">
        <f t="shared" si="24"/>
        <v>0</v>
      </c>
      <c r="AP62" s="272">
        <f t="shared" si="18"/>
        <v>0</v>
      </c>
      <c r="AQ62" s="288">
        <f t="shared" si="25"/>
        <v>0</v>
      </c>
      <c r="AR62" s="272">
        <f t="shared" si="25"/>
        <v>0</v>
      </c>
      <c r="AS62" s="272">
        <f t="shared" si="25"/>
        <v>0</v>
      </c>
      <c r="AT62" s="288" t="e">
        <f t="shared" si="25"/>
        <v>#DIV/0!</v>
      </c>
      <c r="AU62" s="288" t="e">
        <f t="shared" si="25"/>
        <v>#DIV/0!</v>
      </c>
      <c r="AV62" s="238">
        <f t="shared" si="25"/>
        <v>0</v>
      </c>
      <c r="AW62" s="239">
        <f t="shared" si="25"/>
        <v>0</v>
      </c>
      <c r="AX62" s="272">
        <f t="shared" si="19"/>
        <v>0</v>
      </c>
      <c r="AY62" s="288">
        <f t="shared" si="26"/>
        <v>0</v>
      </c>
      <c r="AZ62" s="272">
        <f t="shared" si="26"/>
        <v>0</v>
      </c>
      <c r="BA62" s="272">
        <f t="shared" si="26"/>
        <v>0</v>
      </c>
      <c r="BB62" s="288" t="e">
        <f t="shared" si="26"/>
        <v>#DIV/0!</v>
      </c>
      <c r="BC62" s="288" t="e">
        <f t="shared" si="26"/>
        <v>#DIV/0!</v>
      </c>
      <c r="BD62" s="238">
        <f t="shared" si="26"/>
        <v>0</v>
      </c>
      <c r="BE62" s="239">
        <f t="shared" si="26"/>
        <v>0</v>
      </c>
      <c r="BF62" s="272">
        <f t="shared" si="20"/>
        <v>0</v>
      </c>
      <c r="BG62" s="288">
        <f t="shared" si="27"/>
        <v>0</v>
      </c>
      <c r="BH62" s="272">
        <f t="shared" si="27"/>
        <v>0</v>
      </c>
      <c r="BI62" s="272">
        <f t="shared" si="27"/>
        <v>0</v>
      </c>
      <c r="BJ62" s="288" t="e">
        <f t="shared" si="27"/>
        <v>#DIV/0!</v>
      </c>
      <c r="BK62" s="288" t="e">
        <f t="shared" si="27"/>
        <v>#DIV/0!</v>
      </c>
      <c r="BL62" s="238">
        <f t="shared" si="27"/>
        <v>0</v>
      </c>
      <c r="BM62" s="239">
        <f t="shared" si="27"/>
        <v>0</v>
      </c>
      <c r="BN62" s="272">
        <f t="shared" si="21"/>
        <v>0</v>
      </c>
      <c r="BO62" s="288">
        <f t="shared" si="28"/>
        <v>0</v>
      </c>
      <c r="BP62" s="272">
        <f t="shared" si="11"/>
        <v>0</v>
      </c>
      <c r="BQ62" s="272">
        <f t="shared" si="11"/>
        <v>0</v>
      </c>
      <c r="BR62" s="288" t="e">
        <f t="shared" si="11"/>
        <v>#DIV/0!</v>
      </c>
      <c r="BS62" s="288" t="e">
        <f t="shared" si="11"/>
        <v>#DIV/0!</v>
      </c>
      <c r="BT62" s="238">
        <f t="shared" si="11"/>
        <v>0</v>
      </c>
      <c r="BU62" s="239">
        <f t="shared" si="11"/>
        <v>0</v>
      </c>
      <c r="BV62" s="272">
        <f t="shared" si="22"/>
        <v>0</v>
      </c>
      <c r="BW62" s="288">
        <f t="shared" si="11"/>
        <v>0</v>
      </c>
      <c r="BX62" s="272">
        <f t="shared" si="11"/>
        <v>0</v>
      </c>
      <c r="BY62" s="272">
        <f t="shared" si="11"/>
        <v>0</v>
      </c>
      <c r="BZ62" s="288" t="e">
        <f t="shared" si="11"/>
        <v>#DIV/0!</v>
      </c>
      <c r="CA62" s="288" t="e">
        <f t="shared" si="11"/>
        <v>#DIV/0!</v>
      </c>
      <c r="CB62" s="180">
        <f t="shared" si="11"/>
        <v>0</v>
      </c>
      <c r="CC62" s="272" t="e">
        <f t="shared" si="11"/>
        <v>#DIV/0!</v>
      </c>
      <c r="CD62" s="180"/>
      <c r="CE62" s="180"/>
    </row>
    <row r="63" spans="1:85" ht="15.75" customHeight="1" x14ac:dyDescent="0.35">
      <c r="A63" s="180"/>
      <c r="B63" s="180"/>
      <c r="D63" s="241" t="str">
        <f t="shared" si="29"/>
        <v>Founders/Leadership</v>
      </c>
      <c r="E63" s="239">
        <f t="shared" si="29"/>
        <v>0</v>
      </c>
      <c r="F63" s="239">
        <f t="shared" si="29"/>
        <v>0</v>
      </c>
      <c r="G63" s="239">
        <f t="shared" si="29"/>
        <v>0</v>
      </c>
      <c r="H63" s="238">
        <f t="shared" si="29"/>
        <v>0</v>
      </c>
      <c r="I63" s="239">
        <f t="shared" si="29"/>
        <v>0</v>
      </c>
      <c r="J63" s="272" t="e">
        <f>H63*H$51*H$52</f>
        <v>#DIV/0!</v>
      </c>
      <c r="K63" s="288">
        <f t="shared" si="30"/>
        <v>0</v>
      </c>
      <c r="L63" s="272">
        <f t="shared" si="30"/>
        <v>0</v>
      </c>
      <c r="M63" s="272">
        <f t="shared" si="30"/>
        <v>0</v>
      </c>
      <c r="N63" s="288" t="e">
        <f t="shared" si="30"/>
        <v>#DIV/0!</v>
      </c>
      <c r="O63" s="288" t="e">
        <f t="shared" si="30"/>
        <v>#DIV/0!</v>
      </c>
      <c r="P63" s="238">
        <f t="shared" si="30"/>
        <v>0</v>
      </c>
      <c r="Q63" s="239">
        <f t="shared" si="30"/>
        <v>0</v>
      </c>
      <c r="R63" s="272">
        <f>P63*P$51*P$52</f>
        <v>0</v>
      </c>
      <c r="S63" s="288">
        <f t="shared" si="31"/>
        <v>0</v>
      </c>
      <c r="T63" s="272">
        <f t="shared" si="31"/>
        <v>0</v>
      </c>
      <c r="U63" s="272">
        <f t="shared" si="31"/>
        <v>0</v>
      </c>
      <c r="V63" s="288" t="e">
        <f t="shared" si="31"/>
        <v>#DIV/0!</v>
      </c>
      <c r="W63" s="288" t="e">
        <f t="shared" si="31"/>
        <v>#DIV/0!</v>
      </c>
      <c r="X63" s="238">
        <f t="shared" si="31"/>
        <v>0</v>
      </c>
      <c r="Y63" s="239">
        <f t="shared" si="31"/>
        <v>0</v>
      </c>
      <c r="Z63" s="272">
        <f>X63*X$51*X$52</f>
        <v>0</v>
      </c>
      <c r="AA63" s="288">
        <f t="shared" si="23"/>
        <v>0</v>
      </c>
      <c r="AB63" s="272">
        <f t="shared" si="23"/>
        <v>0</v>
      </c>
      <c r="AC63" s="272">
        <f t="shared" si="23"/>
        <v>0</v>
      </c>
      <c r="AD63" s="288" t="e">
        <f t="shared" si="23"/>
        <v>#DIV/0!</v>
      </c>
      <c r="AE63" s="288" t="e">
        <f t="shared" si="23"/>
        <v>#DIV/0!</v>
      </c>
      <c r="AF63" s="238">
        <f t="shared" si="23"/>
        <v>0</v>
      </c>
      <c r="AG63" s="239">
        <f t="shared" si="23"/>
        <v>0</v>
      </c>
      <c r="AH63" s="272">
        <f>AF63*AF$51*AF$52</f>
        <v>0</v>
      </c>
      <c r="AI63" s="288">
        <f t="shared" si="24"/>
        <v>0</v>
      </c>
      <c r="AJ63" s="272">
        <f t="shared" si="24"/>
        <v>0</v>
      </c>
      <c r="AK63" s="272">
        <f t="shared" si="24"/>
        <v>0</v>
      </c>
      <c r="AL63" s="288" t="e">
        <f t="shared" si="24"/>
        <v>#DIV/0!</v>
      </c>
      <c r="AM63" s="288" t="e">
        <f t="shared" si="24"/>
        <v>#DIV/0!</v>
      </c>
      <c r="AN63" s="238">
        <f t="shared" si="24"/>
        <v>0</v>
      </c>
      <c r="AO63" s="239">
        <f t="shared" si="24"/>
        <v>0</v>
      </c>
      <c r="AP63" s="272">
        <f>AN63*AN$51*AN$52</f>
        <v>0</v>
      </c>
      <c r="AQ63" s="288">
        <f t="shared" si="25"/>
        <v>0</v>
      </c>
      <c r="AR63" s="272">
        <f t="shared" si="25"/>
        <v>0</v>
      </c>
      <c r="AS63" s="272">
        <f t="shared" si="25"/>
        <v>0</v>
      </c>
      <c r="AT63" s="288" t="e">
        <f t="shared" si="25"/>
        <v>#DIV/0!</v>
      </c>
      <c r="AU63" s="288" t="e">
        <f t="shared" si="25"/>
        <v>#DIV/0!</v>
      </c>
      <c r="AV63" s="238">
        <f t="shared" si="25"/>
        <v>0</v>
      </c>
      <c r="AW63" s="239">
        <f t="shared" si="25"/>
        <v>0</v>
      </c>
      <c r="AX63" s="272">
        <f>AV63*AV$51*AV$52</f>
        <v>0</v>
      </c>
      <c r="AY63" s="288">
        <f t="shared" si="26"/>
        <v>0</v>
      </c>
      <c r="AZ63" s="272">
        <f t="shared" si="26"/>
        <v>0</v>
      </c>
      <c r="BA63" s="272">
        <f t="shared" si="26"/>
        <v>0</v>
      </c>
      <c r="BB63" s="288" t="e">
        <f t="shared" si="26"/>
        <v>#DIV/0!</v>
      </c>
      <c r="BC63" s="288" t="e">
        <f t="shared" si="26"/>
        <v>#DIV/0!</v>
      </c>
      <c r="BD63" s="238">
        <f t="shared" si="26"/>
        <v>0</v>
      </c>
      <c r="BE63" s="239">
        <f t="shared" si="26"/>
        <v>0</v>
      </c>
      <c r="BF63" s="272">
        <f>BD63*BD$51*BD$52</f>
        <v>0</v>
      </c>
      <c r="BG63" s="288">
        <f t="shared" si="27"/>
        <v>0</v>
      </c>
      <c r="BH63" s="272">
        <f t="shared" si="27"/>
        <v>0</v>
      </c>
      <c r="BI63" s="272">
        <f t="shared" si="27"/>
        <v>0</v>
      </c>
      <c r="BJ63" s="288" t="e">
        <f t="shared" si="27"/>
        <v>#DIV/0!</v>
      </c>
      <c r="BK63" s="288" t="e">
        <f t="shared" si="27"/>
        <v>#DIV/0!</v>
      </c>
      <c r="BL63" s="238">
        <f t="shared" si="27"/>
        <v>0</v>
      </c>
      <c r="BM63" s="239">
        <f t="shared" si="27"/>
        <v>0</v>
      </c>
      <c r="BN63" s="272">
        <f>BL63*BL$51*BL$52</f>
        <v>0</v>
      </c>
      <c r="BO63" s="288">
        <f t="shared" si="28"/>
        <v>0</v>
      </c>
      <c r="BP63" s="272">
        <f t="shared" si="11"/>
        <v>0</v>
      </c>
      <c r="BQ63" s="272">
        <f t="shared" si="11"/>
        <v>0</v>
      </c>
      <c r="BR63" s="288" t="e">
        <f t="shared" si="11"/>
        <v>#DIV/0!</v>
      </c>
      <c r="BS63" s="288" t="e">
        <f t="shared" si="11"/>
        <v>#DIV/0!</v>
      </c>
      <c r="BT63" s="238">
        <f t="shared" si="11"/>
        <v>0</v>
      </c>
      <c r="BU63" s="239">
        <f t="shared" si="11"/>
        <v>0</v>
      </c>
      <c r="BV63" s="272">
        <f>BT63*BT$51*BT$52</f>
        <v>0</v>
      </c>
      <c r="BW63" s="288">
        <f t="shared" si="11"/>
        <v>0</v>
      </c>
      <c r="BX63" s="272">
        <f t="shared" si="11"/>
        <v>0</v>
      </c>
      <c r="BY63" s="272">
        <f t="shared" si="11"/>
        <v>0</v>
      </c>
      <c r="BZ63" s="288" t="e">
        <f t="shared" si="11"/>
        <v>#DIV/0!</v>
      </c>
      <c r="CA63" s="288" t="e">
        <f t="shared" si="11"/>
        <v>#DIV/0!</v>
      </c>
      <c r="CB63" s="180">
        <f t="shared" si="11"/>
        <v>0</v>
      </c>
      <c r="CC63" s="272" t="e">
        <f t="shared" si="11"/>
        <v>#DIV/0!</v>
      </c>
      <c r="CD63" s="180"/>
      <c r="CE63" s="180"/>
    </row>
    <row r="64" spans="1:85" ht="15.75" customHeight="1" x14ac:dyDescent="0.35">
      <c r="A64" s="180"/>
      <c r="B64" s="180"/>
      <c r="D64" s="241" t="str">
        <f t="shared" si="29"/>
        <v>Others 1</v>
      </c>
      <c r="E64" s="239">
        <f t="shared" si="29"/>
        <v>0</v>
      </c>
      <c r="F64" s="239">
        <f t="shared" si="29"/>
        <v>0</v>
      </c>
      <c r="G64" s="239">
        <f t="shared" si="29"/>
        <v>0</v>
      </c>
      <c r="H64" s="238">
        <f t="shared" si="29"/>
        <v>0</v>
      </c>
      <c r="I64" s="239">
        <f t="shared" si="29"/>
        <v>0</v>
      </c>
      <c r="J64" s="272" t="e">
        <f t="shared" ref="J64:J69" si="32">H64*H$51*H$52</f>
        <v>#DIV/0!</v>
      </c>
      <c r="K64" s="288">
        <f t="shared" si="30"/>
        <v>0</v>
      </c>
      <c r="L64" s="272">
        <f t="shared" si="30"/>
        <v>0</v>
      </c>
      <c r="M64" s="272">
        <f t="shared" si="30"/>
        <v>0</v>
      </c>
      <c r="N64" s="288" t="e">
        <f t="shared" si="30"/>
        <v>#DIV/0!</v>
      </c>
      <c r="O64" s="288" t="e">
        <f t="shared" si="30"/>
        <v>#DIV/0!</v>
      </c>
      <c r="P64" s="238">
        <f t="shared" si="30"/>
        <v>0</v>
      </c>
      <c r="Q64" s="239">
        <f t="shared" si="30"/>
        <v>0</v>
      </c>
      <c r="R64" s="272">
        <f t="shared" ref="R64:R69" si="33">P64*P$51*P$52</f>
        <v>0</v>
      </c>
      <c r="S64" s="288">
        <f t="shared" si="31"/>
        <v>0</v>
      </c>
      <c r="T64" s="272">
        <f t="shared" si="31"/>
        <v>0</v>
      </c>
      <c r="U64" s="272">
        <f t="shared" si="31"/>
        <v>0</v>
      </c>
      <c r="V64" s="288" t="e">
        <f t="shared" si="31"/>
        <v>#DIV/0!</v>
      </c>
      <c r="W64" s="288" t="e">
        <f t="shared" si="31"/>
        <v>#DIV/0!</v>
      </c>
      <c r="X64" s="238">
        <f t="shared" si="31"/>
        <v>0</v>
      </c>
      <c r="Y64" s="239">
        <f t="shared" si="31"/>
        <v>0</v>
      </c>
      <c r="Z64" s="272">
        <f t="shared" ref="Z64:Z69" si="34">X64*X$51*X$52</f>
        <v>0</v>
      </c>
      <c r="AA64" s="288">
        <f t="shared" si="23"/>
        <v>0</v>
      </c>
      <c r="AB64" s="272">
        <f t="shared" si="23"/>
        <v>0</v>
      </c>
      <c r="AC64" s="272">
        <f t="shared" si="23"/>
        <v>0</v>
      </c>
      <c r="AD64" s="288" t="e">
        <f t="shared" si="23"/>
        <v>#DIV/0!</v>
      </c>
      <c r="AE64" s="288" t="e">
        <f t="shared" si="23"/>
        <v>#DIV/0!</v>
      </c>
      <c r="AF64" s="238">
        <f t="shared" si="23"/>
        <v>0</v>
      </c>
      <c r="AG64" s="239">
        <f t="shared" si="23"/>
        <v>0</v>
      </c>
      <c r="AH64" s="272">
        <f t="shared" ref="AH64:AH69" si="35">AF64*AF$51*AF$52</f>
        <v>0</v>
      </c>
      <c r="AI64" s="288">
        <f t="shared" si="24"/>
        <v>0</v>
      </c>
      <c r="AJ64" s="272">
        <f t="shared" si="24"/>
        <v>0</v>
      </c>
      <c r="AK64" s="272">
        <f t="shared" si="24"/>
        <v>0</v>
      </c>
      <c r="AL64" s="288" t="e">
        <f t="shared" si="24"/>
        <v>#DIV/0!</v>
      </c>
      <c r="AM64" s="288" t="e">
        <f t="shared" si="24"/>
        <v>#DIV/0!</v>
      </c>
      <c r="AN64" s="238">
        <f t="shared" si="24"/>
        <v>0</v>
      </c>
      <c r="AO64" s="239">
        <f t="shared" si="24"/>
        <v>0</v>
      </c>
      <c r="AP64" s="272">
        <f t="shared" ref="AP64:AP69" si="36">AN64*AN$51*AN$52</f>
        <v>0</v>
      </c>
      <c r="AQ64" s="288">
        <f t="shared" si="25"/>
        <v>0</v>
      </c>
      <c r="AR64" s="272">
        <f t="shared" si="25"/>
        <v>0</v>
      </c>
      <c r="AS64" s="272">
        <f t="shared" si="25"/>
        <v>0</v>
      </c>
      <c r="AT64" s="288" t="e">
        <f t="shared" si="25"/>
        <v>#DIV/0!</v>
      </c>
      <c r="AU64" s="288" t="e">
        <f t="shared" si="25"/>
        <v>#DIV/0!</v>
      </c>
      <c r="AV64" s="238">
        <f t="shared" si="25"/>
        <v>0</v>
      </c>
      <c r="AW64" s="239">
        <f t="shared" si="25"/>
        <v>0</v>
      </c>
      <c r="AX64" s="272">
        <f t="shared" ref="AX64:AX69" si="37">AV64*AV$51*AV$52</f>
        <v>0</v>
      </c>
      <c r="AY64" s="288">
        <f t="shared" si="26"/>
        <v>0</v>
      </c>
      <c r="AZ64" s="272">
        <f t="shared" si="26"/>
        <v>0</v>
      </c>
      <c r="BA64" s="272">
        <f t="shared" si="26"/>
        <v>0</v>
      </c>
      <c r="BB64" s="288" t="e">
        <f t="shared" si="26"/>
        <v>#DIV/0!</v>
      </c>
      <c r="BC64" s="288" t="e">
        <f t="shared" si="26"/>
        <v>#DIV/0!</v>
      </c>
      <c r="BD64" s="238">
        <f t="shared" si="26"/>
        <v>0</v>
      </c>
      <c r="BE64" s="239">
        <f t="shared" si="26"/>
        <v>0</v>
      </c>
      <c r="BF64" s="272">
        <f t="shared" ref="BF64:BF69" si="38">BD64*BD$51*BD$52</f>
        <v>0</v>
      </c>
      <c r="BG64" s="288">
        <f t="shared" si="27"/>
        <v>0</v>
      </c>
      <c r="BH64" s="272">
        <f t="shared" si="27"/>
        <v>0</v>
      </c>
      <c r="BI64" s="272">
        <f t="shared" si="27"/>
        <v>0</v>
      </c>
      <c r="BJ64" s="288" t="e">
        <f t="shared" si="27"/>
        <v>#DIV/0!</v>
      </c>
      <c r="BK64" s="288" t="e">
        <f t="shared" si="27"/>
        <v>#DIV/0!</v>
      </c>
      <c r="BL64" s="238">
        <f t="shared" si="27"/>
        <v>0</v>
      </c>
      <c r="BM64" s="239">
        <f t="shared" si="27"/>
        <v>0</v>
      </c>
      <c r="BN64" s="272">
        <f t="shared" ref="BN64:BN69" si="39">BL64*BL$51*BL$52</f>
        <v>0</v>
      </c>
      <c r="BO64" s="288">
        <f t="shared" si="28"/>
        <v>0</v>
      </c>
      <c r="BP64" s="272">
        <f t="shared" si="11"/>
        <v>0</v>
      </c>
      <c r="BQ64" s="272">
        <f t="shared" si="11"/>
        <v>0</v>
      </c>
      <c r="BR64" s="288" t="e">
        <f t="shared" si="11"/>
        <v>#DIV/0!</v>
      </c>
      <c r="BS64" s="288" t="e">
        <f t="shared" si="11"/>
        <v>#DIV/0!</v>
      </c>
      <c r="BT64" s="238">
        <f t="shared" si="11"/>
        <v>0</v>
      </c>
      <c r="BU64" s="239">
        <f t="shared" si="11"/>
        <v>0</v>
      </c>
      <c r="BV64" s="272">
        <f t="shared" ref="BV64:BV69" si="40">BT64*BT$51*BT$52</f>
        <v>0</v>
      </c>
      <c r="BW64" s="288">
        <f t="shared" si="11"/>
        <v>0</v>
      </c>
      <c r="BX64" s="272">
        <f t="shared" si="11"/>
        <v>0</v>
      </c>
      <c r="BY64" s="272">
        <f t="shared" si="11"/>
        <v>0</v>
      </c>
      <c r="BZ64" s="288" t="e">
        <f t="shared" si="11"/>
        <v>#DIV/0!</v>
      </c>
      <c r="CA64" s="288" t="e">
        <f t="shared" si="11"/>
        <v>#DIV/0!</v>
      </c>
      <c r="CB64" s="180">
        <f t="shared" si="11"/>
        <v>0</v>
      </c>
      <c r="CC64" s="272" t="e">
        <f t="shared" si="11"/>
        <v>#DIV/0!</v>
      </c>
      <c r="CD64" s="180"/>
      <c r="CE64" s="180"/>
    </row>
    <row r="65" spans="1:83" ht="15.75" customHeight="1" x14ac:dyDescent="0.35">
      <c r="A65" s="180"/>
      <c r="B65" s="180"/>
      <c r="D65" s="241" t="str">
        <f t="shared" si="29"/>
        <v>Others 2</v>
      </c>
      <c r="E65" s="239">
        <f t="shared" si="29"/>
        <v>0</v>
      </c>
      <c r="F65" s="239">
        <f t="shared" si="29"/>
        <v>0</v>
      </c>
      <c r="G65" s="239">
        <f t="shared" si="29"/>
        <v>0</v>
      </c>
      <c r="H65" s="238">
        <f t="shared" si="29"/>
        <v>0</v>
      </c>
      <c r="I65" s="239">
        <f t="shared" si="29"/>
        <v>0</v>
      </c>
      <c r="J65" s="272" t="e">
        <f t="shared" si="32"/>
        <v>#DIV/0!</v>
      </c>
      <c r="K65" s="288">
        <f t="shared" si="30"/>
        <v>0</v>
      </c>
      <c r="L65" s="272">
        <f t="shared" si="30"/>
        <v>0</v>
      </c>
      <c r="M65" s="272">
        <f t="shared" si="30"/>
        <v>0</v>
      </c>
      <c r="N65" s="288" t="e">
        <f t="shared" si="30"/>
        <v>#DIV/0!</v>
      </c>
      <c r="O65" s="288" t="e">
        <f t="shared" si="30"/>
        <v>#DIV/0!</v>
      </c>
      <c r="P65" s="238">
        <f t="shared" si="30"/>
        <v>0</v>
      </c>
      <c r="Q65" s="239">
        <f t="shared" si="30"/>
        <v>0</v>
      </c>
      <c r="R65" s="272">
        <f t="shared" si="33"/>
        <v>0</v>
      </c>
      <c r="S65" s="288">
        <f t="shared" si="31"/>
        <v>0</v>
      </c>
      <c r="T65" s="272">
        <f t="shared" si="31"/>
        <v>0</v>
      </c>
      <c r="U65" s="272">
        <f t="shared" si="31"/>
        <v>0</v>
      </c>
      <c r="V65" s="288" t="e">
        <f t="shared" si="31"/>
        <v>#DIV/0!</v>
      </c>
      <c r="W65" s="288" t="e">
        <f t="shared" si="31"/>
        <v>#DIV/0!</v>
      </c>
      <c r="X65" s="238">
        <f t="shared" si="31"/>
        <v>0</v>
      </c>
      <c r="Y65" s="239">
        <f t="shared" si="31"/>
        <v>0</v>
      </c>
      <c r="Z65" s="272">
        <f t="shared" si="34"/>
        <v>0</v>
      </c>
      <c r="AA65" s="288">
        <f t="shared" si="23"/>
        <v>0</v>
      </c>
      <c r="AB65" s="272">
        <f t="shared" si="23"/>
        <v>0</v>
      </c>
      <c r="AC65" s="272">
        <f t="shared" si="23"/>
        <v>0</v>
      </c>
      <c r="AD65" s="288" t="e">
        <f t="shared" si="23"/>
        <v>#DIV/0!</v>
      </c>
      <c r="AE65" s="288" t="e">
        <f t="shared" si="23"/>
        <v>#DIV/0!</v>
      </c>
      <c r="AF65" s="238">
        <f t="shared" si="23"/>
        <v>0</v>
      </c>
      <c r="AG65" s="239">
        <f t="shared" si="23"/>
        <v>0</v>
      </c>
      <c r="AH65" s="272">
        <f t="shared" si="35"/>
        <v>0</v>
      </c>
      <c r="AI65" s="288">
        <f t="shared" si="24"/>
        <v>0</v>
      </c>
      <c r="AJ65" s="272">
        <f t="shared" si="24"/>
        <v>0</v>
      </c>
      <c r="AK65" s="272">
        <f t="shared" si="24"/>
        <v>0</v>
      </c>
      <c r="AL65" s="288" t="e">
        <f t="shared" si="24"/>
        <v>#DIV/0!</v>
      </c>
      <c r="AM65" s="288" t="e">
        <f t="shared" si="24"/>
        <v>#DIV/0!</v>
      </c>
      <c r="AN65" s="238">
        <f t="shared" si="24"/>
        <v>0</v>
      </c>
      <c r="AO65" s="239">
        <f t="shared" si="24"/>
        <v>0</v>
      </c>
      <c r="AP65" s="272">
        <f t="shared" si="36"/>
        <v>0</v>
      </c>
      <c r="AQ65" s="288">
        <f t="shared" si="25"/>
        <v>0</v>
      </c>
      <c r="AR65" s="272">
        <f t="shared" si="25"/>
        <v>0</v>
      </c>
      <c r="AS65" s="272">
        <f t="shared" si="25"/>
        <v>0</v>
      </c>
      <c r="AT65" s="288" t="e">
        <f t="shared" si="25"/>
        <v>#DIV/0!</v>
      </c>
      <c r="AU65" s="288" t="e">
        <f t="shared" si="25"/>
        <v>#DIV/0!</v>
      </c>
      <c r="AV65" s="238">
        <f t="shared" si="25"/>
        <v>0</v>
      </c>
      <c r="AW65" s="239">
        <f t="shared" si="25"/>
        <v>0</v>
      </c>
      <c r="AX65" s="272">
        <f t="shared" si="37"/>
        <v>0</v>
      </c>
      <c r="AY65" s="288">
        <f t="shared" si="26"/>
        <v>0</v>
      </c>
      <c r="AZ65" s="272">
        <f t="shared" si="26"/>
        <v>0</v>
      </c>
      <c r="BA65" s="272">
        <f t="shared" si="26"/>
        <v>0</v>
      </c>
      <c r="BB65" s="288" t="e">
        <f t="shared" si="26"/>
        <v>#DIV/0!</v>
      </c>
      <c r="BC65" s="288" t="e">
        <f t="shared" si="26"/>
        <v>#DIV/0!</v>
      </c>
      <c r="BD65" s="238">
        <f t="shared" si="26"/>
        <v>0</v>
      </c>
      <c r="BE65" s="239">
        <f t="shared" si="26"/>
        <v>0</v>
      </c>
      <c r="BF65" s="272">
        <f t="shared" si="38"/>
        <v>0</v>
      </c>
      <c r="BG65" s="288">
        <f t="shared" si="27"/>
        <v>0</v>
      </c>
      <c r="BH65" s="272">
        <f t="shared" si="27"/>
        <v>0</v>
      </c>
      <c r="BI65" s="272">
        <f t="shared" si="27"/>
        <v>0</v>
      </c>
      <c r="BJ65" s="288" t="e">
        <f t="shared" si="27"/>
        <v>#DIV/0!</v>
      </c>
      <c r="BK65" s="288" t="e">
        <f t="shared" si="27"/>
        <v>#DIV/0!</v>
      </c>
      <c r="BL65" s="238">
        <f t="shared" si="27"/>
        <v>0</v>
      </c>
      <c r="BM65" s="239">
        <f t="shared" si="27"/>
        <v>0</v>
      </c>
      <c r="BN65" s="272">
        <f t="shared" si="39"/>
        <v>0</v>
      </c>
      <c r="BO65" s="288">
        <f t="shared" si="28"/>
        <v>0</v>
      </c>
      <c r="BP65" s="272">
        <f t="shared" si="11"/>
        <v>0</v>
      </c>
      <c r="BQ65" s="272">
        <f t="shared" si="11"/>
        <v>0</v>
      </c>
      <c r="BR65" s="288" t="e">
        <f t="shared" si="11"/>
        <v>#DIV/0!</v>
      </c>
      <c r="BS65" s="288" t="e">
        <f t="shared" si="11"/>
        <v>#DIV/0!</v>
      </c>
      <c r="BT65" s="238">
        <f t="shared" si="11"/>
        <v>0</v>
      </c>
      <c r="BU65" s="239">
        <f t="shared" si="11"/>
        <v>0</v>
      </c>
      <c r="BV65" s="272">
        <f t="shared" si="40"/>
        <v>0</v>
      </c>
      <c r="BW65" s="288">
        <f t="shared" si="11"/>
        <v>0</v>
      </c>
      <c r="BX65" s="272">
        <f t="shared" si="11"/>
        <v>0</v>
      </c>
      <c r="BY65" s="272">
        <f t="shared" si="11"/>
        <v>0</v>
      </c>
      <c r="BZ65" s="288" t="e">
        <f t="shared" si="11"/>
        <v>#DIV/0!</v>
      </c>
      <c r="CA65" s="288" t="e">
        <f t="shared" si="11"/>
        <v>#DIV/0!</v>
      </c>
      <c r="CB65" s="180">
        <f t="shared" si="11"/>
        <v>0</v>
      </c>
      <c r="CC65" s="272" t="e">
        <f t="shared" si="11"/>
        <v>#DIV/0!</v>
      </c>
      <c r="CD65" s="180"/>
      <c r="CE65" s="180"/>
    </row>
    <row r="66" spans="1:83" ht="15.75" customHeight="1" x14ac:dyDescent="0.35">
      <c r="A66" s="180"/>
      <c r="B66" s="180"/>
      <c r="D66" s="241" t="str">
        <f t="shared" si="29"/>
        <v>Others 3</v>
      </c>
      <c r="E66" s="239">
        <f t="shared" si="29"/>
        <v>0</v>
      </c>
      <c r="F66" s="239">
        <f t="shared" si="29"/>
        <v>0</v>
      </c>
      <c r="G66" s="239">
        <f t="shared" si="29"/>
        <v>0</v>
      </c>
      <c r="H66" s="238">
        <f t="shared" si="29"/>
        <v>0</v>
      </c>
      <c r="I66" s="239">
        <f t="shared" si="29"/>
        <v>0</v>
      </c>
      <c r="J66" s="272" t="e">
        <f t="shared" si="32"/>
        <v>#DIV/0!</v>
      </c>
      <c r="K66" s="288">
        <f t="shared" si="30"/>
        <v>0</v>
      </c>
      <c r="L66" s="272">
        <f t="shared" si="30"/>
        <v>0</v>
      </c>
      <c r="M66" s="272">
        <f t="shared" si="30"/>
        <v>0</v>
      </c>
      <c r="N66" s="288" t="e">
        <f t="shared" si="30"/>
        <v>#DIV/0!</v>
      </c>
      <c r="O66" s="288" t="e">
        <f t="shared" si="30"/>
        <v>#DIV/0!</v>
      </c>
      <c r="P66" s="238">
        <f t="shared" si="30"/>
        <v>0</v>
      </c>
      <c r="Q66" s="239">
        <f t="shared" si="30"/>
        <v>0</v>
      </c>
      <c r="R66" s="272">
        <f t="shared" si="33"/>
        <v>0</v>
      </c>
      <c r="S66" s="288">
        <f t="shared" si="31"/>
        <v>0</v>
      </c>
      <c r="T66" s="272">
        <f t="shared" si="31"/>
        <v>0</v>
      </c>
      <c r="U66" s="272">
        <f t="shared" si="31"/>
        <v>0</v>
      </c>
      <c r="V66" s="288" t="e">
        <f t="shared" si="31"/>
        <v>#DIV/0!</v>
      </c>
      <c r="W66" s="288" t="e">
        <f t="shared" si="31"/>
        <v>#DIV/0!</v>
      </c>
      <c r="X66" s="238">
        <f t="shared" si="31"/>
        <v>0</v>
      </c>
      <c r="Y66" s="239">
        <f t="shared" si="31"/>
        <v>0</v>
      </c>
      <c r="Z66" s="272">
        <f t="shared" si="34"/>
        <v>0</v>
      </c>
      <c r="AA66" s="288">
        <f t="shared" si="23"/>
        <v>0</v>
      </c>
      <c r="AB66" s="272">
        <f t="shared" si="23"/>
        <v>0</v>
      </c>
      <c r="AC66" s="272">
        <f t="shared" si="23"/>
        <v>0</v>
      </c>
      <c r="AD66" s="288" t="e">
        <f t="shared" si="23"/>
        <v>#DIV/0!</v>
      </c>
      <c r="AE66" s="288" t="e">
        <f t="shared" si="23"/>
        <v>#DIV/0!</v>
      </c>
      <c r="AF66" s="238">
        <f t="shared" si="23"/>
        <v>0</v>
      </c>
      <c r="AG66" s="239">
        <f t="shared" si="23"/>
        <v>0</v>
      </c>
      <c r="AH66" s="272">
        <f t="shared" si="35"/>
        <v>0</v>
      </c>
      <c r="AI66" s="288">
        <f t="shared" si="24"/>
        <v>0</v>
      </c>
      <c r="AJ66" s="272">
        <f t="shared" si="24"/>
        <v>0</v>
      </c>
      <c r="AK66" s="272">
        <f t="shared" si="24"/>
        <v>0</v>
      </c>
      <c r="AL66" s="288" t="e">
        <f t="shared" si="24"/>
        <v>#DIV/0!</v>
      </c>
      <c r="AM66" s="288" t="e">
        <f t="shared" si="24"/>
        <v>#DIV/0!</v>
      </c>
      <c r="AN66" s="238">
        <f t="shared" si="24"/>
        <v>0</v>
      </c>
      <c r="AO66" s="239">
        <f t="shared" si="24"/>
        <v>0</v>
      </c>
      <c r="AP66" s="272">
        <f t="shared" si="36"/>
        <v>0</v>
      </c>
      <c r="AQ66" s="288">
        <f t="shared" si="25"/>
        <v>0</v>
      </c>
      <c r="AR66" s="272">
        <f t="shared" si="25"/>
        <v>0</v>
      </c>
      <c r="AS66" s="272">
        <f t="shared" si="25"/>
        <v>0</v>
      </c>
      <c r="AT66" s="288" t="e">
        <f t="shared" si="25"/>
        <v>#DIV/0!</v>
      </c>
      <c r="AU66" s="288" t="e">
        <f t="shared" si="25"/>
        <v>#DIV/0!</v>
      </c>
      <c r="AV66" s="238">
        <f t="shared" si="25"/>
        <v>0</v>
      </c>
      <c r="AW66" s="239">
        <f t="shared" si="25"/>
        <v>0</v>
      </c>
      <c r="AX66" s="272">
        <f t="shared" si="37"/>
        <v>0</v>
      </c>
      <c r="AY66" s="288">
        <f t="shared" si="26"/>
        <v>0</v>
      </c>
      <c r="AZ66" s="272">
        <f t="shared" si="26"/>
        <v>0</v>
      </c>
      <c r="BA66" s="272">
        <f t="shared" si="26"/>
        <v>0</v>
      </c>
      <c r="BB66" s="288" t="e">
        <f t="shared" si="26"/>
        <v>#DIV/0!</v>
      </c>
      <c r="BC66" s="288" t="e">
        <f t="shared" si="26"/>
        <v>#DIV/0!</v>
      </c>
      <c r="BD66" s="238">
        <f t="shared" si="26"/>
        <v>0</v>
      </c>
      <c r="BE66" s="239">
        <f t="shared" si="26"/>
        <v>0</v>
      </c>
      <c r="BF66" s="272">
        <f t="shared" si="38"/>
        <v>0</v>
      </c>
      <c r="BG66" s="288">
        <f t="shared" si="27"/>
        <v>0</v>
      </c>
      <c r="BH66" s="272">
        <f t="shared" si="27"/>
        <v>0</v>
      </c>
      <c r="BI66" s="272">
        <f t="shared" si="27"/>
        <v>0</v>
      </c>
      <c r="BJ66" s="288" t="e">
        <f t="shared" si="27"/>
        <v>#DIV/0!</v>
      </c>
      <c r="BK66" s="288" t="e">
        <f t="shared" si="27"/>
        <v>#DIV/0!</v>
      </c>
      <c r="BL66" s="238">
        <f t="shared" si="27"/>
        <v>0</v>
      </c>
      <c r="BM66" s="239">
        <f t="shared" si="27"/>
        <v>0</v>
      </c>
      <c r="BN66" s="272">
        <f t="shared" si="39"/>
        <v>0</v>
      </c>
      <c r="BO66" s="288">
        <f t="shared" si="28"/>
        <v>0</v>
      </c>
      <c r="BP66" s="272">
        <f t="shared" si="28"/>
        <v>0</v>
      </c>
      <c r="BQ66" s="272">
        <f t="shared" si="28"/>
        <v>0</v>
      </c>
      <c r="BR66" s="288" t="e">
        <f t="shared" si="28"/>
        <v>#DIV/0!</v>
      </c>
      <c r="BS66" s="288" t="e">
        <f t="shared" si="28"/>
        <v>#DIV/0!</v>
      </c>
      <c r="BT66" s="238">
        <f t="shared" si="28"/>
        <v>0</v>
      </c>
      <c r="BU66" s="239">
        <f t="shared" si="28"/>
        <v>0</v>
      </c>
      <c r="BV66" s="272">
        <f t="shared" si="40"/>
        <v>0</v>
      </c>
      <c r="BW66" s="288">
        <f t="shared" ref="BW66:CC70" si="41">BW31</f>
        <v>0</v>
      </c>
      <c r="BX66" s="272">
        <f t="shared" si="41"/>
        <v>0</v>
      </c>
      <c r="BY66" s="272">
        <f t="shared" si="41"/>
        <v>0</v>
      </c>
      <c r="BZ66" s="288" t="e">
        <f t="shared" si="41"/>
        <v>#DIV/0!</v>
      </c>
      <c r="CA66" s="288" t="e">
        <f t="shared" si="41"/>
        <v>#DIV/0!</v>
      </c>
      <c r="CB66" s="180">
        <f t="shared" si="41"/>
        <v>0</v>
      </c>
      <c r="CC66" s="272" t="e">
        <f t="shared" si="41"/>
        <v>#DIV/0!</v>
      </c>
      <c r="CD66" s="180"/>
      <c r="CE66" s="180"/>
    </row>
    <row r="67" spans="1:83" ht="15.75" customHeight="1" x14ac:dyDescent="0.35">
      <c r="A67" s="180"/>
      <c r="B67" s="180"/>
      <c r="D67" s="241" t="str">
        <f t="shared" si="29"/>
        <v>Others 4</v>
      </c>
      <c r="E67" s="239">
        <f t="shared" si="29"/>
        <v>0</v>
      </c>
      <c r="F67" s="239">
        <f t="shared" si="29"/>
        <v>0</v>
      </c>
      <c r="G67" s="239">
        <f t="shared" si="29"/>
        <v>0</v>
      </c>
      <c r="H67" s="238">
        <f t="shared" si="29"/>
        <v>0</v>
      </c>
      <c r="I67" s="239">
        <f t="shared" si="29"/>
        <v>0</v>
      </c>
      <c r="J67" s="272" t="e">
        <f t="shared" si="32"/>
        <v>#DIV/0!</v>
      </c>
      <c r="K67" s="288">
        <f t="shared" si="30"/>
        <v>0</v>
      </c>
      <c r="L67" s="272">
        <f t="shared" si="30"/>
        <v>0</v>
      </c>
      <c r="M67" s="272">
        <f t="shared" si="30"/>
        <v>0</v>
      </c>
      <c r="N67" s="288" t="e">
        <f t="shared" si="30"/>
        <v>#DIV/0!</v>
      </c>
      <c r="O67" s="288" t="e">
        <f t="shared" si="30"/>
        <v>#DIV/0!</v>
      </c>
      <c r="P67" s="238">
        <f t="shared" si="30"/>
        <v>0</v>
      </c>
      <c r="Q67" s="239">
        <f t="shared" si="30"/>
        <v>0</v>
      </c>
      <c r="R67" s="272">
        <f t="shared" si="33"/>
        <v>0</v>
      </c>
      <c r="S67" s="288">
        <f t="shared" si="31"/>
        <v>0</v>
      </c>
      <c r="T67" s="272">
        <f t="shared" si="31"/>
        <v>0</v>
      </c>
      <c r="U67" s="272">
        <f t="shared" si="31"/>
        <v>0</v>
      </c>
      <c r="V67" s="288" t="e">
        <f t="shared" si="31"/>
        <v>#DIV/0!</v>
      </c>
      <c r="W67" s="288" t="e">
        <f t="shared" si="31"/>
        <v>#DIV/0!</v>
      </c>
      <c r="X67" s="238">
        <f t="shared" si="31"/>
        <v>0</v>
      </c>
      <c r="Y67" s="239">
        <f t="shared" si="31"/>
        <v>0</v>
      </c>
      <c r="Z67" s="272">
        <f t="shared" si="34"/>
        <v>0</v>
      </c>
      <c r="AA67" s="288">
        <f t="shared" si="23"/>
        <v>0</v>
      </c>
      <c r="AB67" s="272">
        <f t="shared" si="23"/>
        <v>0</v>
      </c>
      <c r="AC67" s="272">
        <f t="shared" si="23"/>
        <v>0</v>
      </c>
      <c r="AD67" s="288" t="e">
        <f t="shared" si="23"/>
        <v>#DIV/0!</v>
      </c>
      <c r="AE67" s="288" t="e">
        <f t="shared" si="23"/>
        <v>#DIV/0!</v>
      </c>
      <c r="AF67" s="238">
        <f t="shared" si="23"/>
        <v>0</v>
      </c>
      <c r="AG67" s="239">
        <f t="shared" si="23"/>
        <v>0</v>
      </c>
      <c r="AH67" s="272">
        <f t="shared" si="35"/>
        <v>0</v>
      </c>
      <c r="AI67" s="288">
        <f t="shared" si="24"/>
        <v>0</v>
      </c>
      <c r="AJ67" s="272">
        <f t="shared" si="24"/>
        <v>0</v>
      </c>
      <c r="AK67" s="272">
        <f t="shared" si="24"/>
        <v>0</v>
      </c>
      <c r="AL67" s="288" t="e">
        <f t="shared" si="24"/>
        <v>#DIV/0!</v>
      </c>
      <c r="AM67" s="288" t="e">
        <f t="shared" si="24"/>
        <v>#DIV/0!</v>
      </c>
      <c r="AN67" s="238">
        <f t="shared" si="24"/>
        <v>0</v>
      </c>
      <c r="AO67" s="239">
        <f t="shared" si="24"/>
        <v>0</v>
      </c>
      <c r="AP67" s="272">
        <f t="shared" si="36"/>
        <v>0</v>
      </c>
      <c r="AQ67" s="288">
        <f t="shared" si="25"/>
        <v>0</v>
      </c>
      <c r="AR67" s="272">
        <f t="shared" si="25"/>
        <v>0</v>
      </c>
      <c r="AS67" s="272">
        <f t="shared" si="25"/>
        <v>0</v>
      </c>
      <c r="AT67" s="288" t="e">
        <f t="shared" si="25"/>
        <v>#DIV/0!</v>
      </c>
      <c r="AU67" s="288" t="e">
        <f t="shared" si="25"/>
        <v>#DIV/0!</v>
      </c>
      <c r="AV67" s="238">
        <f t="shared" si="25"/>
        <v>0</v>
      </c>
      <c r="AW67" s="239">
        <f t="shared" si="25"/>
        <v>0</v>
      </c>
      <c r="AX67" s="272">
        <f t="shared" si="37"/>
        <v>0</v>
      </c>
      <c r="AY67" s="288">
        <f t="shared" si="26"/>
        <v>0</v>
      </c>
      <c r="AZ67" s="272">
        <f t="shared" si="26"/>
        <v>0</v>
      </c>
      <c r="BA67" s="272">
        <f t="shared" si="26"/>
        <v>0</v>
      </c>
      <c r="BB67" s="288" t="e">
        <f t="shared" si="26"/>
        <v>#DIV/0!</v>
      </c>
      <c r="BC67" s="288" t="e">
        <f t="shared" si="26"/>
        <v>#DIV/0!</v>
      </c>
      <c r="BD67" s="238">
        <f t="shared" si="26"/>
        <v>0</v>
      </c>
      <c r="BE67" s="239">
        <f t="shared" si="26"/>
        <v>0</v>
      </c>
      <c r="BF67" s="272">
        <f t="shared" si="38"/>
        <v>0</v>
      </c>
      <c r="BG67" s="288">
        <f t="shared" si="27"/>
        <v>0</v>
      </c>
      <c r="BH67" s="272">
        <f t="shared" si="27"/>
        <v>0</v>
      </c>
      <c r="BI67" s="272">
        <f t="shared" si="27"/>
        <v>0</v>
      </c>
      <c r="BJ67" s="288" t="e">
        <f t="shared" si="27"/>
        <v>#DIV/0!</v>
      </c>
      <c r="BK67" s="288" t="e">
        <f t="shared" si="27"/>
        <v>#DIV/0!</v>
      </c>
      <c r="BL67" s="238">
        <f t="shared" si="27"/>
        <v>0</v>
      </c>
      <c r="BM67" s="239">
        <f t="shared" si="27"/>
        <v>0</v>
      </c>
      <c r="BN67" s="272">
        <f t="shared" si="39"/>
        <v>0</v>
      </c>
      <c r="BO67" s="288">
        <f t="shared" si="28"/>
        <v>0</v>
      </c>
      <c r="BP67" s="272">
        <f t="shared" si="28"/>
        <v>0</v>
      </c>
      <c r="BQ67" s="272">
        <f t="shared" si="28"/>
        <v>0</v>
      </c>
      <c r="BR67" s="288" t="e">
        <f t="shared" si="28"/>
        <v>#DIV/0!</v>
      </c>
      <c r="BS67" s="288" t="e">
        <f t="shared" si="28"/>
        <v>#DIV/0!</v>
      </c>
      <c r="BT67" s="238">
        <f t="shared" si="28"/>
        <v>0</v>
      </c>
      <c r="BU67" s="239">
        <f t="shared" si="28"/>
        <v>0</v>
      </c>
      <c r="BV67" s="272">
        <f t="shared" si="40"/>
        <v>0</v>
      </c>
      <c r="BW67" s="288">
        <f t="shared" si="41"/>
        <v>0</v>
      </c>
      <c r="BX67" s="272">
        <f t="shared" si="41"/>
        <v>0</v>
      </c>
      <c r="BY67" s="272">
        <f t="shared" si="41"/>
        <v>0</v>
      </c>
      <c r="BZ67" s="288" t="e">
        <f t="shared" si="41"/>
        <v>#DIV/0!</v>
      </c>
      <c r="CA67" s="288" t="e">
        <f t="shared" si="41"/>
        <v>#DIV/0!</v>
      </c>
      <c r="CB67" s="180">
        <f t="shared" si="41"/>
        <v>0</v>
      </c>
      <c r="CC67" s="272" t="e">
        <f t="shared" si="41"/>
        <v>#DIV/0!</v>
      </c>
      <c r="CD67" s="180"/>
      <c r="CE67" s="180"/>
    </row>
    <row r="68" spans="1:83" ht="15.75" customHeight="1" x14ac:dyDescent="0.35">
      <c r="A68" s="180"/>
      <c r="B68" s="180"/>
      <c r="D68" s="241" t="str">
        <f t="shared" si="29"/>
        <v>Others 1</v>
      </c>
      <c r="E68" s="239">
        <f t="shared" si="29"/>
        <v>0</v>
      </c>
      <c r="F68" s="239">
        <f t="shared" si="29"/>
        <v>0</v>
      </c>
      <c r="G68" s="239">
        <f t="shared" si="29"/>
        <v>0</v>
      </c>
      <c r="H68" s="238">
        <f t="shared" si="29"/>
        <v>0</v>
      </c>
      <c r="I68" s="239">
        <f t="shared" si="29"/>
        <v>0</v>
      </c>
      <c r="J68" s="272" t="e">
        <f t="shared" si="32"/>
        <v>#DIV/0!</v>
      </c>
      <c r="K68" s="288">
        <f t="shared" si="30"/>
        <v>0</v>
      </c>
      <c r="L68" s="272">
        <f t="shared" si="30"/>
        <v>0</v>
      </c>
      <c r="M68" s="272">
        <f t="shared" si="30"/>
        <v>0</v>
      </c>
      <c r="N68" s="288" t="e">
        <f t="shared" si="30"/>
        <v>#DIV/0!</v>
      </c>
      <c r="O68" s="288" t="e">
        <f t="shared" si="30"/>
        <v>#DIV/0!</v>
      </c>
      <c r="P68" s="238">
        <f t="shared" si="30"/>
        <v>0</v>
      </c>
      <c r="Q68" s="239">
        <f t="shared" si="30"/>
        <v>0</v>
      </c>
      <c r="R68" s="272">
        <f t="shared" si="33"/>
        <v>0</v>
      </c>
      <c r="S68" s="288">
        <f t="shared" si="31"/>
        <v>0</v>
      </c>
      <c r="T68" s="272">
        <f t="shared" si="31"/>
        <v>0</v>
      </c>
      <c r="U68" s="272">
        <f t="shared" si="31"/>
        <v>0</v>
      </c>
      <c r="V68" s="288" t="e">
        <f t="shared" si="31"/>
        <v>#DIV/0!</v>
      </c>
      <c r="W68" s="288" t="e">
        <f t="shared" si="31"/>
        <v>#DIV/0!</v>
      </c>
      <c r="X68" s="238">
        <f t="shared" si="31"/>
        <v>0</v>
      </c>
      <c r="Y68" s="239">
        <f t="shared" si="31"/>
        <v>0</v>
      </c>
      <c r="Z68" s="272">
        <f t="shared" si="34"/>
        <v>0</v>
      </c>
      <c r="AA68" s="288">
        <f t="shared" si="23"/>
        <v>0</v>
      </c>
      <c r="AB68" s="272">
        <f t="shared" si="23"/>
        <v>0</v>
      </c>
      <c r="AC68" s="272">
        <f t="shared" si="23"/>
        <v>0</v>
      </c>
      <c r="AD68" s="288" t="e">
        <f t="shared" si="23"/>
        <v>#DIV/0!</v>
      </c>
      <c r="AE68" s="288" t="e">
        <f t="shared" si="23"/>
        <v>#DIV/0!</v>
      </c>
      <c r="AF68" s="238">
        <f t="shared" si="23"/>
        <v>0</v>
      </c>
      <c r="AG68" s="239">
        <f t="shared" si="23"/>
        <v>0</v>
      </c>
      <c r="AH68" s="272">
        <f t="shared" si="35"/>
        <v>0</v>
      </c>
      <c r="AI68" s="288">
        <f t="shared" si="24"/>
        <v>0</v>
      </c>
      <c r="AJ68" s="272">
        <f t="shared" si="24"/>
        <v>0</v>
      </c>
      <c r="AK68" s="272">
        <f t="shared" si="24"/>
        <v>0</v>
      </c>
      <c r="AL68" s="288" t="e">
        <f t="shared" si="24"/>
        <v>#DIV/0!</v>
      </c>
      <c r="AM68" s="288" t="e">
        <f t="shared" si="24"/>
        <v>#DIV/0!</v>
      </c>
      <c r="AN68" s="238">
        <f t="shared" si="24"/>
        <v>0</v>
      </c>
      <c r="AO68" s="239">
        <f t="shared" si="24"/>
        <v>0</v>
      </c>
      <c r="AP68" s="272">
        <f t="shared" si="36"/>
        <v>0</v>
      </c>
      <c r="AQ68" s="288">
        <f t="shared" si="25"/>
        <v>0</v>
      </c>
      <c r="AR68" s="272">
        <f t="shared" si="25"/>
        <v>0</v>
      </c>
      <c r="AS68" s="272">
        <f t="shared" si="25"/>
        <v>0</v>
      </c>
      <c r="AT68" s="288" t="e">
        <f t="shared" si="25"/>
        <v>#DIV/0!</v>
      </c>
      <c r="AU68" s="288" t="e">
        <f t="shared" si="25"/>
        <v>#DIV/0!</v>
      </c>
      <c r="AV68" s="238">
        <f t="shared" si="25"/>
        <v>0</v>
      </c>
      <c r="AW68" s="239">
        <f t="shared" si="25"/>
        <v>0</v>
      </c>
      <c r="AX68" s="272">
        <f t="shared" si="37"/>
        <v>0</v>
      </c>
      <c r="AY68" s="288">
        <f t="shared" si="26"/>
        <v>0</v>
      </c>
      <c r="AZ68" s="272">
        <f t="shared" si="26"/>
        <v>0</v>
      </c>
      <c r="BA68" s="272">
        <f t="shared" si="26"/>
        <v>0</v>
      </c>
      <c r="BB68" s="288" t="e">
        <f t="shared" si="26"/>
        <v>#DIV/0!</v>
      </c>
      <c r="BC68" s="288" t="e">
        <f t="shared" si="26"/>
        <v>#DIV/0!</v>
      </c>
      <c r="BD68" s="238">
        <f t="shared" si="26"/>
        <v>0</v>
      </c>
      <c r="BE68" s="239">
        <f t="shared" si="26"/>
        <v>0</v>
      </c>
      <c r="BF68" s="272">
        <f t="shared" si="38"/>
        <v>0</v>
      </c>
      <c r="BG68" s="288">
        <f t="shared" si="27"/>
        <v>0</v>
      </c>
      <c r="BH68" s="272">
        <f t="shared" si="27"/>
        <v>0</v>
      </c>
      <c r="BI68" s="272">
        <f t="shared" si="27"/>
        <v>0</v>
      </c>
      <c r="BJ68" s="288" t="e">
        <f t="shared" si="27"/>
        <v>#DIV/0!</v>
      </c>
      <c r="BK68" s="288" t="e">
        <f t="shared" si="27"/>
        <v>#DIV/0!</v>
      </c>
      <c r="BL68" s="238">
        <f t="shared" si="27"/>
        <v>0</v>
      </c>
      <c r="BM68" s="239">
        <f t="shared" si="27"/>
        <v>0</v>
      </c>
      <c r="BN68" s="272">
        <f t="shared" si="39"/>
        <v>0</v>
      </c>
      <c r="BO68" s="288">
        <f t="shared" si="28"/>
        <v>0</v>
      </c>
      <c r="BP68" s="272">
        <f t="shared" si="28"/>
        <v>0</v>
      </c>
      <c r="BQ68" s="272">
        <f t="shared" si="28"/>
        <v>0</v>
      </c>
      <c r="BR68" s="288" t="e">
        <f t="shared" si="28"/>
        <v>#DIV/0!</v>
      </c>
      <c r="BS68" s="288" t="e">
        <f t="shared" si="28"/>
        <v>#DIV/0!</v>
      </c>
      <c r="BT68" s="238">
        <f t="shared" si="28"/>
        <v>0</v>
      </c>
      <c r="BU68" s="239">
        <f t="shared" si="28"/>
        <v>0</v>
      </c>
      <c r="BV68" s="272">
        <f t="shared" si="40"/>
        <v>0</v>
      </c>
      <c r="BW68" s="288">
        <f t="shared" si="41"/>
        <v>0</v>
      </c>
      <c r="BX68" s="272">
        <f t="shared" si="41"/>
        <v>0</v>
      </c>
      <c r="BY68" s="272">
        <f t="shared" si="41"/>
        <v>0</v>
      </c>
      <c r="BZ68" s="288" t="e">
        <f t="shared" si="41"/>
        <v>#DIV/0!</v>
      </c>
      <c r="CA68" s="288" t="e">
        <f t="shared" si="41"/>
        <v>#DIV/0!</v>
      </c>
      <c r="CB68" s="180">
        <f t="shared" si="41"/>
        <v>0</v>
      </c>
      <c r="CC68" s="272" t="e">
        <f t="shared" si="41"/>
        <v>#DIV/0!</v>
      </c>
      <c r="CD68" s="180"/>
      <c r="CE68" s="180"/>
    </row>
    <row r="69" spans="1:83" ht="15.75" customHeight="1" x14ac:dyDescent="0.35">
      <c r="A69" s="180"/>
      <c r="B69" s="180"/>
      <c r="D69" s="241">
        <f t="shared" si="29"/>
        <v>0</v>
      </c>
      <c r="E69" s="239">
        <f t="shared" si="29"/>
        <v>0</v>
      </c>
      <c r="F69" s="239">
        <f t="shared" si="29"/>
        <v>0</v>
      </c>
      <c r="G69" s="239">
        <f t="shared" si="29"/>
        <v>0</v>
      </c>
      <c r="H69" s="238">
        <f t="shared" si="29"/>
        <v>0</v>
      </c>
      <c r="I69" s="239">
        <f t="shared" si="29"/>
        <v>0</v>
      </c>
      <c r="J69" s="272" t="e">
        <f t="shared" si="32"/>
        <v>#DIV/0!</v>
      </c>
      <c r="K69" s="288">
        <f t="shared" si="30"/>
        <v>0</v>
      </c>
      <c r="L69" s="272">
        <f t="shared" si="30"/>
        <v>0</v>
      </c>
      <c r="M69" s="272">
        <f t="shared" si="30"/>
        <v>0</v>
      </c>
      <c r="N69" s="288" t="e">
        <f t="shared" si="30"/>
        <v>#DIV/0!</v>
      </c>
      <c r="O69" s="288" t="e">
        <f t="shared" si="30"/>
        <v>#DIV/0!</v>
      </c>
      <c r="P69" s="238">
        <f t="shared" si="30"/>
        <v>0</v>
      </c>
      <c r="Q69" s="239">
        <f t="shared" si="30"/>
        <v>0</v>
      </c>
      <c r="R69" s="272">
        <f t="shared" si="33"/>
        <v>0</v>
      </c>
      <c r="S69" s="288">
        <f t="shared" si="31"/>
        <v>0</v>
      </c>
      <c r="T69" s="272">
        <f t="shared" si="31"/>
        <v>0</v>
      </c>
      <c r="U69" s="272">
        <f t="shared" si="31"/>
        <v>0</v>
      </c>
      <c r="V69" s="288" t="e">
        <f t="shared" si="31"/>
        <v>#DIV/0!</v>
      </c>
      <c r="W69" s="288" t="e">
        <f t="shared" si="31"/>
        <v>#DIV/0!</v>
      </c>
      <c r="X69" s="238">
        <f t="shared" si="31"/>
        <v>0</v>
      </c>
      <c r="Y69" s="239">
        <f t="shared" si="31"/>
        <v>0</v>
      </c>
      <c r="Z69" s="272">
        <f t="shared" si="34"/>
        <v>0</v>
      </c>
      <c r="AA69" s="288">
        <f t="shared" si="23"/>
        <v>0</v>
      </c>
      <c r="AB69" s="272">
        <f t="shared" si="23"/>
        <v>0</v>
      </c>
      <c r="AC69" s="272">
        <f t="shared" si="23"/>
        <v>0</v>
      </c>
      <c r="AD69" s="288" t="e">
        <f t="shared" si="23"/>
        <v>#DIV/0!</v>
      </c>
      <c r="AE69" s="288" t="e">
        <f t="shared" si="23"/>
        <v>#DIV/0!</v>
      </c>
      <c r="AF69" s="238">
        <f t="shared" si="23"/>
        <v>0</v>
      </c>
      <c r="AG69" s="239">
        <f t="shared" si="23"/>
        <v>0</v>
      </c>
      <c r="AH69" s="272">
        <f t="shared" si="35"/>
        <v>0</v>
      </c>
      <c r="AI69" s="288">
        <f t="shared" si="24"/>
        <v>0</v>
      </c>
      <c r="AJ69" s="272">
        <f t="shared" si="24"/>
        <v>0</v>
      </c>
      <c r="AK69" s="272">
        <f t="shared" si="24"/>
        <v>0</v>
      </c>
      <c r="AL69" s="288" t="e">
        <f t="shared" si="24"/>
        <v>#DIV/0!</v>
      </c>
      <c r="AM69" s="288" t="e">
        <f t="shared" si="24"/>
        <v>#DIV/0!</v>
      </c>
      <c r="AN69" s="238">
        <f t="shared" si="24"/>
        <v>0</v>
      </c>
      <c r="AO69" s="239">
        <f t="shared" si="24"/>
        <v>0</v>
      </c>
      <c r="AP69" s="272">
        <f t="shared" si="36"/>
        <v>0</v>
      </c>
      <c r="AQ69" s="288">
        <f t="shared" si="25"/>
        <v>0</v>
      </c>
      <c r="AR69" s="272">
        <f t="shared" si="25"/>
        <v>0</v>
      </c>
      <c r="AS69" s="272">
        <f t="shared" si="25"/>
        <v>0</v>
      </c>
      <c r="AT69" s="288" t="e">
        <f t="shared" si="25"/>
        <v>#DIV/0!</v>
      </c>
      <c r="AU69" s="288" t="e">
        <f t="shared" si="25"/>
        <v>#DIV/0!</v>
      </c>
      <c r="AV69" s="238">
        <f t="shared" si="25"/>
        <v>0</v>
      </c>
      <c r="AW69" s="239">
        <f t="shared" si="25"/>
        <v>0</v>
      </c>
      <c r="AX69" s="272">
        <f t="shared" si="37"/>
        <v>0</v>
      </c>
      <c r="AY69" s="288">
        <f t="shared" si="26"/>
        <v>0</v>
      </c>
      <c r="AZ69" s="272">
        <f t="shared" si="26"/>
        <v>0</v>
      </c>
      <c r="BA69" s="272">
        <f t="shared" si="26"/>
        <v>0</v>
      </c>
      <c r="BB69" s="288" t="e">
        <f t="shared" si="26"/>
        <v>#DIV/0!</v>
      </c>
      <c r="BC69" s="288" t="e">
        <f t="shared" si="26"/>
        <v>#DIV/0!</v>
      </c>
      <c r="BD69" s="238">
        <f t="shared" si="26"/>
        <v>0</v>
      </c>
      <c r="BE69" s="239">
        <f t="shared" si="26"/>
        <v>0</v>
      </c>
      <c r="BF69" s="272">
        <f t="shared" si="38"/>
        <v>0</v>
      </c>
      <c r="BG69" s="288">
        <f t="shared" si="27"/>
        <v>0</v>
      </c>
      <c r="BH69" s="272">
        <f t="shared" si="27"/>
        <v>0</v>
      </c>
      <c r="BI69" s="272">
        <f t="shared" si="27"/>
        <v>0</v>
      </c>
      <c r="BJ69" s="288" t="e">
        <f t="shared" si="27"/>
        <v>#DIV/0!</v>
      </c>
      <c r="BK69" s="288" t="e">
        <f t="shared" si="27"/>
        <v>#DIV/0!</v>
      </c>
      <c r="BL69" s="238">
        <f t="shared" si="27"/>
        <v>0</v>
      </c>
      <c r="BM69" s="239">
        <f t="shared" si="27"/>
        <v>0</v>
      </c>
      <c r="BN69" s="272">
        <f t="shared" si="39"/>
        <v>0</v>
      </c>
      <c r="BO69" s="288">
        <f t="shared" si="28"/>
        <v>0</v>
      </c>
      <c r="BP69" s="272">
        <f t="shared" si="28"/>
        <v>0</v>
      </c>
      <c r="BQ69" s="272">
        <f t="shared" si="28"/>
        <v>0</v>
      </c>
      <c r="BR69" s="288" t="e">
        <f t="shared" si="28"/>
        <v>#DIV/0!</v>
      </c>
      <c r="BS69" s="288" t="e">
        <f t="shared" si="28"/>
        <v>#DIV/0!</v>
      </c>
      <c r="BT69" s="238">
        <f t="shared" si="28"/>
        <v>0</v>
      </c>
      <c r="BU69" s="239">
        <f t="shared" si="28"/>
        <v>0</v>
      </c>
      <c r="BV69" s="272">
        <f t="shared" si="40"/>
        <v>0</v>
      </c>
      <c r="BW69" s="288">
        <f t="shared" si="41"/>
        <v>0</v>
      </c>
      <c r="BX69" s="272">
        <f t="shared" si="41"/>
        <v>0</v>
      </c>
      <c r="BY69" s="272">
        <f t="shared" si="41"/>
        <v>0</v>
      </c>
      <c r="BZ69" s="288" t="e">
        <f t="shared" si="41"/>
        <v>#DIV/0!</v>
      </c>
      <c r="CA69" s="288" t="e">
        <f t="shared" si="41"/>
        <v>#DIV/0!</v>
      </c>
      <c r="CB69" s="180">
        <f t="shared" si="41"/>
        <v>0</v>
      </c>
      <c r="CC69" s="272" t="e">
        <f t="shared" si="41"/>
        <v>#DIV/0!</v>
      </c>
      <c r="CD69" s="180"/>
      <c r="CE69" s="180"/>
    </row>
    <row r="70" spans="1:83" s="181" customFormat="1" ht="7.5" customHeight="1" x14ac:dyDescent="0.35">
      <c r="A70" s="180"/>
      <c r="B70" s="180"/>
      <c r="C70" s="179"/>
      <c r="D70" s="180">
        <f t="shared" si="29"/>
        <v>0</v>
      </c>
      <c r="E70" s="180">
        <f t="shared" si="29"/>
        <v>0</v>
      </c>
      <c r="F70" s="180">
        <f t="shared" si="29"/>
        <v>0</v>
      </c>
      <c r="G70" s="235">
        <f t="shared" si="29"/>
        <v>0</v>
      </c>
      <c r="H70" s="180">
        <f t="shared" si="29"/>
        <v>0</v>
      </c>
      <c r="I70" s="180">
        <f t="shared" si="29"/>
        <v>0</v>
      </c>
      <c r="J70" s="181">
        <f>J35</f>
        <v>0</v>
      </c>
      <c r="K70" s="180">
        <f t="shared" si="30"/>
        <v>0</v>
      </c>
      <c r="L70" s="180">
        <f t="shared" si="30"/>
        <v>0</v>
      </c>
      <c r="M70" s="181">
        <f t="shared" si="30"/>
        <v>0</v>
      </c>
      <c r="N70" s="180">
        <f t="shared" si="30"/>
        <v>0</v>
      </c>
      <c r="O70" s="235">
        <f t="shared" si="30"/>
        <v>0</v>
      </c>
      <c r="P70" s="180">
        <f t="shared" si="30"/>
        <v>0</v>
      </c>
      <c r="Q70" s="180">
        <f t="shared" si="30"/>
        <v>0</v>
      </c>
      <c r="R70" s="181">
        <f>R35</f>
        <v>0</v>
      </c>
      <c r="S70" s="180">
        <f t="shared" si="31"/>
        <v>0</v>
      </c>
      <c r="T70" s="180">
        <f t="shared" si="31"/>
        <v>0</v>
      </c>
      <c r="U70" s="181">
        <f t="shared" si="31"/>
        <v>0</v>
      </c>
      <c r="V70" s="180">
        <f t="shared" si="31"/>
        <v>0</v>
      </c>
      <c r="W70" s="235">
        <f t="shared" si="31"/>
        <v>0</v>
      </c>
      <c r="X70" s="180">
        <f t="shared" si="31"/>
        <v>0</v>
      </c>
      <c r="Y70" s="180">
        <f t="shared" si="31"/>
        <v>0</v>
      </c>
      <c r="Z70" s="181">
        <f>Z35</f>
        <v>0</v>
      </c>
      <c r="AA70" s="180">
        <f t="shared" si="23"/>
        <v>0</v>
      </c>
      <c r="AB70" s="180">
        <f t="shared" si="23"/>
        <v>0</v>
      </c>
      <c r="AC70" s="181">
        <f t="shared" si="23"/>
        <v>0</v>
      </c>
      <c r="AD70" s="180">
        <f t="shared" si="23"/>
        <v>0</v>
      </c>
      <c r="AE70" s="235">
        <f t="shared" si="23"/>
        <v>0</v>
      </c>
      <c r="AF70" s="180">
        <f t="shared" si="23"/>
        <v>0</v>
      </c>
      <c r="AG70" s="180">
        <f t="shared" si="23"/>
        <v>0</v>
      </c>
      <c r="AH70" s="181">
        <f>AH35</f>
        <v>0</v>
      </c>
      <c r="AI70" s="180">
        <f t="shared" si="24"/>
        <v>0</v>
      </c>
      <c r="AJ70" s="180">
        <f t="shared" si="24"/>
        <v>0</v>
      </c>
      <c r="AK70" s="181">
        <f t="shared" si="24"/>
        <v>0</v>
      </c>
      <c r="AL70" s="180">
        <f t="shared" si="24"/>
        <v>0</v>
      </c>
      <c r="AM70" s="235">
        <f t="shared" si="24"/>
        <v>0</v>
      </c>
      <c r="AN70" s="180">
        <f t="shared" si="24"/>
        <v>0</v>
      </c>
      <c r="AO70" s="180">
        <f t="shared" si="24"/>
        <v>0</v>
      </c>
      <c r="AP70" s="181">
        <f>AP35</f>
        <v>0</v>
      </c>
      <c r="AQ70" s="180">
        <f t="shared" si="25"/>
        <v>0</v>
      </c>
      <c r="AR70" s="180">
        <f t="shared" si="25"/>
        <v>0</v>
      </c>
      <c r="AS70" s="181">
        <f t="shared" si="25"/>
        <v>0</v>
      </c>
      <c r="AT70" s="180">
        <f t="shared" si="25"/>
        <v>0</v>
      </c>
      <c r="AU70" s="235">
        <f t="shared" si="25"/>
        <v>0</v>
      </c>
      <c r="AV70" s="180">
        <f t="shared" si="25"/>
        <v>0</v>
      </c>
      <c r="AW70" s="180">
        <f t="shared" si="25"/>
        <v>0</v>
      </c>
      <c r="AX70" s="181">
        <f>AX35</f>
        <v>0</v>
      </c>
      <c r="AY70" s="180">
        <f t="shared" si="26"/>
        <v>0</v>
      </c>
      <c r="AZ70" s="180">
        <f t="shared" si="26"/>
        <v>0</v>
      </c>
      <c r="BA70" s="181">
        <f t="shared" si="26"/>
        <v>0</v>
      </c>
      <c r="BB70" s="180">
        <f t="shared" si="26"/>
        <v>0</v>
      </c>
      <c r="BC70" s="235">
        <f t="shared" si="26"/>
        <v>0</v>
      </c>
      <c r="BD70" s="180">
        <f t="shared" si="26"/>
        <v>0</v>
      </c>
      <c r="BE70" s="180">
        <f t="shared" si="26"/>
        <v>0</v>
      </c>
      <c r="BF70" s="181">
        <f>BF35</f>
        <v>0</v>
      </c>
      <c r="BG70" s="180">
        <f t="shared" si="27"/>
        <v>0</v>
      </c>
      <c r="BH70" s="180">
        <f t="shared" si="27"/>
        <v>0</v>
      </c>
      <c r="BI70" s="181">
        <f t="shared" si="27"/>
        <v>0</v>
      </c>
      <c r="BJ70" s="180">
        <f t="shared" si="27"/>
        <v>0</v>
      </c>
      <c r="BK70" s="235">
        <f t="shared" si="27"/>
        <v>0</v>
      </c>
      <c r="BL70" s="180">
        <f t="shared" si="27"/>
        <v>0</v>
      </c>
      <c r="BM70" s="180">
        <f t="shared" si="27"/>
        <v>0</v>
      </c>
      <c r="BN70" s="181">
        <f>BN35</f>
        <v>0</v>
      </c>
      <c r="BO70" s="180">
        <f t="shared" si="28"/>
        <v>0</v>
      </c>
      <c r="BP70" s="180">
        <f t="shared" si="28"/>
        <v>0</v>
      </c>
      <c r="BQ70" s="181">
        <f t="shared" si="28"/>
        <v>0</v>
      </c>
      <c r="BR70" s="180">
        <f t="shared" si="28"/>
        <v>0</v>
      </c>
      <c r="BS70" s="235">
        <f t="shared" si="28"/>
        <v>0</v>
      </c>
      <c r="BT70" s="180">
        <f t="shared" si="28"/>
        <v>0</v>
      </c>
      <c r="BU70" s="180">
        <f t="shared" si="28"/>
        <v>0</v>
      </c>
      <c r="BV70" s="181">
        <f>BV35</f>
        <v>0</v>
      </c>
      <c r="BW70" s="180">
        <f t="shared" si="41"/>
        <v>0</v>
      </c>
      <c r="BX70" s="180">
        <f t="shared" si="41"/>
        <v>0</v>
      </c>
      <c r="BY70" s="181">
        <f t="shared" si="41"/>
        <v>0</v>
      </c>
      <c r="BZ70" s="180">
        <f t="shared" si="41"/>
        <v>0</v>
      </c>
      <c r="CA70" s="235">
        <f t="shared" si="41"/>
        <v>0</v>
      </c>
      <c r="CB70" s="180">
        <f t="shared" si="41"/>
        <v>0</v>
      </c>
      <c r="CC70" s="181">
        <f t="shared" si="41"/>
        <v>0</v>
      </c>
      <c r="CD70" s="180"/>
      <c r="CE70" s="180"/>
    </row>
    <row r="71" spans="1:83" ht="15.75" customHeight="1" x14ac:dyDescent="0.35">
      <c r="A71" s="180"/>
      <c r="B71" s="180"/>
      <c r="D71" s="236" t="str">
        <f t="shared" si="29"/>
        <v>ESOP - allocated</v>
      </c>
      <c r="E71" s="243">
        <f t="shared" si="29"/>
        <v>0</v>
      </c>
      <c r="F71" s="244">
        <f t="shared" si="29"/>
        <v>0</v>
      </c>
      <c r="G71" s="245">
        <f t="shared" si="29"/>
        <v>0</v>
      </c>
      <c r="H71" s="243">
        <f t="shared" si="29"/>
        <v>0</v>
      </c>
      <c r="I71" s="246">
        <f t="shared" si="29"/>
        <v>0</v>
      </c>
      <c r="J71" s="327">
        <f t="shared" si="29"/>
        <v>0</v>
      </c>
      <c r="K71" s="327">
        <f t="shared" si="29"/>
        <v>0</v>
      </c>
      <c r="L71" s="224">
        <f t="shared" si="29"/>
        <v>0</v>
      </c>
      <c r="M71" s="293">
        <f t="shared" si="29"/>
        <v>0</v>
      </c>
      <c r="N71" s="328">
        <f t="shared" si="29"/>
        <v>0</v>
      </c>
      <c r="O71" s="295" t="e">
        <f t="shared" si="29"/>
        <v>#DIV/0!</v>
      </c>
      <c r="P71" s="243">
        <f t="shared" si="29"/>
        <v>0</v>
      </c>
      <c r="Q71" s="246">
        <f t="shared" si="29"/>
        <v>0</v>
      </c>
      <c r="R71" s="327">
        <f t="shared" si="29"/>
        <v>0</v>
      </c>
      <c r="S71" s="327">
        <f t="shared" si="29"/>
        <v>0</v>
      </c>
      <c r="T71" s="224">
        <f t="shared" si="31"/>
        <v>0</v>
      </c>
      <c r="U71" s="293">
        <f t="shared" si="31"/>
        <v>0</v>
      </c>
      <c r="V71" s="328">
        <f t="shared" si="31"/>
        <v>0</v>
      </c>
      <c r="W71" s="295" t="e">
        <f t="shared" si="31"/>
        <v>#DIV/0!</v>
      </c>
      <c r="X71" s="243">
        <f t="shared" si="31"/>
        <v>0</v>
      </c>
      <c r="Y71" s="246">
        <f t="shared" si="31"/>
        <v>0</v>
      </c>
      <c r="Z71" s="327">
        <f t="shared" si="31"/>
        <v>0</v>
      </c>
      <c r="AA71" s="327">
        <f t="shared" si="31"/>
        <v>0</v>
      </c>
      <c r="AB71" s="224">
        <f t="shared" si="31"/>
        <v>0</v>
      </c>
      <c r="AC71" s="293">
        <f t="shared" si="31"/>
        <v>0</v>
      </c>
      <c r="AD71" s="328">
        <f t="shared" si="31"/>
        <v>0</v>
      </c>
      <c r="AE71" s="295" t="e">
        <f t="shared" si="31"/>
        <v>#DIV/0!</v>
      </c>
      <c r="AF71" s="243">
        <f t="shared" si="31"/>
        <v>0</v>
      </c>
      <c r="AG71" s="246">
        <f t="shared" si="31"/>
        <v>0</v>
      </c>
      <c r="AH71" s="327">
        <f t="shared" si="31"/>
        <v>0</v>
      </c>
      <c r="AI71" s="327">
        <f t="shared" si="24"/>
        <v>0</v>
      </c>
      <c r="AJ71" s="224">
        <f t="shared" si="24"/>
        <v>0</v>
      </c>
      <c r="AK71" s="293">
        <f t="shared" si="24"/>
        <v>0</v>
      </c>
      <c r="AL71" s="328">
        <f t="shared" si="24"/>
        <v>0</v>
      </c>
      <c r="AM71" s="295" t="e">
        <f t="shared" si="24"/>
        <v>#DIV/0!</v>
      </c>
      <c r="AN71" s="243">
        <f t="shared" si="24"/>
        <v>0</v>
      </c>
      <c r="AO71" s="246">
        <f t="shared" si="24"/>
        <v>0</v>
      </c>
      <c r="AP71" s="327">
        <f t="shared" si="24"/>
        <v>0</v>
      </c>
      <c r="AQ71" s="327">
        <f t="shared" si="24"/>
        <v>0</v>
      </c>
      <c r="AR71" s="224">
        <f t="shared" si="24"/>
        <v>0</v>
      </c>
      <c r="AS71" s="293">
        <f t="shared" si="24"/>
        <v>0</v>
      </c>
      <c r="AT71" s="328">
        <f t="shared" si="24"/>
        <v>0</v>
      </c>
      <c r="AU71" s="295" t="e">
        <f t="shared" si="24"/>
        <v>#DIV/0!</v>
      </c>
      <c r="AV71" s="243">
        <f t="shared" si="24"/>
        <v>0</v>
      </c>
      <c r="AW71" s="246">
        <f t="shared" si="24"/>
        <v>0</v>
      </c>
      <c r="AX71" s="327">
        <f t="shared" si="24"/>
        <v>0</v>
      </c>
      <c r="AY71" s="327">
        <f t="shared" si="26"/>
        <v>0</v>
      </c>
      <c r="AZ71" s="224">
        <f t="shared" si="26"/>
        <v>0</v>
      </c>
      <c r="BA71" s="293">
        <f t="shared" si="26"/>
        <v>0</v>
      </c>
      <c r="BB71" s="328">
        <f t="shared" si="26"/>
        <v>0</v>
      </c>
      <c r="BC71" s="295" t="e">
        <f t="shared" si="26"/>
        <v>#DIV/0!</v>
      </c>
      <c r="BD71" s="243">
        <f t="shared" si="26"/>
        <v>0</v>
      </c>
      <c r="BE71" s="246">
        <f t="shared" si="26"/>
        <v>0</v>
      </c>
      <c r="BF71" s="327">
        <f t="shared" si="26"/>
        <v>0</v>
      </c>
      <c r="BG71" s="327">
        <f t="shared" si="26"/>
        <v>0</v>
      </c>
      <c r="BH71" s="224">
        <f t="shared" si="26"/>
        <v>0</v>
      </c>
      <c r="BI71" s="293">
        <f t="shared" si="26"/>
        <v>0</v>
      </c>
      <c r="BJ71" s="328">
        <f t="shared" si="26"/>
        <v>0</v>
      </c>
      <c r="BK71" s="295" t="e">
        <f t="shared" si="26"/>
        <v>#DIV/0!</v>
      </c>
      <c r="BL71" s="243">
        <f t="shared" si="26"/>
        <v>0</v>
      </c>
      <c r="BM71" s="246">
        <f t="shared" si="26"/>
        <v>0</v>
      </c>
      <c r="BN71" s="327">
        <f t="shared" si="26"/>
        <v>0</v>
      </c>
      <c r="BO71" s="327">
        <f t="shared" si="28"/>
        <v>0</v>
      </c>
      <c r="BP71" s="224">
        <f t="shared" si="28"/>
        <v>0</v>
      </c>
      <c r="BQ71" s="293">
        <f t="shared" si="28"/>
        <v>0</v>
      </c>
      <c r="BR71" s="328">
        <f t="shared" si="28"/>
        <v>0</v>
      </c>
      <c r="BS71" s="295" t="e">
        <f t="shared" si="28"/>
        <v>#DIV/0!</v>
      </c>
      <c r="BT71" s="243">
        <f t="shared" si="28"/>
        <v>0</v>
      </c>
      <c r="BU71" s="246">
        <f t="shared" si="28"/>
        <v>0</v>
      </c>
      <c r="BV71" s="327">
        <f t="shared" si="28"/>
        <v>0</v>
      </c>
      <c r="BW71" s="327">
        <f t="shared" si="28"/>
        <v>0</v>
      </c>
      <c r="BX71" s="224">
        <f t="shared" si="28"/>
        <v>0</v>
      </c>
      <c r="BY71" s="293">
        <f t="shared" si="28"/>
        <v>0</v>
      </c>
      <c r="BZ71" s="328">
        <f t="shared" si="28"/>
        <v>0</v>
      </c>
      <c r="CA71" s="295" t="e">
        <f t="shared" si="28"/>
        <v>#DIV/0!</v>
      </c>
      <c r="CB71" s="180">
        <f t="shared" si="28"/>
        <v>0</v>
      </c>
      <c r="CC71" s="328">
        <f t="shared" si="28"/>
        <v>0</v>
      </c>
      <c r="CD71" s="180"/>
      <c r="CE71" s="180"/>
    </row>
    <row r="72" spans="1:83" ht="15.75" customHeight="1" x14ac:dyDescent="0.35">
      <c r="A72" s="180"/>
      <c r="B72" s="180"/>
      <c r="C72" s="247"/>
      <c r="D72" s="236" t="str">
        <f>D37</f>
        <v>Available ESOP</v>
      </c>
      <c r="E72" s="248">
        <f t="shared" si="29"/>
        <v>0</v>
      </c>
      <c r="F72" s="249">
        <f t="shared" si="29"/>
        <v>0</v>
      </c>
      <c r="G72" s="245">
        <f t="shared" si="29"/>
        <v>0</v>
      </c>
      <c r="H72" s="248">
        <f t="shared" si="29"/>
        <v>0</v>
      </c>
      <c r="I72" s="250">
        <f t="shared" si="29"/>
        <v>0</v>
      </c>
      <c r="J72" s="222">
        <f t="shared" si="29"/>
        <v>0</v>
      </c>
      <c r="K72" s="222">
        <f t="shared" si="29"/>
        <v>0</v>
      </c>
      <c r="L72" s="228">
        <f t="shared" si="29"/>
        <v>0</v>
      </c>
      <c r="M72" s="293">
        <f t="shared" si="29"/>
        <v>0</v>
      </c>
      <c r="N72" s="329">
        <f t="shared" si="29"/>
        <v>0</v>
      </c>
      <c r="O72" s="295" t="e">
        <f t="shared" si="29"/>
        <v>#DIV/0!</v>
      </c>
      <c r="P72" s="248">
        <f t="shared" si="29"/>
        <v>0</v>
      </c>
      <c r="Q72" s="250">
        <f t="shared" si="29"/>
        <v>0</v>
      </c>
      <c r="R72" s="222">
        <f t="shared" si="29"/>
        <v>0</v>
      </c>
      <c r="S72" s="222">
        <f t="shared" si="29"/>
        <v>0</v>
      </c>
      <c r="T72" s="228">
        <f t="shared" si="31"/>
        <v>0</v>
      </c>
      <c r="U72" s="293">
        <f t="shared" si="31"/>
        <v>0</v>
      </c>
      <c r="V72" s="329">
        <f t="shared" si="31"/>
        <v>0</v>
      </c>
      <c r="W72" s="295" t="e">
        <f t="shared" si="31"/>
        <v>#DIV/0!</v>
      </c>
      <c r="X72" s="248">
        <f t="shared" si="31"/>
        <v>0</v>
      </c>
      <c r="Y72" s="250">
        <f t="shared" si="31"/>
        <v>0</v>
      </c>
      <c r="Z72" s="222">
        <f t="shared" si="31"/>
        <v>0</v>
      </c>
      <c r="AA72" s="222">
        <f t="shared" si="31"/>
        <v>0</v>
      </c>
      <c r="AB72" s="228">
        <f t="shared" si="31"/>
        <v>0</v>
      </c>
      <c r="AC72" s="293">
        <f t="shared" si="31"/>
        <v>0</v>
      </c>
      <c r="AD72" s="329">
        <f t="shared" si="31"/>
        <v>0</v>
      </c>
      <c r="AE72" s="295" t="e">
        <f t="shared" si="31"/>
        <v>#DIV/0!</v>
      </c>
      <c r="AF72" s="248">
        <f t="shared" si="31"/>
        <v>0</v>
      </c>
      <c r="AG72" s="250">
        <f t="shared" si="31"/>
        <v>0</v>
      </c>
      <c r="AH72" s="222">
        <f t="shared" si="31"/>
        <v>0</v>
      </c>
      <c r="AI72" s="222">
        <f t="shared" si="24"/>
        <v>0</v>
      </c>
      <c r="AJ72" s="228">
        <f t="shared" si="24"/>
        <v>0</v>
      </c>
      <c r="AK72" s="293">
        <f t="shared" si="24"/>
        <v>0</v>
      </c>
      <c r="AL72" s="329">
        <f t="shared" si="24"/>
        <v>0</v>
      </c>
      <c r="AM72" s="295" t="e">
        <f t="shared" si="24"/>
        <v>#DIV/0!</v>
      </c>
      <c r="AN72" s="248">
        <f t="shared" si="24"/>
        <v>0</v>
      </c>
      <c r="AO72" s="250">
        <f t="shared" si="24"/>
        <v>0</v>
      </c>
      <c r="AP72" s="222">
        <f t="shared" si="24"/>
        <v>0</v>
      </c>
      <c r="AQ72" s="222">
        <f t="shared" si="24"/>
        <v>0</v>
      </c>
      <c r="AR72" s="228">
        <f t="shared" si="24"/>
        <v>0</v>
      </c>
      <c r="AS72" s="293">
        <f t="shared" si="24"/>
        <v>0</v>
      </c>
      <c r="AT72" s="329">
        <f t="shared" si="24"/>
        <v>0</v>
      </c>
      <c r="AU72" s="295" t="e">
        <f t="shared" si="24"/>
        <v>#DIV/0!</v>
      </c>
      <c r="AV72" s="248">
        <f t="shared" si="24"/>
        <v>0</v>
      </c>
      <c r="AW72" s="250">
        <f t="shared" si="24"/>
        <v>0</v>
      </c>
      <c r="AX72" s="222">
        <f t="shared" si="24"/>
        <v>0</v>
      </c>
      <c r="AY72" s="222">
        <f t="shared" si="26"/>
        <v>0</v>
      </c>
      <c r="AZ72" s="228">
        <f t="shared" si="26"/>
        <v>0</v>
      </c>
      <c r="BA72" s="293">
        <f t="shared" si="26"/>
        <v>0</v>
      </c>
      <c r="BB72" s="329">
        <f t="shared" si="26"/>
        <v>0</v>
      </c>
      <c r="BC72" s="295" t="e">
        <f t="shared" si="26"/>
        <v>#DIV/0!</v>
      </c>
      <c r="BD72" s="248">
        <f t="shared" si="26"/>
        <v>0</v>
      </c>
      <c r="BE72" s="250">
        <f t="shared" si="26"/>
        <v>0</v>
      </c>
      <c r="BF72" s="222">
        <f t="shared" si="26"/>
        <v>0</v>
      </c>
      <c r="BG72" s="222">
        <f t="shared" si="26"/>
        <v>0</v>
      </c>
      <c r="BH72" s="228">
        <f t="shared" si="26"/>
        <v>0</v>
      </c>
      <c r="BI72" s="293">
        <f t="shared" si="26"/>
        <v>0</v>
      </c>
      <c r="BJ72" s="329">
        <f t="shared" si="26"/>
        <v>0</v>
      </c>
      <c r="BK72" s="295" t="e">
        <f t="shared" si="26"/>
        <v>#DIV/0!</v>
      </c>
      <c r="BL72" s="248">
        <f t="shared" si="26"/>
        <v>0</v>
      </c>
      <c r="BM72" s="250">
        <f t="shared" si="26"/>
        <v>0</v>
      </c>
      <c r="BN72" s="222">
        <f t="shared" si="26"/>
        <v>0</v>
      </c>
      <c r="BO72" s="222">
        <f t="shared" si="28"/>
        <v>0</v>
      </c>
      <c r="BP72" s="228">
        <f t="shared" si="28"/>
        <v>0</v>
      </c>
      <c r="BQ72" s="293">
        <f t="shared" si="28"/>
        <v>0</v>
      </c>
      <c r="BR72" s="329">
        <f t="shared" si="28"/>
        <v>0</v>
      </c>
      <c r="BS72" s="295" t="e">
        <f t="shared" si="28"/>
        <v>#DIV/0!</v>
      </c>
      <c r="BT72" s="248">
        <f t="shared" si="28"/>
        <v>0</v>
      </c>
      <c r="BU72" s="250">
        <f t="shared" si="28"/>
        <v>0</v>
      </c>
      <c r="BV72" s="222">
        <f t="shared" si="28"/>
        <v>0</v>
      </c>
      <c r="BW72" s="222">
        <f t="shared" si="28"/>
        <v>0</v>
      </c>
      <c r="BX72" s="228">
        <f t="shared" si="28"/>
        <v>0</v>
      </c>
      <c r="BY72" s="293">
        <f t="shared" si="28"/>
        <v>0</v>
      </c>
      <c r="BZ72" s="329">
        <f t="shared" si="28"/>
        <v>0</v>
      </c>
      <c r="CA72" s="295" t="e">
        <f t="shared" si="28"/>
        <v>#DIV/0!</v>
      </c>
      <c r="CB72" s="180">
        <f t="shared" si="28"/>
        <v>0</v>
      </c>
      <c r="CC72" s="329">
        <f t="shared" si="28"/>
        <v>0</v>
      </c>
      <c r="CD72" s="180"/>
      <c r="CE72" s="180"/>
    </row>
    <row r="73" spans="1:83" ht="15.75" customHeight="1" x14ac:dyDescent="0.35">
      <c r="A73" s="180"/>
      <c r="B73" s="180"/>
      <c r="C73" s="247" t="s">
        <v>76</v>
      </c>
      <c r="D73" s="236" t="str">
        <f>D38</f>
        <v>New ESOP</v>
      </c>
      <c r="E73" s="245" t="str">
        <f t="shared" si="29"/>
        <v>Pre-Money</v>
      </c>
      <c r="F73" s="251">
        <f t="shared" si="29"/>
        <v>0</v>
      </c>
      <c r="G73" s="245">
        <f t="shared" si="29"/>
        <v>0</v>
      </c>
      <c r="H73" s="251">
        <f t="shared" si="29"/>
        <v>0</v>
      </c>
      <c r="I73" s="252">
        <f t="shared" si="29"/>
        <v>0</v>
      </c>
      <c r="J73" s="231">
        <f t="shared" si="29"/>
        <v>0</v>
      </c>
      <c r="K73" s="231">
        <f t="shared" si="29"/>
        <v>0</v>
      </c>
      <c r="L73" s="232">
        <f t="shared" si="29"/>
        <v>0</v>
      </c>
      <c r="M73" s="293">
        <f t="shared" si="29"/>
        <v>0</v>
      </c>
      <c r="N73" s="330">
        <f t="shared" si="29"/>
        <v>0</v>
      </c>
      <c r="O73" s="295" t="e">
        <f t="shared" si="29"/>
        <v>#DIV/0!</v>
      </c>
      <c r="P73" s="251">
        <f t="shared" si="29"/>
        <v>0</v>
      </c>
      <c r="Q73" s="252">
        <f t="shared" si="29"/>
        <v>0</v>
      </c>
      <c r="R73" s="231">
        <f t="shared" si="29"/>
        <v>0</v>
      </c>
      <c r="S73" s="231">
        <f t="shared" si="29"/>
        <v>0</v>
      </c>
      <c r="T73" s="232">
        <f t="shared" si="31"/>
        <v>0</v>
      </c>
      <c r="U73" s="293">
        <f t="shared" si="31"/>
        <v>0</v>
      </c>
      <c r="V73" s="330">
        <f t="shared" si="31"/>
        <v>0</v>
      </c>
      <c r="W73" s="295" t="e">
        <f t="shared" si="31"/>
        <v>#DIV/0!</v>
      </c>
      <c r="X73" s="251">
        <f t="shared" si="31"/>
        <v>0</v>
      </c>
      <c r="Y73" s="252">
        <f t="shared" si="31"/>
        <v>0</v>
      </c>
      <c r="Z73" s="231">
        <f t="shared" si="31"/>
        <v>0</v>
      </c>
      <c r="AA73" s="231">
        <f t="shared" si="31"/>
        <v>0</v>
      </c>
      <c r="AB73" s="232">
        <f t="shared" si="31"/>
        <v>0</v>
      </c>
      <c r="AC73" s="293">
        <f t="shared" si="31"/>
        <v>0</v>
      </c>
      <c r="AD73" s="330">
        <f t="shared" si="31"/>
        <v>0</v>
      </c>
      <c r="AE73" s="295" t="e">
        <f t="shared" si="31"/>
        <v>#DIV/0!</v>
      </c>
      <c r="AF73" s="251">
        <f t="shared" si="31"/>
        <v>0</v>
      </c>
      <c r="AG73" s="252">
        <f t="shared" si="31"/>
        <v>0</v>
      </c>
      <c r="AH73" s="231">
        <f t="shared" si="31"/>
        <v>0</v>
      </c>
      <c r="AI73" s="231">
        <f t="shared" si="24"/>
        <v>0</v>
      </c>
      <c r="AJ73" s="232">
        <f t="shared" si="24"/>
        <v>0</v>
      </c>
      <c r="AK73" s="293">
        <f t="shared" si="24"/>
        <v>0</v>
      </c>
      <c r="AL73" s="330">
        <f t="shared" si="24"/>
        <v>0</v>
      </c>
      <c r="AM73" s="295" t="e">
        <f t="shared" si="24"/>
        <v>#DIV/0!</v>
      </c>
      <c r="AN73" s="251">
        <f t="shared" si="24"/>
        <v>0</v>
      </c>
      <c r="AO73" s="252">
        <f t="shared" si="24"/>
        <v>0</v>
      </c>
      <c r="AP73" s="231">
        <f t="shared" si="24"/>
        <v>0</v>
      </c>
      <c r="AQ73" s="231">
        <f t="shared" si="24"/>
        <v>0</v>
      </c>
      <c r="AR73" s="232">
        <f t="shared" si="24"/>
        <v>0</v>
      </c>
      <c r="AS73" s="293">
        <f t="shared" si="24"/>
        <v>0</v>
      </c>
      <c r="AT73" s="330">
        <f t="shared" si="24"/>
        <v>0</v>
      </c>
      <c r="AU73" s="295" t="e">
        <f t="shared" si="24"/>
        <v>#DIV/0!</v>
      </c>
      <c r="AV73" s="251">
        <f t="shared" si="24"/>
        <v>0</v>
      </c>
      <c r="AW73" s="252">
        <f t="shared" si="24"/>
        <v>0</v>
      </c>
      <c r="AX73" s="231">
        <f t="shared" si="24"/>
        <v>0</v>
      </c>
      <c r="AY73" s="231">
        <f t="shared" si="26"/>
        <v>0</v>
      </c>
      <c r="AZ73" s="232">
        <f t="shared" si="26"/>
        <v>0</v>
      </c>
      <c r="BA73" s="293">
        <f t="shared" si="26"/>
        <v>0</v>
      </c>
      <c r="BB73" s="330">
        <f t="shared" si="26"/>
        <v>0</v>
      </c>
      <c r="BC73" s="295" t="e">
        <f t="shared" si="26"/>
        <v>#DIV/0!</v>
      </c>
      <c r="BD73" s="251">
        <f t="shared" si="26"/>
        <v>0</v>
      </c>
      <c r="BE73" s="252">
        <f t="shared" si="26"/>
        <v>0</v>
      </c>
      <c r="BF73" s="231">
        <f t="shared" si="26"/>
        <v>0</v>
      </c>
      <c r="BG73" s="231">
        <f t="shared" si="26"/>
        <v>0</v>
      </c>
      <c r="BH73" s="232">
        <f t="shared" si="26"/>
        <v>0</v>
      </c>
      <c r="BI73" s="293">
        <f t="shared" si="26"/>
        <v>0</v>
      </c>
      <c r="BJ73" s="330">
        <f t="shared" si="26"/>
        <v>0</v>
      </c>
      <c r="BK73" s="295" t="e">
        <f t="shared" si="26"/>
        <v>#DIV/0!</v>
      </c>
      <c r="BL73" s="251">
        <f t="shared" si="26"/>
        <v>0</v>
      </c>
      <c r="BM73" s="252">
        <f t="shared" si="26"/>
        <v>0</v>
      </c>
      <c r="BN73" s="231">
        <f t="shared" si="26"/>
        <v>0</v>
      </c>
      <c r="BO73" s="231">
        <f t="shared" si="28"/>
        <v>0</v>
      </c>
      <c r="BP73" s="232">
        <f t="shared" si="28"/>
        <v>0</v>
      </c>
      <c r="BQ73" s="293">
        <f t="shared" si="28"/>
        <v>0</v>
      </c>
      <c r="BR73" s="330">
        <f t="shared" si="28"/>
        <v>0</v>
      </c>
      <c r="BS73" s="295" t="e">
        <f t="shared" si="28"/>
        <v>#DIV/0!</v>
      </c>
      <c r="BT73" s="251">
        <f t="shared" si="28"/>
        <v>0</v>
      </c>
      <c r="BU73" s="252">
        <f t="shared" si="28"/>
        <v>0</v>
      </c>
      <c r="BV73" s="231">
        <f t="shared" si="28"/>
        <v>0</v>
      </c>
      <c r="BW73" s="231">
        <f t="shared" si="28"/>
        <v>0</v>
      </c>
      <c r="BX73" s="232">
        <f t="shared" si="28"/>
        <v>0</v>
      </c>
      <c r="BY73" s="293">
        <f t="shared" si="28"/>
        <v>0</v>
      </c>
      <c r="BZ73" s="330">
        <f t="shared" si="28"/>
        <v>0</v>
      </c>
      <c r="CA73" s="295" t="e">
        <f t="shared" si="28"/>
        <v>#DIV/0!</v>
      </c>
      <c r="CB73" s="180">
        <f t="shared" si="28"/>
        <v>0</v>
      </c>
      <c r="CC73" s="330">
        <f t="shared" si="28"/>
        <v>0</v>
      </c>
      <c r="CD73" s="180"/>
      <c r="CE73" s="180"/>
    </row>
    <row r="74" spans="1:83" s="181" customFormat="1" ht="7.5" customHeight="1" x14ac:dyDescent="0.35">
      <c r="A74" s="180"/>
      <c r="B74" s="180"/>
      <c r="C74" s="179"/>
      <c r="D74" s="180"/>
      <c r="E74" s="180"/>
      <c r="F74" s="180"/>
      <c r="G74" s="235"/>
      <c r="N74" s="180"/>
      <c r="Q74" s="180"/>
      <c r="R74" s="180"/>
      <c r="T74" s="180"/>
      <c r="U74" s="331"/>
      <c r="V74" s="180"/>
      <c r="W74" s="180"/>
      <c r="Y74" s="180"/>
      <c r="Z74" s="180"/>
      <c r="AB74" s="180"/>
      <c r="AC74" s="331"/>
      <c r="AD74" s="180"/>
      <c r="AE74" s="180"/>
      <c r="AG74" s="180"/>
      <c r="AH74" s="180"/>
      <c r="AJ74" s="180"/>
      <c r="AK74" s="331"/>
      <c r="AL74" s="180"/>
      <c r="AM74" s="180"/>
      <c r="AO74" s="180"/>
      <c r="AP74" s="180"/>
      <c r="AR74" s="180"/>
      <c r="AS74" s="331"/>
      <c r="AT74" s="180"/>
      <c r="AU74" s="180"/>
      <c r="AW74" s="180"/>
      <c r="AX74" s="180"/>
      <c r="AZ74" s="180"/>
      <c r="BA74" s="331"/>
      <c r="BB74" s="180"/>
      <c r="BC74" s="180"/>
      <c r="BE74" s="180"/>
      <c r="BF74" s="180"/>
      <c r="BH74" s="180"/>
      <c r="BI74" s="331"/>
      <c r="BJ74" s="180"/>
      <c r="BK74" s="180"/>
      <c r="BM74" s="180"/>
      <c r="BN74" s="180"/>
      <c r="BP74" s="180"/>
      <c r="BQ74" s="331"/>
      <c r="BR74" s="180"/>
      <c r="BS74" s="180"/>
      <c r="BU74" s="180"/>
      <c r="BV74" s="180"/>
      <c r="BX74" s="180"/>
      <c r="BY74" s="331"/>
      <c r="BZ74" s="180"/>
      <c r="CA74" s="180"/>
    </row>
    <row r="75" spans="1:83" s="190" customFormat="1" ht="15.75" customHeight="1" x14ac:dyDescent="0.35">
      <c r="A75" s="180"/>
      <c r="B75" s="180"/>
      <c r="D75" s="303" t="s">
        <v>78</v>
      </c>
      <c r="E75" s="304">
        <f>SUM(E55:E72)</f>
        <v>0</v>
      </c>
      <c r="F75" s="304">
        <f>SUM(F55:F72)</f>
        <v>0</v>
      </c>
      <c r="G75" s="304">
        <f>SUM(G55:G73)</f>
        <v>0</v>
      </c>
      <c r="H75" s="304">
        <f>SUM(H55:H69)</f>
        <v>0</v>
      </c>
      <c r="I75" s="304">
        <f>SUM(I55:I69)</f>
        <v>0</v>
      </c>
      <c r="J75" s="304" t="e">
        <f>SUM(J55:J69)</f>
        <v>#DIV/0!</v>
      </c>
      <c r="K75" s="305">
        <f>SUM(K55:K69)</f>
        <v>0</v>
      </c>
      <c r="L75" s="304">
        <f>SUM(L55:L69)</f>
        <v>0</v>
      </c>
      <c r="M75" s="304">
        <f>SUM(M55:M73)</f>
        <v>0</v>
      </c>
      <c r="N75" s="305" t="e">
        <f>SUM(N55:N69)</f>
        <v>#DIV/0!</v>
      </c>
      <c r="O75" s="305" t="e">
        <f>SUM(O55:O73)</f>
        <v>#DIV/0!</v>
      </c>
      <c r="P75" s="304">
        <f>SUM(P55:P69)</f>
        <v>0</v>
      </c>
      <c r="Q75" s="304">
        <f>SUM(Q55:Q69)</f>
        <v>0</v>
      </c>
      <c r="R75" s="304">
        <f>SUM(R55:R69)</f>
        <v>0</v>
      </c>
      <c r="S75" s="305">
        <f>SUM(S55:S69)</f>
        <v>0</v>
      </c>
      <c r="T75" s="304">
        <f>SUM(T55:T69)</f>
        <v>0</v>
      </c>
      <c r="U75" s="304">
        <f>SUM(U55:U73)</f>
        <v>0</v>
      </c>
      <c r="V75" s="305" t="e">
        <f>SUM(V55:V69)</f>
        <v>#DIV/0!</v>
      </c>
      <c r="W75" s="305" t="e">
        <f>SUM(W55:W73)</f>
        <v>#DIV/0!</v>
      </c>
      <c r="X75" s="304">
        <f>SUM(X55:X69)</f>
        <v>0</v>
      </c>
      <c r="Y75" s="304">
        <f>SUM(Y55:Y69)</f>
        <v>0</v>
      </c>
      <c r="Z75" s="304">
        <f>SUM(Z55:Z69)</f>
        <v>0</v>
      </c>
      <c r="AA75" s="305">
        <f>SUM(AA55:AA69)</f>
        <v>0</v>
      </c>
      <c r="AB75" s="304">
        <f>SUM(AB55:AB69)</f>
        <v>0</v>
      </c>
      <c r="AC75" s="304">
        <f>SUM(AC55:AC73)</f>
        <v>0</v>
      </c>
      <c r="AD75" s="305" t="e">
        <f>SUM(AD55:AD69)</f>
        <v>#DIV/0!</v>
      </c>
      <c r="AE75" s="305" t="e">
        <f>SUM(AE55:AE73)</f>
        <v>#DIV/0!</v>
      </c>
      <c r="AF75" s="304">
        <f>SUM(AF55:AF69)</f>
        <v>0</v>
      </c>
      <c r="AG75" s="304">
        <f>SUM(AG55:AG69)</f>
        <v>0</v>
      </c>
      <c r="AH75" s="304">
        <f>SUM(AH55:AH69)</f>
        <v>0</v>
      </c>
      <c r="AI75" s="305">
        <f>SUM(AI55:AI69)</f>
        <v>0</v>
      </c>
      <c r="AJ75" s="304">
        <f>SUM(AJ55:AJ69)</f>
        <v>0</v>
      </c>
      <c r="AK75" s="304">
        <f>SUM(AK55:AK73)</f>
        <v>0</v>
      </c>
      <c r="AL75" s="305" t="e">
        <f>SUM(AL55:AL69)</f>
        <v>#DIV/0!</v>
      </c>
      <c r="AM75" s="305" t="e">
        <f>SUM(AM55:AM73)</f>
        <v>#DIV/0!</v>
      </c>
      <c r="AN75" s="304">
        <f>SUM(AN55:AN69)</f>
        <v>0</v>
      </c>
      <c r="AO75" s="304">
        <f>SUM(AO55:AO69)</f>
        <v>0</v>
      </c>
      <c r="AP75" s="304">
        <f>SUM(AP55:AP69)</f>
        <v>0</v>
      </c>
      <c r="AQ75" s="305">
        <f>SUM(AQ55:AQ69)</f>
        <v>0</v>
      </c>
      <c r="AR75" s="304">
        <f>SUM(AR55:AR69)</f>
        <v>0</v>
      </c>
      <c r="AS75" s="304">
        <f>SUM(AS55:AS73)</f>
        <v>0</v>
      </c>
      <c r="AT75" s="305" t="e">
        <f>SUM(AT55:AT69)</f>
        <v>#DIV/0!</v>
      </c>
      <c r="AU75" s="305" t="e">
        <f>SUM(AU55:AU73)</f>
        <v>#DIV/0!</v>
      </c>
      <c r="AV75" s="304">
        <f>SUM(AV55:AV69)</f>
        <v>0</v>
      </c>
      <c r="AW75" s="304">
        <f>SUM(AW55:AW69)</f>
        <v>0</v>
      </c>
      <c r="AX75" s="304">
        <f>SUM(AX55:AX69)</f>
        <v>0</v>
      </c>
      <c r="AY75" s="305">
        <f>SUM(AY55:AY69)</f>
        <v>0</v>
      </c>
      <c r="AZ75" s="304">
        <f>SUM(AZ55:AZ69)</f>
        <v>0</v>
      </c>
      <c r="BA75" s="304">
        <f>SUM(BA55:BA73)</f>
        <v>0</v>
      </c>
      <c r="BB75" s="305" t="e">
        <f>SUM(BB55:BB69)</f>
        <v>#DIV/0!</v>
      </c>
      <c r="BC75" s="305" t="e">
        <f>SUM(BC55:BC73)</f>
        <v>#DIV/0!</v>
      </c>
      <c r="BD75" s="304">
        <f>SUM(BD55:BD69)</f>
        <v>0</v>
      </c>
      <c r="BE75" s="304">
        <f>SUM(BE55:BE69)</f>
        <v>0</v>
      </c>
      <c r="BF75" s="304">
        <f>SUM(BF55:BF69)</f>
        <v>0</v>
      </c>
      <c r="BG75" s="305">
        <f>SUM(BG55:BG69)</f>
        <v>0</v>
      </c>
      <c r="BH75" s="304">
        <f>SUM(BH55:BH69)</f>
        <v>0</v>
      </c>
      <c r="BI75" s="304">
        <f>SUM(BI55:BI73)</f>
        <v>0</v>
      </c>
      <c r="BJ75" s="305" t="e">
        <f>SUM(BJ55:BJ69)</f>
        <v>#DIV/0!</v>
      </c>
      <c r="BK75" s="305" t="e">
        <f>SUM(BK55:BK73)</f>
        <v>#DIV/0!</v>
      </c>
      <c r="BL75" s="304">
        <f>SUM(BL55:BL69)</f>
        <v>0</v>
      </c>
      <c r="BM75" s="304">
        <f>SUM(BM55:BM69)</f>
        <v>0</v>
      </c>
      <c r="BN75" s="304">
        <f>SUM(BN55:BN69)</f>
        <v>0</v>
      </c>
      <c r="BO75" s="305">
        <f>SUM(BO55:BO69)</f>
        <v>0</v>
      </c>
      <c r="BP75" s="304">
        <f>SUM(BP55:BP69)</f>
        <v>0</v>
      </c>
      <c r="BQ75" s="304">
        <f>SUM(BQ55:BQ73)</f>
        <v>0</v>
      </c>
      <c r="BR75" s="305" t="e">
        <f>SUM(BR55:BR69)</f>
        <v>#DIV/0!</v>
      </c>
      <c r="BS75" s="305" t="e">
        <f>SUM(BS55:BS73)</f>
        <v>#DIV/0!</v>
      </c>
      <c r="BT75" s="304">
        <f>SUM(BT55:BT69)</f>
        <v>0</v>
      </c>
      <c r="BU75" s="304">
        <f>SUM(BU55:BU69)</f>
        <v>0</v>
      </c>
      <c r="BV75" s="304">
        <f>SUM(BV55:BV69)</f>
        <v>0</v>
      </c>
      <c r="BW75" s="305">
        <f>SUM(BW55:BW69)</f>
        <v>0</v>
      </c>
      <c r="BX75" s="304">
        <f>SUM(BX55:BX69)</f>
        <v>0</v>
      </c>
      <c r="BY75" s="304">
        <f>SUM(BY55:BY73)</f>
        <v>0</v>
      </c>
      <c r="BZ75" s="305" t="e">
        <f>SUM(BZ55:BZ69)</f>
        <v>#DIV/0!</v>
      </c>
      <c r="CA75" s="305" t="e">
        <f>SUM(CA55:CA73)</f>
        <v>#DIV/0!</v>
      </c>
      <c r="CB75" s="180"/>
      <c r="CC75" s="304" t="e">
        <f t="shared" ref="CC75" si="42">SUM(J75,R75,Z75,AH75,AP75,AX75,BF75,BN75,BV75)</f>
        <v>#DIV/0!</v>
      </c>
      <c r="CD75" s="180"/>
      <c r="CE75" s="180"/>
    </row>
    <row r="76" spans="1:83" s="255" customFormat="1" ht="15.75" customHeight="1" x14ac:dyDescent="0.35">
      <c r="A76" s="254"/>
      <c r="B76" s="254"/>
      <c r="D76" s="256" t="str">
        <f t="shared" ref="D76:BO76" si="43">D41</f>
        <v>CHECK</v>
      </c>
      <c r="E76" s="257">
        <f t="shared" si="43"/>
        <v>0</v>
      </c>
      <c r="F76" s="257">
        <f t="shared" si="43"/>
        <v>0</v>
      </c>
      <c r="G76" s="257">
        <f t="shared" si="43"/>
        <v>0</v>
      </c>
      <c r="H76" s="1360" t="str">
        <f t="shared" si="43"/>
        <v>DTCV OK; Investors OK</v>
      </c>
      <c r="I76" s="1361">
        <f t="shared" si="43"/>
        <v>0</v>
      </c>
      <c r="J76" s="1361">
        <f t="shared" si="43"/>
        <v>0</v>
      </c>
      <c r="K76" s="257">
        <f t="shared" si="43"/>
        <v>0</v>
      </c>
      <c r="L76" s="257">
        <f t="shared" si="43"/>
        <v>0</v>
      </c>
      <c r="M76" s="258">
        <f t="shared" si="43"/>
        <v>0</v>
      </c>
      <c r="N76" s="258">
        <f t="shared" si="43"/>
        <v>0</v>
      </c>
      <c r="O76" s="259">
        <f t="shared" si="43"/>
        <v>0</v>
      </c>
      <c r="P76" s="1360" t="str">
        <f t="shared" si="43"/>
        <v>DTCV OK; Investors OK</v>
      </c>
      <c r="Q76" s="1361">
        <f t="shared" si="43"/>
        <v>0</v>
      </c>
      <c r="R76" s="1361">
        <f t="shared" si="43"/>
        <v>0</v>
      </c>
      <c r="S76" s="257">
        <f t="shared" si="43"/>
        <v>0</v>
      </c>
      <c r="T76" s="257">
        <f t="shared" si="43"/>
        <v>0</v>
      </c>
      <c r="U76" s="258">
        <f t="shared" si="43"/>
        <v>0</v>
      </c>
      <c r="V76" s="258">
        <f t="shared" si="43"/>
        <v>0</v>
      </c>
      <c r="W76" s="259">
        <f t="shared" si="43"/>
        <v>0</v>
      </c>
      <c r="X76" s="1360" t="str">
        <f t="shared" si="43"/>
        <v>DTCV OK; Investors OK</v>
      </c>
      <c r="Y76" s="1361">
        <f t="shared" si="43"/>
        <v>0</v>
      </c>
      <c r="Z76" s="1361">
        <f t="shared" si="43"/>
        <v>0</v>
      </c>
      <c r="AA76" s="257">
        <f t="shared" si="43"/>
        <v>0</v>
      </c>
      <c r="AB76" s="257">
        <f t="shared" si="43"/>
        <v>0</v>
      </c>
      <c r="AC76" s="258">
        <f t="shared" si="43"/>
        <v>0</v>
      </c>
      <c r="AD76" s="258">
        <f t="shared" si="43"/>
        <v>0</v>
      </c>
      <c r="AE76" s="259">
        <f t="shared" si="43"/>
        <v>0</v>
      </c>
      <c r="AF76" s="1360" t="str">
        <f t="shared" si="43"/>
        <v>DTCV OK; Investors OK</v>
      </c>
      <c r="AG76" s="1361">
        <f t="shared" si="43"/>
        <v>0</v>
      </c>
      <c r="AH76" s="1361">
        <f t="shared" si="43"/>
        <v>0</v>
      </c>
      <c r="AI76" s="257">
        <f t="shared" si="43"/>
        <v>0</v>
      </c>
      <c r="AJ76" s="257">
        <f t="shared" si="43"/>
        <v>0</v>
      </c>
      <c r="AK76" s="258">
        <f t="shared" si="43"/>
        <v>0</v>
      </c>
      <c r="AL76" s="258">
        <f t="shared" si="43"/>
        <v>0</v>
      </c>
      <c r="AM76" s="259">
        <f t="shared" si="43"/>
        <v>0</v>
      </c>
      <c r="AN76" s="1360" t="str">
        <f t="shared" si="43"/>
        <v>DTCV OK; Investors OK</v>
      </c>
      <c r="AO76" s="1361">
        <f t="shared" si="43"/>
        <v>0</v>
      </c>
      <c r="AP76" s="1361">
        <f t="shared" si="43"/>
        <v>0</v>
      </c>
      <c r="AQ76" s="257">
        <f t="shared" si="43"/>
        <v>0</v>
      </c>
      <c r="AR76" s="257">
        <f t="shared" si="43"/>
        <v>0</v>
      </c>
      <c r="AS76" s="258">
        <f t="shared" si="43"/>
        <v>0</v>
      </c>
      <c r="AT76" s="258">
        <f t="shared" si="43"/>
        <v>0</v>
      </c>
      <c r="AU76" s="259">
        <f t="shared" si="43"/>
        <v>0</v>
      </c>
      <c r="AV76" s="1360" t="str">
        <f t="shared" si="43"/>
        <v>DTCV OK; Investors OK</v>
      </c>
      <c r="AW76" s="1361">
        <f t="shared" si="43"/>
        <v>0</v>
      </c>
      <c r="AX76" s="1361">
        <f t="shared" si="43"/>
        <v>0</v>
      </c>
      <c r="AY76" s="257">
        <f t="shared" si="43"/>
        <v>0</v>
      </c>
      <c r="AZ76" s="257">
        <f t="shared" si="43"/>
        <v>0</v>
      </c>
      <c r="BA76" s="258">
        <f t="shared" si="43"/>
        <v>0</v>
      </c>
      <c r="BB76" s="258">
        <f t="shared" si="43"/>
        <v>0</v>
      </c>
      <c r="BC76" s="259">
        <f t="shared" si="43"/>
        <v>0</v>
      </c>
      <c r="BD76" s="1360" t="str">
        <f t="shared" si="43"/>
        <v>DTCV OK; Investors OK</v>
      </c>
      <c r="BE76" s="1361">
        <f t="shared" si="43"/>
        <v>0</v>
      </c>
      <c r="BF76" s="1361">
        <f t="shared" si="43"/>
        <v>0</v>
      </c>
      <c r="BG76" s="257">
        <f t="shared" si="43"/>
        <v>0</v>
      </c>
      <c r="BH76" s="257">
        <f t="shared" si="43"/>
        <v>0</v>
      </c>
      <c r="BI76" s="258">
        <f t="shared" si="43"/>
        <v>0</v>
      </c>
      <c r="BJ76" s="258">
        <f t="shared" si="43"/>
        <v>0</v>
      </c>
      <c r="BK76" s="259">
        <f t="shared" si="43"/>
        <v>0</v>
      </c>
      <c r="BL76" s="1360" t="str">
        <f t="shared" si="43"/>
        <v>DTCV OK; Investors OK</v>
      </c>
      <c r="BM76" s="1361">
        <f t="shared" si="43"/>
        <v>0</v>
      </c>
      <c r="BN76" s="1361">
        <f t="shared" si="43"/>
        <v>0</v>
      </c>
      <c r="BO76" s="257">
        <f t="shared" si="43"/>
        <v>0</v>
      </c>
      <c r="BP76" s="257">
        <f t="shared" ref="BP76:CC76" si="44">BP41</f>
        <v>0</v>
      </c>
      <c r="BQ76" s="258">
        <f t="shared" si="44"/>
        <v>0</v>
      </c>
      <c r="BR76" s="258">
        <f t="shared" si="44"/>
        <v>0</v>
      </c>
      <c r="BS76" s="259">
        <f t="shared" si="44"/>
        <v>0</v>
      </c>
      <c r="BT76" s="1360" t="str">
        <f t="shared" si="44"/>
        <v>DTCV OK; Investors OK</v>
      </c>
      <c r="BU76" s="1361">
        <f t="shared" si="44"/>
        <v>0</v>
      </c>
      <c r="BV76" s="1361">
        <f t="shared" si="44"/>
        <v>0</v>
      </c>
      <c r="BW76" s="257">
        <f t="shared" si="44"/>
        <v>0</v>
      </c>
      <c r="BX76" s="257">
        <f t="shared" si="44"/>
        <v>0</v>
      </c>
      <c r="BY76" s="258">
        <f t="shared" si="44"/>
        <v>0</v>
      </c>
      <c r="BZ76" s="258">
        <f t="shared" si="44"/>
        <v>0</v>
      </c>
      <c r="CA76" s="259">
        <f t="shared" si="44"/>
        <v>0</v>
      </c>
      <c r="CB76" s="180">
        <f t="shared" si="44"/>
        <v>0</v>
      </c>
      <c r="CC76" s="188">
        <f t="shared" si="44"/>
        <v>0</v>
      </c>
      <c r="CD76" s="180"/>
      <c r="CE76" s="180"/>
    </row>
    <row r="79" spans="1:83" ht="15.75" customHeight="1" thickBot="1" x14ac:dyDescent="0.4">
      <c r="D79" s="711" t="s">
        <v>239</v>
      </c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  <c r="AZ79" s="282"/>
      <c r="BA79" s="282"/>
      <c r="BB79" s="282"/>
      <c r="BC79" s="282"/>
      <c r="BD79" s="282"/>
      <c r="BE79" s="282"/>
      <c r="BF79" s="282"/>
      <c r="BG79" s="282"/>
      <c r="BH79" s="282"/>
      <c r="BI79" s="282"/>
      <c r="BJ79" s="282"/>
      <c r="BK79" s="282"/>
      <c r="BL79" s="282"/>
      <c r="BM79" s="282"/>
      <c r="BN79" s="282"/>
      <c r="BO79" s="282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282"/>
      <c r="CA79" s="282"/>
      <c r="CB79" s="332"/>
    </row>
    <row r="80" spans="1:83" ht="15.75" customHeight="1" x14ac:dyDescent="0.35">
      <c r="D80" s="333">
        <v>1</v>
      </c>
      <c r="J80" s="345">
        <f>IF(H$53=$D80,J$75,0)/1000000</f>
        <v>0</v>
      </c>
      <c r="R80" s="345">
        <f>IF(P$53=$D80,R$75,0)/1000000</f>
        <v>0</v>
      </c>
      <c r="Z80" s="345">
        <f>IF(X$53=$D80,Z$75,0)/1000000</f>
        <v>0</v>
      </c>
      <c r="AH80" s="345">
        <f>IF(AF$53=$D80,AH$75,0)/1000000</f>
        <v>0</v>
      </c>
      <c r="AP80" s="345">
        <f>IF(AN$53=$D80,AP$75,0)/1000000</f>
        <v>0</v>
      </c>
      <c r="AX80" s="345">
        <f>IF(AV$53=$D80,AX$75,0)/1000000</f>
        <v>0</v>
      </c>
      <c r="BF80" s="345">
        <f>IF(BD$53=$D80,BF$75,0)/1000000</f>
        <v>0</v>
      </c>
      <c r="BN80" s="345">
        <f>IF(BL$53=$D80,BN$75,0)/1000000</f>
        <v>0</v>
      </c>
      <c r="BV80" s="345">
        <f>IF(BT$53=$D80,BV$75,0)/1000000</f>
        <v>0</v>
      </c>
      <c r="CC80" s="346">
        <f>SUM(BV80,BN80,BF80,AX80,AP80,AH80,Z80,R80,J80)</f>
        <v>0</v>
      </c>
    </row>
    <row r="81" spans="4:81" ht="15.75" customHeight="1" x14ac:dyDescent="0.35">
      <c r="D81" s="326">
        <v>2</v>
      </c>
      <c r="J81" s="345">
        <f>IF(H$53=$D81,J$75,0)/1000000</f>
        <v>0</v>
      </c>
      <c r="R81" s="345">
        <f>IF(P$53=$D81,R$75,0)/1000000</f>
        <v>0</v>
      </c>
      <c r="Z81" s="345">
        <f>IF(X$53=$D81,Z$75,0)/1000000</f>
        <v>0</v>
      </c>
      <c r="AH81" s="345">
        <f>IF(AF$53=$D81,AH$75,0)/1000000</f>
        <v>0</v>
      </c>
      <c r="AP81" s="345">
        <f>IF(AN$53=$D81,AP$75,0)/1000000</f>
        <v>0</v>
      </c>
      <c r="AX81" s="345">
        <f>IF(AV$53=$D81,AX$75,0)/1000000</f>
        <v>0</v>
      </c>
      <c r="BF81" s="345">
        <f>IF(BD$53=$D81,BF$75,0)/1000000</f>
        <v>0</v>
      </c>
      <c r="BN81" s="345">
        <f>IF(BL$53=$D81,BN$75,0)/1000000</f>
        <v>0</v>
      </c>
      <c r="BV81" s="345">
        <f>IF(BT$53=$D81,BV$75,0)/1000000</f>
        <v>0</v>
      </c>
      <c r="CC81" s="347">
        <f>SUM(BV81,BN81,BF81,AX81,AP81,AH81,Z81,R81,J81)</f>
        <v>0</v>
      </c>
    </row>
    <row r="82" spans="4:81" ht="15.75" customHeight="1" x14ac:dyDescent="0.35">
      <c r="D82" s="326">
        <v>3</v>
      </c>
      <c r="E82" s="282"/>
      <c r="F82" s="282"/>
      <c r="G82" s="282"/>
      <c r="H82" s="282"/>
      <c r="I82" s="282"/>
      <c r="J82" s="345" t="e">
        <f>IF(H$53=$D82,J$75,0)/1000000</f>
        <v>#DIV/0!</v>
      </c>
      <c r="K82" s="282"/>
      <c r="L82" s="282"/>
      <c r="M82" s="282"/>
      <c r="N82" s="282"/>
      <c r="O82" s="282"/>
      <c r="P82" s="282"/>
      <c r="Q82" s="282"/>
      <c r="R82" s="345">
        <f>IF(P$53=$D82,R$75,0)/1000000</f>
        <v>0</v>
      </c>
      <c r="S82" s="282"/>
      <c r="T82" s="282"/>
      <c r="U82" s="282"/>
      <c r="V82" s="282"/>
      <c r="W82" s="282"/>
      <c r="X82" s="282"/>
      <c r="Y82" s="282"/>
      <c r="Z82" s="345">
        <f>IF(X$53=$D82,Z$75,0)/1000000</f>
        <v>0</v>
      </c>
      <c r="AA82" s="282"/>
      <c r="AB82" s="282"/>
      <c r="AC82" s="282"/>
      <c r="AD82" s="282"/>
      <c r="AE82" s="282"/>
      <c r="AF82" s="282"/>
      <c r="AG82" s="282"/>
      <c r="AH82" s="345">
        <f>IF(AF$53=$D82,AH$75,0)/1000000</f>
        <v>0</v>
      </c>
      <c r="AI82" s="282"/>
      <c r="AJ82" s="282"/>
      <c r="AK82" s="282"/>
      <c r="AL82" s="282"/>
      <c r="AM82" s="282"/>
      <c r="AN82" s="282"/>
      <c r="AO82" s="282"/>
      <c r="AP82" s="345">
        <f>IF(AN$53=$D82,AP$75,0)/1000000</f>
        <v>0</v>
      </c>
      <c r="AQ82" s="282"/>
      <c r="AR82" s="282"/>
      <c r="AS82" s="282"/>
      <c r="AT82" s="282"/>
      <c r="AU82" s="282"/>
      <c r="AV82" s="282"/>
      <c r="AW82" s="282"/>
      <c r="AX82" s="345">
        <f>IF(AV$53=$D82,AX$75,0)/1000000</f>
        <v>0</v>
      </c>
      <c r="AY82" s="282"/>
      <c r="AZ82" s="282"/>
      <c r="BA82" s="282"/>
      <c r="BB82" s="282"/>
      <c r="BC82" s="282"/>
      <c r="BD82" s="282"/>
      <c r="BE82" s="282"/>
      <c r="BF82" s="345">
        <f>IF(BD$53=$D82,BF$75,0)/1000000</f>
        <v>0</v>
      </c>
      <c r="BG82" s="282"/>
      <c r="BH82" s="282"/>
      <c r="BI82" s="282"/>
      <c r="BJ82" s="282"/>
      <c r="BK82" s="282"/>
      <c r="BL82" s="282"/>
      <c r="BM82" s="282"/>
      <c r="BN82" s="345">
        <f>IF(BL$53=$D82,BN$75,0)/1000000</f>
        <v>0</v>
      </c>
      <c r="BO82" s="282"/>
      <c r="BP82" s="282"/>
      <c r="BQ82" s="282"/>
      <c r="BR82" s="282"/>
      <c r="BS82" s="282"/>
      <c r="BT82" s="282"/>
      <c r="BU82" s="282"/>
      <c r="BV82" s="345">
        <f>IF(BT$53=$D82,BV$75,0)/1000000</f>
        <v>0</v>
      </c>
      <c r="BW82" s="282"/>
      <c r="BX82" s="282"/>
      <c r="BY82" s="282"/>
      <c r="BZ82" s="282"/>
      <c r="CA82" s="282"/>
      <c r="CB82" s="332"/>
      <c r="CC82" s="347" t="e">
        <f>SUM(BV82,BN82,BF82,AX82,AP82,AH82,Z82,R82,J82)</f>
        <v>#DIV/0!</v>
      </c>
    </row>
    <row r="83" spans="4:81" ht="15.75" customHeight="1" x14ac:dyDescent="0.35">
      <c r="CC83" s="348"/>
    </row>
    <row r="84" spans="4:81" ht="15.75" customHeight="1" x14ac:dyDescent="0.35">
      <c r="D84" s="711" t="s">
        <v>240</v>
      </c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  <c r="AN84" s="282"/>
      <c r="AO84" s="282"/>
      <c r="AP84" s="282"/>
      <c r="AQ84" s="282"/>
      <c r="AR84" s="282"/>
      <c r="AS84" s="282"/>
      <c r="AT84" s="282"/>
      <c r="AU84" s="282"/>
      <c r="AV84" s="282"/>
      <c r="AW84" s="282"/>
      <c r="AX84" s="282"/>
      <c r="AY84" s="282"/>
      <c r="AZ84" s="282"/>
      <c r="BA84" s="282"/>
      <c r="BB84" s="282"/>
      <c r="BC84" s="282"/>
      <c r="BD84" s="282"/>
      <c r="BE84" s="282"/>
      <c r="BF84" s="282"/>
      <c r="BG84" s="282"/>
      <c r="BH84" s="282"/>
      <c r="BI84" s="282"/>
      <c r="BJ84" s="282"/>
      <c r="BK84" s="282"/>
      <c r="BL84" s="282"/>
      <c r="BM84" s="282"/>
      <c r="BN84" s="282"/>
      <c r="BO84" s="282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2"/>
      <c r="CA84" s="282"/>
      <c r="CB84" s="332"/>
      <c r="CC84" s="349"/>
    </row>
    <row r="85" spans="4:81" ht="15.75" customHeight="1" x14ac:dyDescent="0.35">
      <c r="D85" s="333">
        <v>1</v>
      </c>
      <c r="J85" s="345">
        <f>IF(H$53=$D85,J$55,0)/1000000</f>
        <v>0</v>
      </c>
      <c r="R85" s="345">
        <f>IF(P$53=$D85,R$55,0)/1000000</f>
        <v>0</v>
      </c>
      <c r="Z85" s="345">
        <f>IF(X$53=$D85,Z$55,0)/1000000</f>
        <v>0</v>
      </c>
      <c r="AH85" s="345">
        <f>IF(AF$53=$D85,AH$55,0)/1000000</f>
        <v>0</v>
      </c>
      <c r="AP85" s="345">
        <f>IF(AN$53=$D85,AP$55,0)/1000000</f>
        <v>0</v>
      </c>
      <c r="AX85" s="345">
        <f>IF(AV$53=$D85,AX$55,0)/1000000</f>
        <v>0</v>
      </c>
      <c r="BF85" s="345">
        <f>IF(BD$53=$D85,BF$55,0)/1000000</f>
        <v>0</v>
      </c>
      <c r="BN85" s="345">
        <f>IF(BL$53=$D85,BN$55,0)/1000000</f>
        <v>0</v>
      </c>
      <c r="BV85" s="345">
        <f>IF(BT$53=$D85,BV$55,0)/1000000</f>
        <v>0</v>
      </c>
      <c r="CC85" s="347">
        <f>SUM(BV85,BN85,BF85,AX85,AP85,AH85,Z85,R85,J85)</f>
        <v>0</v>
      </c>
    </row>
    <row r="86" spans="4:81" ht="15.75" customHeight="1" x14ac:dyDescent="0.35">
      <c r="D86" s="326">
        <v>2</v>
      </c>
      <c r="J86" s="345">
        <f>IF(H$53=$D86,J$55,0)/1000000</f>
        <v>0</v>
      </c>
      <c r="R86" s="345">
        <f>IF(P$53=$D86,R$55,0)/1000000</f>
        <v>0</v>
      </c>
      <c r="Z86" s="345">
        <f>IF(X$53=$D86,Z$55,0)/1000000</f>
        <v>0</v>
      </c>
      <c r="AH86" s="345">
        <f>IF(AF$53=$D86,AH$55,0)/1000000</f>
        <v>0</v>
      </c>
      <c r="AP86" s="345">
        <f>IF(AN$53=$D86,AP$55,0)/1000000</f>
        <v>0</v>
      </c>
      <c r="AX86" s="345">
        <f>IF(AV$53=$D86,AX$55,0)/1000000</f>
        <v>0</v>
      </c>
      <c r="BF86" s="345">
        <f>IF(BD$53=$D86,BF$55,0)/1000000</f>
        <v>0</v>
      </c>
      <c r="BN86" s="345">
        <f>IF(BL$53=$D86,BN$55,0)/1000000</f>
        <v>0</v>
      </c>
      <c r="BV86" s="345">
        <f>IF(BT$53=$D86,BV$55,0)/1000000</f>
        <v>0</v>
      </c>
      <c r="CC86" s="347">
        <f>SUM(BV86,BN86,BF86,AX86,AP86,AH86,Z86,R86,J86)</f>
        <v>0</v>
      </c>
    </row>
    <row r="87" spans="4:81" ht="15.75" customHeight="1" thickBot="1" x14ac:dyDescent="0.4">
      <c r="D87" s="326">
        <v>3</v>
      </c>
      <c r="E87" s="282"/>
      <c r="F87" s="282"/>
      <c r="G87" s="282"/>
      <c r="H87" s="282"/>
      <c r="I87" s="282"/>
      <c r="J87" s="345" t="e">
        <f>IF(H$53=$D87,J$55,0)/1000000</f>
        <v>#DIV/0!</v>
      </c>
      <c r="K87" s="282"/>
      <c r="L87" s="282"/>
      <c r="M87" s="282"/>
      <c r="N87" s="282"/>
      <c r="O87" s="282"/>
      <c r="P87" s="282"/>
      <c r="Q87" s="282"/>
      <c r="R87" s="345">
        <f>IF(P$53=$D87,R$55,0)/1000000</f>
        <v>0</v>
      </c>
      <c r="S87" s="282"/>
      <c r="T87" s="282"/>
      <c r="U87" s="282"/>
      <c r="V87" s="282"/>
      <c r="W87" s="282"/>
      <c r="X87" s="282"/>
      <c r="Y87" s="282"/>
      <c r="Z87" s="345">
        <f>IF(X$53=$D87,Z$55,0)/1000000</f>
        <v>0</v>
      </c>
      <c r="AA87" s="282"/>
      <c r="AB87" s="282"/>
      <c r="AC87" s="282"/>
      <c r="AD87" s="282"/>
      <c r="AE87" s="282"/>
      <c r="AF87" s="282"/>
      <c r="AG87" s="282"/>
      <c r="AH87" s="345">
        <f>IF(AF$53=$D87,AH$55,0)/1000000</f>
        <v>0</v>
      </c>
      <c r="AI87" s="282"/>
      <c r="AJ87" s="282"/>
      <c r="AK87" s="282"/>
      <c r="AL87" s="282"/>
      <c r="AM87" s="282"/>
      <c r="AN87" s="282"/>
      <c r="AO87" s="282"/>
      <c r="AP87" s="345">
        <f>IF(AN$53=$D87,AP$55,0)/1000000</f>
        <v>0</v>
      </c>
      <c r="AQ87" s="282"/>
      <c r="AR87" s="282"/>
      <c r="AS87" s="282"/>
      <c r="AT87" s="282"/>
      <c r="AU87" s="282"/>
      <c r="AV87" s="282"/>
      <c r="AW87" s="282"/>
      <c r="AX87" s="345">
        <f>IF(AV$53=$D87,AX$55,0)/1000000</f>
        <v>0</v>
      </c>
      <c r="AY87" s="282"/>
      <c r="AZ87" s="282"/>
      <c r="BA87" s="282"/>
      <c r="BB87" s="282"/>
      <c r="BC87" s="282"/>
      <c r="BD87" s="282"/>
      <c r="BE87" s="282"/>
      <c r="BF87" s="345">
        <f>IF(BD$53=$D87,BF$55,0)/1000000</f>
        <v>0</v>
      </c>
      <c r="BG87" s="282"/>
      <c r="BH87" s="282"/>
      <c r="BI87" s="282"/>
      <c r="BJ87" s="282"/>
      <c r="BK87" s="282"/>
      <c r="BL87" s="282"/>
      <c r="BM87" s="282"/>
      <c r="BN87" s="345">
        <f>IF(BL$53=$D87,BN$55,0)/1000000</f>
        <v>0</v>
      </c>
      <c r="BO87" s="282"/>
      <c r="BP87" s="282"/>
      <c r="BQ87" s="282"/>
      <c r="BR87" s="282"/>
      <c r="BS87" s="282"/>
      <c r="BT87" s="282"/>
      <c r="BU87" s="282"/>
      <c r="BV87" s="345">
        <f>IF(BT$53=$D87,BV$55,0)/1000000</f>
        <v>0</v>
      </c>
      <c r="BW87" s="282"/>
      <c r="BX87" s="282"/>
      <c r="BY87" s="282"/>
      <c r="BZ87" s="282"/>
      <c r="CA87" s="282"/>
      <c r="CB87" s="332"/>
      <c r="CC87" s="350" t="e">
        <f>SUM(BV87,BN87,BF87,AX87,AP87,AH87,Z87,R87,J87)</f>
        <v>#DIV/0!</v>
      </c>
    </row>
  </sheetData>
  <mergeCells count="52">
    <mergeCell ref="E11:F11"/>
    <mergeCell ref="E6:F6"/>
    <mergeCell ref="E7:F7"/>
    <mergeCell ref="E8:F8"/>
    <mergeCell ref="E9:F9"/>
    <mergeCell ref="E10:F10"/>
    <mergeCell ref="BD13:BK13"/>
    <mergeCell ref="BL13:BS13"/>
    <mergeCell ref="BT13:CA13"/>
    <mergeCell ref="H14:O14"/>
    <mergeCell ref="P14:W14"/>
    <mergeCell ref="X14:AE14"/>
    <mergeCell ref="AF14:AM14"/>
    <mergeCell ref="AN14:AU14"/>
    <mergeCell ref="AV14:BC14"/>
    <mergeCell ref="BD14:BK14"/>
    <mergeCell ref="H13:O13"/>
    <mergeCell ref="P13:W13"/>
    <mergeCell ref="X13:AE13"/>
    <mergeCell ref="AF13:AM13"/>
    <mergeCell ref="AN13:AU13"/>
    <mergeCell ref="AV13:BC13"/>
    <mergeCell ref="BL14:BS14"/>
    <mergeCell ref="BT14:CA14"/>
    <mergeCell ref="H41:J41"/>
    <mergeCell ref="P41:R41"/>
    <mergeCell ref="X41:Z41"/>
    <mergeCell ref="AF41:AH41"/>
    <mergeCell ref="AN41:AP41"/>
    <mergeCell ref="AV41:AX41"/>
    <mergeCell ref="BD41:BF41"/>
    <mergeCell ref="BL41:BN41"/>
    <mergeCell ref="BT41:BV41"/>
    <mergeCell ref="L43:M43"/>
    <mergeCell ref="T43:U43"/>
    <mergeCell ref="AB43:AC43"/>
    <mergeCell ref="AJ43:AK43"/>
    <mergeCell ref="AR43:AS43"/>
    <mergeCell ref="AZ43:BA43"/>
    <mergeCell ref="BH43:BI43"/>
    <mergeCell ref="BP43:BQ43"/>
    <mergeCell ref="BT76:BV76"/>
    <mergeCell ref="BX43:BY43"/>
    <mergeCell ref="AN76:AP76"/>
    <mergeCell ref="AV76:AX76"/>
    <mergeCell ref="BD76:BF76"/>
    <mergeCell ref="BL76:BN76"/>
    <mergeCell ref="H49:I49"/>
    <mergeCell ref="H76:J76"/>
    <mergeCell ref="P76:R76"/>
    <mergeCell ref="X76:Z76"/>
    <mergeCell ref="AF76:AH76"/>
  </mergeCells>
  <conditionalFormatting sqref="A47:AF47">
    <cfRule type="containsText" dxfId="42" priority="16" operator="containsText" text="double check">
      <formula>NOT(ISERROR(SEARCH("double check",A47)))</formula>
    </cfRule>
  </conditionalFormatting>
  <conditionalFormatting sqref="D11:G11">
    <cfRule type="containsText" dxfId="41" priority="10" operator="containsText" text="review">
      <formula>NOT(ISERROR(SEARCH("review",D11)))</formula>
    </cfRule>
  </conditionalFormatting>
  <conditionalFormatting sqref="H41:H43">
    <cfRule type="containsText" dxfId="40" priority="54" operator="containsText" text="Check">
      <formula>NOT(ISERROR(SEARCH("Check",H41)))</formula>
    </cfRule>
  </conditionalFormatting>
  <conditionalFormatting sqref="H76">
    <cfRule type="containsText" dxfId="39" priority="9" operator="containsText" text="Check">
      <formula>NOT(ISERROR(SEARCH("Check",H76)))</formula>
    </cfRule>
  </conditionalFormatting>
  <conditionalFormatting sqref="P41:P43">
    <cfRule type="containsText" dxfId="38" priority="50" operator="containsText" text="Check">
      <formula>NOT(ISERROR(SEARCH("Check",P41)))</formula>
    </cfRule>
  </conditionalFormatting>
  <conditionalFormatting sqref="P76">
    <cfRule type="containsText" dxfId="37" priority="8" operator="containsText" text="Check">
      <formula>NOT(ISERROR(SEARCH("Check",P76)))</formula>
    </cfRule>
  </conditionalFormatting>
  <conditionalFormatting sqref="X41:X43">
    <cfRule type="containsText" dxfId="36" priority="45" operator="containsText" text="Check">
      <formula>NOT(ISERROR(SEARCH("Check",X41)))</formula>
    </cfRule>
  </conditionalFormatting>
  <conditionalFormatting sqref="X76">
    <cfRule type="containsText" dxfId="35" priority="7" operator="containsText" text="Check">
      <formula>NOT(ISERROR(SEARCH("Check",X76)))</formula>
    </cfRule>
  </conditionalFormatting>
  <conditionalFormatting sqref="AF41:AF43">
    <cfRule type="containsText" dxfId="34" priority="44" operator="containsText" text="Check">
      <formula>NOT(ISERROR(SEARCH("Check",AF41)))</formula>
    </cfRule>
  </conditionalFormatting>
  <conditionalFormatting sqref="AF76">
    <cfRule type="containsText" dxfId="33" priority="6" operator="containsText" text="Check">
      <formula>NOT(ISERROR(SEARCH("Check",AF76)))</formula>
    </cfRule>
  </conditionalFormatting>
  <conditionalFormatting sqref="AG47:AH47">
    <cfRule type="containsText" dxfId="32" priority="46" operator="containsText" text="review">
      <formula>NOT(ISERROR(SEARCH("review",AG47)))</formula>
    </cfRule>
  </conditionalFormatting>
  <conditionalFormatting sqref="AI47:AN47">
    <cfRule type="containsText" dxfId="31" priority="15" operator="containsText" text="double check">
      <formula>NOT(ISERROR(SEARCH("double check",AI47)))</formula>
    </cfRule>
  </conditionalFormatting>
  <conditionalFormatting sqref="AN41:AN43">
    <cfRule type="containsText" dxfId="30" priority="39" operator="containsText" text="Check">
      <formula>NOT(ISERROR(SEARCH("Check",AN41)))</formula>
    </cfRule>
  </conditionalFormatting>
  <conditionalFormatting sqref="AN76">
    <cfRule type="containsText" dxfId="29" priority="5" operator="containsText" text="Check">
      <formula>NOT(ISERROR(SEARCH("Check",AN76)))</formula>
    </cfRule>
  </conditionalFormatting>
  <conditionalFormatting sqref="AO47:AU47">
    <cfRule type="containsText" dxfId="28" priority="40" operator="containsText" text="review">
      <formula>NOT(ISERROR(SEARCH("review",AO47)))</formula>
    </cfRule>
  </conditionalFormatting>
  <conditionalFormatting sqref="AV41:AV43">
    <cfRule type="containsText" dxfId="27" priority="34" operator="containsText" text="Check">
      <formula>NOT(ISERROR(SEARCH("Check",AV41)))</formula>
    </cfRule>
  </conditionalFormatting>
  <conditionalFormatting sqref="AV47">
    <cfRule type="containsText" dxfId="26" priority="14" operator="containsText" text="double check">
      <formula>NOT(ISERROR(SEARCH("double check",AV47)))</formula>
    </cfRule>
  </conditionalFormatting>
  <conditionalFormatting sqref="AV76">
    <cfRule type="containsText" dxfId="25" priority="4" operator="containsText" text="Check">
      <formula>NOT(ISERROR(SEARCH("Check",AV76)))</formula>
    </cfRule>
  </conditionalFormatting>
  <conditionalFormatting sqref="AW47:BC47">
    <cfRule type="containsText" dxfId="24" priority="35" operator="containsText" text="review">
      <formula>NOT(ISERROR(SEARCH("review",AW47)))</formula>
    </cfRule>
  </conditionalFormatting>
  <conditionalFormatting sqref="BD41:BD43">
    <cfRule type="containsText" dxfId="23" priority="29" operator="containsText" text="Check">
      <formula>NOT(ISERROR(SEARCH("Check",BD41)))</formula>
    </cfRule>
  </conditionalFormatting>
  <conditionalFormatting sqref="BD47">
    <cfRule type="containsText" dxfId="22" priority="13" operator="containsText" text="double check">
      <formula>NOT(ISERROR(SEARCH("double check",BD47)))</formula>
    </cfRule>
  </conditionalFormatting>
  <conditionalFormatting sqref="BD76">
    <cfRule type="containsText" dxfId="21" priority="3" operator="containsText" text="Check">
      <formula>NOT(ISERROR(SEARCH("Check",BD76)))</formula>
    </cfRule>
  </conditionalFormatting>
  <conditionalFormatting sqref="BE47:BK47">
    <cfRule type="containsText" dxfId="20" priority="30" operator="containsText" text="review">
      <formula>NOT(ISERROR(SEARCH("review",BE47)))</formula>
    </cfRule>
  </conditionalFormatting>
  <conditionalFormatting sqref="BL41:BL43">
    <cfRule type="containsText" dxfId="19" priority="24" operator="containsText" text="Check">
      <formula>NOT(ISERROR(SEARCH("Check",BL41)))</formula>
    </cfRule>
  </conditionalFormatting>
  <conditionalFormatting sqref="BL47">
    <cfRule type="containsText" dxfId="18" priority="12" operator="containsText" text="double check">
      <formula>NOT(ISERROR(SEARCH("double check",BL47)))</formula>
    </cfRule>
  </conditionalFormatting>
  <conditionalFormatting sqref="BL76">
    <cfRule type="containsText" dxfId="17" priority="2" operator="containsText" text="Check">
      <formula>NOT(ISERROR(SEARCH("Check",BL76)))</formula>
    </cfRule>
  </conditionalFormatting>
  <conditionalFormatting sqref="BM47:BS47">
    <cfRule type="containsText" dxfId="16" priority="25" operator="containsText" text="review">
      <formula>NOT(ISERROR(SEARCH("review",BM47)))</formula>
    </cfRule>
  </conditionalFormatting>
  <conditionalFormatting sqref="BT41:BT43">
    <cfRule type="containsText" dxfId="15" priority="19" operator="containsText" text="Check">
      <formula>NOT(ISERROR(SEARCH("Check",BT41)))</formula>
    </cfRule>
  </conditionalFormatting>
  <conditionalFormatting sqref="BT47">
    <cfRule type="containsText" dxfId="14" priority="11" operator="containsText" text="double check">
      <formula>NOT(ISERROR(SEARCH("double check",BT47)))</formula>
    </cfRule>
  </conditionalFormatting>
  <conditionalFormatting sqref="BT76">
    <cfRule type="containsText" dxfId="13" priority="1" operator="containsText" text="Check">
      <formula>NOT(ISERROR(SEARCH("Check",BT76)))</formula>
    </cfRule>
  </conditionalFormatting>
  <conditionalFormatting sqref="BU47:CA47">
    <cfRule type="containsText" dxfId="12" priority="20" operator="containsText" text="review">
      <formula>NOT(ISERROR(SEARCH("review",BU47)))</formula>
    </cfRule>
  </conditionalFormatting>
  <conditionalFormatting sqref="CB47:XFD47">
    <cfRule type="containsText" dxfId="11" priority="47" operator="containsText" text="double check">
      <formula>NOT(ISERROR(SEARCH("double check",CB47)))</formula>
    </cfRule>
  </conditionalFormatting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C21C-33C0-47F2-A822-AEA7FF3B1768}">
  <dimension ref="A7:Z45"/>
  <sheetViews>
    <sheetView zoomScale="85" zoomScaleNormal="85" workbookViewId="0">
      <selection activeCell="I11" sqref="I11"/>
    </sheetView>
  </sheetViews>
  <sheetFormatPr defaultColWidth="9.1796875" defaultRowHeight="12.5" x14ac:dyDescent="0.25"/>
  <cols>
    <col min="1" max="1" width="8.81640625" style="820" customWidth="1"/>
    <col min="2" max="2" width="13.54296875" style="820" bestFit="1" customWidth="1"/>
    <col min="3" max="5" width="9.1796875" style="820"/>
    <col min="6" max="6" width="8.7265625" style="820" customWidth="1"/>
    <col min="7" max="7" width="13.54296875" style="820" bestFit="1" customWidth="1"/>
    <col min="8" max="8" width="10.453125" style="820" bestFit="1" customWidth="1"/>
    <col min="9" max="25" width="9.1796875" style="820"/>
    <col min="26" max="26" width="11.1796875" style="820" bestFit="1" customWidth="1"/>
    <col min="27" max="16384" width="9.1796875" style="820"/>
  </cols>
  <sheetData>
    <row r="7" spans="1:19" x14ac:dyDescent="0.25">
      <c r="I7" s="820" t="s">
        <v>241</v>
      </c>
    </row>
    <row r="8" spans="1:19" ht="13" x14ac:dyDescent="0.3">
      <c r="A8" s="820" t="s">
        <v>242</v>
      </c>
      <c r="B8" s="821" t="s">
        <v>243</v>
      </c>
      <c r="C8" s="822" t="s">
        <v>244</v>
      </c>
      <c r="D8" s="823">
        <v>2019</v>
      </c>
      <c r="E8" s="823">
        <v>2020</v>
      </c>
      <c r="F8" s="823">
        <v>2021</v>
      </c>
      <c r="G8" s="824" t="s">
        <v>245</v>
      </c>
      <c r="I8" s="849">
        <v>5</v>
      </c>
      <c r="O8" s="1372" t="s">
        <v>246</v>
      </c>
      <c r="P8" s="1372"/>
      <c r="Q8" s="1372"/>
      <c r="R8" s="1372"/>
      <c r="S8" s="1372"/>
    </row>
    <row r="9" spans="1:19" ht="13" x14ac:dyDescent="0.3">
      <c r="A9" s="844">
        <v>17.007276000000001</v>
      </c>
      <c r="B9" s="826" t="s">
        <v>247</v>
      </c>
      <c r="C9" s="844">
        <v>38.470824</v>
      </c>
      <c r="D9" s="844">
        <v>95.229684000000006</v>
      </c>
      <c r="E9" s="844">
        <v>231.188817</v>
      </c>
      <c r="F9" s="844">
        <v>489.96300500000001</v>
      </c>
      <c r="G9" s="827"/>
      <c r="I9" s="849">
        <v>6</v>
      </c>
      <c r="O9" s="828">
        <f>$C$27</f>
        <v>0.5</v>
      </c>
      <c r="P9" s="828">
        <f>$C$23</f>
        <v>0.75</v>
      </c>
      <c r="Q9" s="828">
        <f>$C$19</f>
        <v>1</v>
      </c>
      <c r="R9" s="828">
        <f>$C$15</f>
        <v>1.25</v>
      </c>
      <c r="S9" s="828">
        <f>$G$10</f>
        <v>1.3353067450220912</v>
      </c>
    </row>
    <row r="10" spans="1:19" ht="13" x14ac:dyDescent="0.3">
      <c r="B10" s="829" t="s">
        <v>248</v>
      </c>
      <c r="C10" s="830">
        <f>(C9-A9)/A9</f>
        <v>1.262021501856029</v>
      </c>
      <c r="D10" s="830">
        <f>(D9-C9)/C9</f>
        <v>1.4753741692665592</v>
      </c>
      <c r="E10" s="830">
        <f>(E9-D9)/D9</f>
        <v>1.4276969878425723</v>
      </c>
      <c r="F10" s="830">
        <f>(F9-E9)/E9</f>
        <v>1.1193196598259334</v>
      </c>
      <c r="G10" s="831">
        <f>(F9/C9)^(1/3)-1</f>
        <v>1.3353067450220912</v>
      </c>
      <c r="I10" s="849">
        <v>7</v>
      </c>
      <c r="N10" s="832">
        <f>$I8</f>
        <v>5</v>
      </c>
      <c r="O10" s="833">
        <f t="shared" ref="O10:O15" si="0">$D$26*$N10</f>
        <v>649.195155</v>
      </c>
      <c r="P10" s="833">
        <f t="shared" ref="P10:P15" si="1">$D$22*$N10</f>
        <v>1030.897861875</v>
      </c>
      <c r="Q10" s="833">
        <f t="shared" ref="Q10:Q15" si="2">$D$18*$N10</f>
        <v>1538.83296</v>
      </c>
      <c r="R10" s="833">
        <f t="shared" ref="R10:R15" si="3">$D$14*$N10</f>
        <v>2191.0336481249997</v>
      </c>
      <c r="S10" s="833">
        <f t="shared" ref="S10:S15" si="4">$F$9*$N10</f>
        <v>2449.8150249999999</v>
      </c>
    </row>
    <row r="11" spans="1:19" ht="13" x14ac:dyDescent="0.3">
      <c r="I11" s="849">
        <v>8</v>
      </c>
      <c r="N11" s="832">
        <f t="shared" ref="N11:N15" si="5">$I9</f>
        <v>6</v>
      </c>
      <c r="O11" s="833">
        <f t="shared" si="0"/>
        <v>779.03418600000009</v>
      </c>
      <c r="P11" s="833">
        <f t="shared" si="1"/>
        <v>1237.0774342499999</v>
      </c>
      <c r="Q11" s="833">
        <f t="shared" si="2"/>
        <v>1846.5995520000001</v>
      </c>
      <c r="R11" s="833">
        <f t="shared" si="3"/>
        <v>2629.2403777499999</v>
      </c>
      <c r="S11" s="833">
        <f t="shared" si="4"/>
        <v>2939.7780299999999</v>
      </c>
    </row>
    <row r="12" spans="1:19" ht="13" x14ac:dyDescent="0.3">
      <c r="I12" s="849">
        <v>9</v>
      </c>
      <c r="N12" s="832">
        <f t="shared" si="5"/>
        <v>7</v>
      </c>
      <c r="O12" s="833">
        <f t="shared" si="0"/>
        <v>908.87321700000007</v>
      </c>
      <c r="P12" s="833">
        <f t="shared" si="1"/>
        <v>1443.257006625</v>
      </c>
      <c r="Q12" s="833">
        <f t="shared" si="2"/>
        <v>2154.3661440000001</v>
      </c>
      <c r="R12" s="833">
        <f t="shared" si="3"/>
        <v>3067.4471073750001</v>
      </c>
      <c r="S12" s="833">
        <f t="shared" si="4"/>
        <v>3429.741035</v>
      </c>
    </row>
    <row r="13" spans="1:19" ht="13" x14ac:dyDescent="0.3">
      <c r="B13" s="821" t="s">
        <v>249</v>
      </c>
      <c r="C13" s="822" t="s">
        <v>244</v>
      </c>
      <c r="D13" s="824">
        <v>2021</v>
      </c>
      <c r="I13" s="849">
        <v>10</v>
      </c>
      <c r="N13" s="832">
        <f t="shared" si="5"/>
        <v>8</v>
      </c>
      <c r="O13" s="833">
        <f t="shared" si="0"/>
        <v>1038.712248</v>
      </c>
      <c r="P13" s="833">
        <f t="shared" si="1"/>
        <v>1649.4365789999999</v>
      </c>
      <c r="Q13" s="833">
        <f t="shared" si="2"/>
        <v>2462.132736</v>
      </c>
      <c r="R13" s="833">
        <f t="shared" si="3"/>
        <v>3505.6538369999998</v>
      </c>
      <c r="S13" s="833">
        <f t="shared" si="4"/>
        <v>3919.7040400000001</v>
      </c>
    </row>
    <row r="14" spans="1:19" ht="13" x14ac:dyDescent="0.3">
      <c r="B14" s="826" t="str">
        <f>B9</f>
        <v>Revenue</v>
      </c>
      <c r="C14" s="825">
        <f>$C$9</f>
        <v>38.470824</v>
      </c>
      <c r="D14" s="834">
        <f>C14*(1+C15)^3</f>
        <v>438.20672962499998</v>
      </c>
      <c r="N14" s="832">
        <f t="shared" si="5"/>
        <v>9</v>
      </c>
      <c r="O14" s="833">
        <f t="shared" si="0"/>
        <v>1168.551279</v>
      </c>
      <c r="P14" s="833">
        <f t="shared" si="1"/>
        <v>1855.6161513749998</v>
      </c>
      <c r="Q14" s="833">
        <f t="shared" si="2"/>
        <v>2769.899328</v>
      </c>
      <c r="R14" s="833">
        <f t="shared" si="3"/>
        <v>3943.8605666249996</v>
      </c>
      <c r="S14" s="833">
        <f t="shared" si="4"/>
        <v>4409.6670450000001</v>
      </c>
    </row>
    <row r="15" spans="1:19" ht="13" x14ac:dyDescent="0.3">
      <c r="B15" s="829" t="s">
        <v>245</v>
      </c>
      <c r="C15" s="845">
        <v>1.25</v>
      </c>
      <c r="D15" s="835"/>
      <c r="E15" s="825"/>
      <c r="N15" s="832">
        <f t="shared" si="5"/>
        <v>10</v>
      </c>
      <c r="O15" s="833">
        <f t="shared" si="0"/>
        <v>1298.39031</v>
      </c>
      <c r="P15" s="833">
        <f t="shared" si="1"/>
        <v>2061.79572375</v>
      </c>
      <c r="Q15" s="833">
        <f t="shared" si="2"/>
        <v>3077.6659199999999</v>
      </c>
      <c r="R15" s="833">
        <f t="shared" si="3"/>
        <v>4382.0672962499993</v>
      </c>
      <c r="S15" s="833">
        <f t="shared" si="4"/>
        <v>4899.6300499999998</v>
      </c>
    </row>
    <row r="16" spans="1:19" x14ac:dyDescent="0.25">
      <c r="B16" s="826"/>
      <c r="D16" s="827"/>
    </row>
    <row r="17" spans="2:26" x14ac:dyDescent="0.25">
      <c r="B17" s="826" t="s">
        <v>250</v>
      </c>
      <c r="C17" s="820" t="s">
        <v>244</v>
      </c>
      <c r="D17" s="827">
        <v>2021</v>
      </c>
    </row>
    <row r="18" spans="2:26" ht="13" x14ac:dyDescent="0.3">
      <c r="B18" s="826" t="str">
        <f>B9</f>
        <v>Revenue</v>
      </c>
      <c r="C18" s="825">
        <f>$C$9</f>
        <v>38.470824</v>
      </c>
      <c r="D18" s="834">
        <f>C18*(1+C19)^3</f>
        <v>307.766592</v>
      </c>
      <c r="I18" s="838" t="s">
        <v>251</v>
      </c>
      <c r="J18" s="838" t="s">
        <v>252</v>
      </c>
      <c r="K18" s="838" t="s">
        <v>253</v>
      </c>
      <c r="L18" s="838" t="s">
        <v>254</v>
      </c>
    </row>
    <row r="19" spans="2:26" ht="13" x14ac:dyDescent="0.3">
      <c r="B19" s="829" t="s">
        <v>245</v>
      </c>
      <c r="C19" s="845">
        <v>1</v>
      </c>
      <c r="D19" s="831"/>
      <c r="E19" s="825"/>
      <c r="H19" s="820" t="s">
        <v>255</v>
      </c>
      <c r="I19" s="846">
        <f>5/360</f>
        <v>1.3888888888888888E-2</v>
      </c>
      <c r="J19" s="847">
        <v>5</v>
      </c>
      <c r="K19" s="848">
        <v>310</v>
      </c>
      <c r="L19" s="848">
        <v>360</v>
      </c>
    </row>
    <row r="20" spans="2:26" x14ac:dyDescent="0.25">
      <c r="B20" s="826"/>
      <c r="D20" s="827"/>
      <c r="E20" s="836"/>
      <c r="H20" s="820" t="s">
        <v>256</v>
      </c>
      <c r="I20" s="840"/>
      <c r="J20" s="841"/>
      <c r="K20" s="842"/>
      <c r="L20" s="842"/>
    </row>
    <row r="21" spans="2:26" x14ac:dyDescent="0.25">
      <c r="B21" s="826" t="s">
        <v>257</v>
      </c>
      <c r="C21" s="820" t="s">
        <v>244</v>
      </c>
      <c r="D21" s="827">
        <v>2021</v>
      </c>
      <c r="H21" s="820" t="s">
        <v>258</v>
      </c>
      <c r="I21" s="840"/>
      <c r="J21" s="841"/>
      <c r="K21" s="842"/>
      <c r="L21" s="842"/>
      <c r="O21" s="1372" t="s">
        <v>259</v>
      </c>
      <c r="P21" s="1372"/>
      <c r="Q21" s="1372"/>
      <c r="R21" s="1372"/>
      <c r="S21" s="1372"/>
      <c r="V21" s="1372" t="s">
        <v>260</v>
      </c>
      <c r="W21" s="1372"/>
      <c r="X21" s="1372"/>
      <c r="Y21" s="1372"/>
      <c r="Z21" s="1372"/>
    </row>
    <row r="22" spans="2:26" ht="13" x14ac:dyDescent="0.3">
      <c r="B22" s="826" t="str">
        <f>B9</f>
        <v>Revenue</v>
      </c>
      <c r="C22" s="825">
        <f>$C$9</f>
        <v>38.470824</v>
      </c>
      <c r="D22" s="834">
        <f>C22*(1+C23)^3</f>
        <v>206.17957237499999</v>
      </c>
      <c r="O22" s="828">
        <f>$C$27</f>
        <v>0.5</v>
      </c>
      <c r="P22" s="828">
        <f>$C$23</f>
        <v>0.75</v>
      </c>
      <c r="Q22" s="828">
        <f>$C$19</f>
        <v>1</v>
      </c>
      <c r="R22" s="828">
        <f>$C$15</f>
        <v>1.25</v>
      </c>
      <c r="S22" s="828">
        <f>$G$10</f>
        <v>1.3353067450220912</v>
      </c>
      <c r="V22" s="828">
        <f>$C$27</f>
        <v>0.5</v>
      </c>
      <c r="W22" s="828">
        <f>$C$23</f>
        <v>0.75</v>
      </c>
      <c r="X22" s="828">
        <f>$C$19</f>
        <v>1</v>
      </c>
      <c r="Y22" s="828">
        <f>$C$15</f>
        <v>1.25</v>
      </c>
      <c r="Z22" s="828">
        <f>$G$10</f>
        <v>1.3353067450220912</v>
      </c>
    </row>
    <row r="23" spans="2:26" ht="13" x14ac:dyDescent="0.3">
      <c r="B23" s="829" t="s">
        <v>245</v>
      </c>
      <c r="C23" s="845">
        <v>0.75</v>
      </c>
      <c r="D23" s="831"/>
      <c r="E23" s="825"/>
      <c r="N23" s="832">
        <f>I8</f>
        <v>5</v>
      </c>
      <c r="O23" s="833">
        <f t="shared" ref="O23:S28" si="6">O10*$I$19</f>
        <v>9.0165993750000002</v>
      </c>
      <c r="P23" s="833">
        <f t="shared" si="6"/>
        <v>14.318025859374998</v>
      </c>
      <c r="Q23" s="833">
        <f t="shared" si="6"/>
        <v>21.372679999999999</v>
      </c>
      <c r="R23" s="833">
        <f t="shared" si="6"/>
        <v>30.431022890624995</v>
      </c>
      <c r="S23" s="833">
        <f t="shared" si="6"/>
        <v>34.025208680555551</v>
      </c>
      <c r="U23" s="832">
        <f>I8</f>
        <v>5</v>
      </c>
      <c r="V23" s="837">
        <f t="shared" ref="V23:Z28" si="7">O23/$J$19</f>
        <v>1.8033198750000001</v>
      </c>
      <c r="W23" s="837">
        <f t="shared" si="7"/>
        <v>2.8636051718749997</v>
      </c>
      <c r="X23" s="837">
        <f t="shared" si="7"/>
        <v>4.2745359999999994</v>
      </c>
      <c r="Y23" s="837">
        <f t="shared" si="7"/>
        <v>6.0862045781249989</v>
      </c>
      <c r="Z23" s="837">
        <f t="shared" si="7"/>
        <v>6.80504173611111</v>
      </c>
    </row>
    <row r="24" spans="2:26" ht="13" x14ac:dyDescent="0.3">
      <c r="B24" s="826"/>
      <c r="D24" s="827"/>
      <c r="E24" s="836"/>
      <c r="N24" s="832">
        <f t="shared" ref="N24:N28" si="8">I9</f>
        <v>6</v>
      </c>
      <c r="O24" s="833">
        <f t="shared" si="6"/>
        <v>10.81991925</v>
      </c>
      <c r="P24" s="833">
        <f t="shared" si="6"/>
        <v>17.181631031249999</v>
      </c>
      <c r="Q24" s="833">
        <f t="shared" si="6"/>
        <v>25.647216</v>
      </c>
      <c r="R24" s="833">
        <f t="shared" si="6"/>
        <v>36.517227468749994</v>
      </c>
      <c r="S24" s="833">
        <f t="shared" si="6"/>
        <v>40.830250416666665</v>
      </c>
      <c r="U24" s="832">
        <f t="shared" ref="U24:U28" si="9">I9</f>
        <v>6</v>
      </c>
      <c r="V24" s="837">
        <f t="shared" si="7"/>
        <v>2.1639838500000002</v>
      </c>
      <c r="W24" s="837">
        <f t="shared" si="7"/>
        <v>3.43632620625</v>
      </c>
      <c r="X24" s="837">
        <f t="shared" si="7"/>
        <v>5.1294431999999999</v>
      </c>
      <c r="Y24" s="837">
        <f t="shared" si="7"/>
        <v>7.3034454937499991</v>
      </c>
      <c r="Z24" s="837">
        <f t="shared" si="7"/>
        <v>8.1660500833333334</v>
      </c>
    </row>
    <row r="25" spans="2:26" ht="13" x14ac:dyDescent="0.3">
      <c r="B25" s="826" t="s">
        <v>261</v>
      </c>
      <c r="C25" s="820" t="s">
        <v>244</v>
      </c>
      <c r="D25" s="827">
        <v>2021</v>
      </c>
      <c r="N25" s="832">
        <f t="shared" si="8"/>
        <v>7</v>
      </c>
      <c r="O25" s="833">
        <f t="shared" si="6"/>
        <v>12.623239125</v>
      </c>
      <c r="P25" s="833">
        <f t="shared" si="6"/>
        <v>20.045236203125</v>
      </c>
      <c r="Q25" s="833">
        <f t="shared" si="6"/>
        <v>29.921751999999998</v>
      </c>
      <c r="R25" s="833">
        <f t="shared" si="6"/>
        <v>42.603432046875</v>
      </c>
      <c r="S25" s="833">
        <f t="shared" si="6"/>
        <v>47.635292152777772</v>
      </c>
      <c r="U25" s="832">
        <f t="shared" si="9"/>
        <v>7</v>
      </c>
      <c r="V25" s="837">
        <f t="shared" si="7"/>
        <v>2.5246478249999997</v>
      </c>
      <c r="W25" s="837">
        <f t="shared" si="7"/>
        <v>4.0090472406249997</v>
      </c>
      <c r="X25" s="837">
        <f t="shared" si="7"/>
        <v>5.9843503999999994</v>
      </c>
      <c r="Y25" s="837">
        <f t="shared" si="7"/>
        <v>8.5206864093749992</v>
      </c>
      <c r="Z25" s="837">
        <f t="shared" si="7"/>
        <v>9.5270584305555541</v>
      </c>
    </row>
    <row r="26" spans="2:26" ht="13" x14ac:dyDescent="0.3">
      <c r="B26" s="826" t="str">
        <f>B9</f>
        <v>Revenue</v>
      </c>
      <c r="C26" s="825">
        <f>$C$9</f>
        <v>38.470824</v>
      </c>
      <c r="D26" s="834">
        <f>C26*(1+C27)^3</f>
        <v>129.83903100000001</v>
      </c>
      <c r="N26" s="832">
        <f t="shared" si="8"/>
        <v>8</v>
      </c>
      <c r="O26" s="833">
        <f t="shared" si="6"/>
        <v>14.426558999999999</v>
      </c>
      <c r="P26" s="833">
        <f t="shared" si="6"/>
        <v>22.908841374999998</v>
      </c>
      <c r="Q26" s="833">
        <f t="shared" si="6"/>
        <v>34.196287999999996</v>
      </c>
      <c r="R26" s="833">
        <f t="shared" si="6"/>
        <v>48.689636624999999</v>
      </c>
      <c r="S26" s="833">
        <f t="shared" si="6"/>
        <v>54.440333888888887</v>
      </c>
      <c r="U26" s="832">
        <f t="shared" si="9"/>
        <v>8</v>
      </c>
      <c r="V26" s="837">
        <f t="shared" si="7"/>
        <v>2.8853117999999998</v>
      </c>
      <c r="W26" s="837">
        <f t="shared" si="7"/>
        <v>4.5817682749999999</v>
      </c>
      <c r="X26" s="837">
        <f t="shared" si="7"/>
        <v>6.8392575999999989</v>
      </c>
      <c r="Y26" s="837">
        <f t="shared" si="7"/>
        <v>9.7379273249999994</v>
      </c>
      <c r="Z26" s="837">
        <f t="shared" si="7"/>
        <v>10.888066777777777</v>
      </c>
    </row>
    <row r="27" spans="2:26" ht="13" x14ac:dyDescent="0.3">
      <c r="B27" s="829" t="s">
        <v>245</v>
      </c>
      <c r="C27" s="845">
        <v>0.5</v>
      </c>
      <c r="D27" s="831"/>
      <c r="N27" s="832">
        <f t="shared" si="8"/>
        <v>9</v>
      </c>
      <c r="O27" s="833">
        <f t="shared" si="6"/>
        <v>16.229878875000001</v>
      </c>
      <c r="P27" s="833">
        <f t="shared" si="6"/>
        <v>25.772446546874995</v>
      </c>
      <c r="Q27" s="833">
        <f t="shared" si="6"/>
        <v>38.470824</v>
      </c>
      <c r="R27" s="833">
        <f t="shared" si="6"/>
        <v>54.77584120312499</v>
      </c>
      <c r="S27" s="833">
        <f t="shared" si="6"/>
        <v>61.245375625000001</v>
      </c>
      <c r="U27" s="832">
        <f t="shared" si="9"/>
        <v>9</v>
      </c>
      <c r="V27" s="837">
        <f t="shared" si="7"/>
        <v>3.2459757750000002</v>
      </c>
      <c r="W27" s="837">
        <f t="shared" si="7"/>
        <v>5.1544893093749993</v>
      </c>
      <c r="X27" s="837">
        <f t="shared" si="7"/>
        <v>7.6941648000000002</v>
      </c>
      <c r="Y27" s="837">
        <f t="shared" si="7"/>
        <v>10.955168240624998</v>
      </c>
      <c r="Z27" s="837">
        <f t="shared" si="7"/>
        <v>12.249075125000001</v>
      </c>
    </row>
    <row r="28" spans="2:26" ht="13" x14ac:dyDescent="0.3">
      <c r="N28" s="832">
        <f t="shared" si="8"/>
        <v>10</v>
      </c>
      <c r="O28" s="833">
        <f t="shared" si="6"/>
        <v>18.03319875</v>
      </c>
      <c r="P28" s="833">
        <f t="shared" si="6"/>
        <v>28.636051718749997</v>
      </c>
      <c r="Q28" s="833">
        <f t="shared" si="6"/>
        <v>42.745359999999998</v>
      </c>
      <c r="R28" s="833">
        <f t="shared" si="6"/>
        <v>60.862045781249989</v>
      </c>
      <c r="S28" s="833">
        <f t="shared" si="6"/>
        <v>68.050417361111101</v>
      </c>
      <c r="U28" s="832">
        <f t="shared" si="9"/>
        <v>10</v>
      </c>
      <c r="V28" s="837">
        <f t="shared" si="7"/>
        <v>3.6066397500000003</v>
      </c>
      <c r="W28" s="837">
        <f t="shared" si="7"/>
        <v>5.7272103437499995</v>
      </c>
      <c r="X28" s="837">
        <f t="shared" si="7"/>
        <v>8.5490719999999989</v>
      </c>
      <c r="Y28" s="837">
        <f t="shared" si="7"/>
        <v>12.172409156249998</v>
      </c>
      <c r="Z28" s="837">
        <f t="shared" si="7"/>
        <v>13.61008347222222</v>
      </c>
    </row>
    <row r="31" spans="2:26" x14ac:dyDescent="0.25">
      <c r="V31" s="839"/>
      <c r="W31" s="839"/>
      <c r="X31" s="839"/>
      <c r="Y31" s="839"/>
      <c r="Z31" s="839"/>
    </row>
    <row r="33" spans="3:26" ht="13" x14ac:dyDescent="0.3">
      <c r="O33" s="828"/>
      <c r="P33" s="828"/>
      <c r="Q33" s="828"/>
      <c r="R33" s="828"/>
      <c r="S33" s="828"/>
      <c r="V33" s="828"/>
      <c r="W33" s="828"/>
      <c r="X33" s="828"/>
      <c r="Y33" s="828"/>
      <c r="Z33" s="828"/>
    </row>
    <row r="34" spans="3:26" ht="13" x14ac:dyDescent="0.3">
      <c r="N34" s="832">
        <f t="shared" ref="N34:N39" si="10">I8</f>
        <v>5</v>
      </c>
      <c r="O34" s="833"/>
      <c r="P34" s="833"/>
      <c r="Q34" s="833"/>
      <c r="R34" s="833"/>
      <c r="S34" s="833"/>
      <c r="U34" s="832"/>
      <c r="V34" s="837"/>
      <c r="W34" s="837"/>
      <c r="X34" s="837"/>
      <c r="Y34" s="837"/>
      <c r="Z34" s="837"/>
    </row>
    <row r="35" spans="3:26" ht="13" x14ac:dyDescent="0.3">
      <c r="N35" s="832">
        <f t="shared" si="10"/>
        <v>6</v>
      </c>
      <c r="O35" s="833"/>
      <c r="P35" s="833"/>
      <c r="Q35" s="833"/>
      <c r="R35" s="833"/>
      <c r="S35" s="833"/>
      <c r="U35" s="832"/>
      <c r="V35" s="837"/>
      <c r="W35" s="837"/>
      <c r="X35" s="837"/>
      <c r="Y35" s="837"/>
      <c r="Z35" s="837"/>
    </row>
    <row r="36" spans="3:26" ht="13" x14ac:dyDescent="0.3">
      <c r="N36" s="832">
        <f t="shared" si="10"/>
        <v>7</v>
      </c>
      <c r="O36" s="833"/>
      <c r="P36" s="833"/>
      <c r="Q36" s="833"/>
      <c r="R36" s="833"/>
      <c r="S36" s="833"/>
      <c r="U36" s="832"/>
      <c r="V36" s="837"/>
      <c r="W36" s="837"/>
      <c r="X36" s="837"/>
      <c r="Y36" s="837"/>
      <c r="Z36" s="837"/>
    </row>
    <row r="37" spans="3:26" ht="13" x14ac:dyDescent="0.3">
      <c r="N37" s="832">
        <f t="shared" si="10"/>
        <v>8</v>
      </c>
      <c r="O37" s="833"/>
      <c r="P37" s="833"/>
      <c r="Q37" s="833"/>
      <c r="R37" s="833"/>
      <c r="S37" s="833"/>
      <c r="U37" s="832"/>
      <c r="V37" s="837"/>
      <c r="W37" s="837"/>
      <c r="X37" s="837"/>
      <c r="Y37" s="837"/>
      <c r="Z37" s="837"/>
    </row>
    <row r="38" spans="3:26" ht="13" x14ac:dyDescent="0.3">
      <c r="N38" s="832">
        <f t="shared" si="10"/>
        <v>9</v>
      </c>
      <c r="O38" s="833"/>
      <c r="P38" s="833"/>
      <c r="Q38" s="833"/>
      <c r="R38" s="833"/>
      <c r="S38" s="833"/>
      <c r="U38" s="832"/>
      <c r="V38" s="837"/>
      <c r="W38" s="837"/>
      <c r="X38" s="837"/>
      <c r="Y38" s="837"/>
      <c r="Z38" s="837"/>
    </row>
    <row r="39" spans="3:26" ht="13" x14ac:dyDescent="0.3">
      <c r="N39" s="832">
        <f t="shared" si="10"/>
        <v>10</v>
      </c>
      <c r="O39" s="833"/>
      <c r="P39" s="833"/>
      <c r="Q39" s="833"/>
      <c r="R39" s="833"/>
      <c r="S39" s="833"/>
      <c r="U39" s="832"/>
      <c r="V39" s="837"/>
      <c r="W39" s="837"/>
      <c r="X39" s="837"/>
      <c r="Y39" s="837"/>
      <c r="Z39" s="837"/>
    </row>
    <row r="44" spans="3:26" x14ac:dyDescent="0.25">
      <c r="C44" s="840"/>
      <c r="D44" s="841"/>
    </row>
    <row r="45" spans="3:26" x14ac:dyDescent="0.25">
      <c r="C45" s="840"/>
    </row>
  </sheetData>
  <mergeCells count="3">
    <mergeCell ref="O8:S8"/>
    <mergeCell ref="O21:S21"/>
    <mergeCell ref="V21:Z21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8E18-4600-4771-BE82-2DBDBF1CEC2B}">
  <dimension ref="A1:AJ259"/>
  <sheetViews>
    <sheetView zoomScale="30" zoomScaleNormal="30" workbookViewId="0">
      <selection activeCell="L29" sqref="L29"/>
    </sheetView>
  </sheetViews>
  <sheetFormatPr defaultRowHeight="14.5" outlineLevelRow="1" x14ac:dyDescent="0.35"/>
  <cols>
    <col min="1" max="1" width="20.453125" customWidth="1"/>
    <col min="2" max="2" width="41" customWidth="1"/>
    <col min="3" max="3" width="26.81640625" customWidth="1"/>
    <col min="4" max="4" width="15.26953125" customWidth="1"/>
    <col min="5" max="5" width="15.54296875" customWidth="1"/>
    <col min="6" max="6" width="18.453125" customWidth="1"/>
    <col min="7" max="7" width="15.1796875" customWidth="1"/>
    <col min="8" max="8" width="14.1796875" customWidth="1"/>
    <col min="9" max="9" width="21.26953125" customWidth="1"/>
    <col min="10" max="10" width="14.1796875" customWidth="1"/>
    <col min="11" max="11" width="16.1796875" customWidth="1"/>
    <col min="12" max="12" width="20.1796875" customWidth="1"/>
    <col min="13" max="13" width="17.81640625" customWidth="1"/>
    <col min="14" max="14" width="21.1796875" customWidth="1"/>
    <col min="15" max="15" width="16.7265625" customWidth="1"/>
    <col min="16" max="16" width="18.54296875" customWidth="1"/>
    <col min="17" max="17" width="16.81640625" customWidth="1"/>
    <col min="18" max="24" width="16.453125" customWidth="1"/>
    <col min="25" max="25" width="8.7265625" customWidth="1"/>
    <col min="30" max="35" width="15.453125" customWidth="1"/>
    <col min="36" max="36" width="19.54296875" customWidth="1"/>
  </cols>
  <sheetData>
    <row r="1" spans="1:28" s="945" customFormat="1" x14ac:dyDescent="0.35"/>
    <row r="2" spans="1:28" ht="21" customHeight="1" x14ac:dyDescent="0.5">
      <c r="A2" s="945"/>
      <c r="B2" s="946" t="s">
        <v>262</v>
      </c>
      <c r="C2" s="947"/>
      <c r="D2" s="947"/>
      <c r="E2" s="948"/>
      <c r="F2" s="945"/>
      <c r="G2" s="945"/>
      <c r="H2" s="945"/>
      <c r="I2" s="949" t="s">
        <v>263</v>
      </c>
      <c r="L2" s="945"/>
      <c r="M2" s="950" t="s">
        <v>264</v>
      </c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</row>
    <row r="3" spans="1:28" ht="15" thickBot="1" x14ac:dyDescent="0.4">
      <c r="A3" s="945"/>
      <c r="B3" s="951"/>
      <c r="E3" s="952"/>
      <c r="F3" s="945"/>
      <c r="G3" s="945"/>
      <c r="H3" s="945"/>
      <c r="I3" s="945"/>
      <c r="J3" s="945"/>
      <c r="K3" s="945"/>
      <c r="L3" s="945"/>
      <c r="M3" s="945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</row>
    <row r="4" spans="1:28" ht="27" customHeight="1" thickBot="1" x14ac:dyDescent="0.4">
      <c r="A4" s="945"/>
      <c r="B4" s="953"/>
      <c r="C4" s="954"/>
      <c r="D4" s="955" t="s">
        <v>265</v>
      </c>
      <c r="E4" s="956"/>
      <c r="F4" s="954"/>
      <c r="G4" s="955" t="s">
        <v>266</v>
      </c>
      <c r="H4" s="957"/>
      <c r="I4" s="953"/>
      <c r="J4" s="955" t="s">
        <v>267</v>
      </c>
      <c r="K4" s="957"/>
      <c r="L4" s="945"/>
      <c r="M4" s="945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  <c r="AA4" s="945"/>
      <c r="AB4" s="945"/>
    </row>
    <row r="5" spans="1:28" ht="16.5" customHeight="1" x14ac:dyDescent="0.35">
      <c r="A5" s="945"/>
      <c r="B5" s="958" t="s">
        <v>268</v>
      </c>
      <c r="C5" s="959"/>
      <c r="D5" s="960"/>
      <c r="E5" s="961"/>
      <c r="F5" s="959"/>
      <c r="G5" s="960"/>
      <c r="H5" s="961"/>
      <c r="I5" s="959"/>
      <c r="J5" s="960"/>
      <c r="K5" s="962"/>
      <c r="L5" s="945"/>
      <c r="M5" s="945"/>
      <c r="N5" s="963" t="s">
        <v>269</v>
      </c>
      <c r="O5" s="964"/>
      <c r="P5" s="964"/>
      <c r="Q5" s="964"/>
      <c r="R5" s="964"/>
      <c r="S5" s="964"/>
      <c r="T5" s="965"/>
      <c r="U5" s="945"/>
      <c r="V5" s="945"/>
      <c r="W5" s="945"/>
      <c r="X5" s="945"/>
      <c r="Y5" s="945"/>
      <c r="Z5" s="945"/>
      <c r="AA5" s="945"/>
      <c r="AB5" s="945"/>
    </row>
    <row r="6" spans="1:28" x14ac:dyDescent="0.35">
      <c r="A6" s="945"/>
      <c r="B6" s="966" t="s">
        <v>270</v>
      </c>
      <c r="C6" s="967" t="s">
        <v>271</v>
      </c>
      <c r="D6" s="968">
        <f>IF(C6=E6, 1, 0)</f>
        <v>0</v>
      </c>
      <c r="E6" s="969" t="s">
        <v>272</v>
      </c>
      <c r="F6" s="967" t="s">
        <v>273</v>
      </c>
      <c r="G6" s="968">
        <f>IF(F6=H6, 1, 0)</f>
        <v>0</v>
      </c>
      <c r="H6" s="969" t="s">
        <v>272</v>
      </c>
      <c r="I6" s="967" t="s">
        <v>271</v>
      </c>
      <c r="J6" s="968">
        <f>IF(I6=K6, 1, 0)</f>
        <v>0</v>
      </c>
      <c r="K6" s="969" t="s">
        <v>272</v>
      </c>
      <c r="L6" s="945"/>
      <c r="M6" s="945"/>
      <c r="N6" s="951"/>
      <c r="O6" t="s">
        <v>75</v>
      </c>
      <c r="P6" t="s">
        <v>274</v>
      </c>
      <c r="Q6" t="s">
        <v>275</v>
      </c>
      <c r="R6" t="s">
        <v>276</v>
      </c>
      <c r="S6" t="s">
        <v>277</v>
      </c>
      <c r="T6" s="952" t="s">
        <v>278</v>
      </c>
      <c r="U6" s="945"/>
      <c r="V6" s="945"/>
      <c r="W6" s="945"/>
      <c r="X6" s="945"/>
      <c r="Y6" s="945"/>
      <c r="Z6" s="945"/>
      <c r="AA6" s="945"/>
      <c r="AB6" s="945"/>
    </row>
    <row r="7" spans="1:28" x14ac:dyDescent="0.35">
      <c r="A7" s="945"/>
      <c r="B7" s="966" t="s">
        <v>279</v>
      </c>
      <c r="C7" s="967" t="s">
        <v>280</v>
      </c>
      <c r="E7" s="969" t="s">
        <v>271</v>
      </c>
      <c r="F7" s="967" t="s">
        <v>280</v>
      </c>
      <c r="H7" s="969" t="s">
        <v>271</v>
      </c>
      <c r="I7" s="967" t="s">
        <v>280</v>
      </c>
      <c r="K7" s="969" t="s">
        <v>271</v>
      </c>
      <c r="L7" s="945"/>
      <c r="M7" s="945"/>
      <c r="N7" s="951" t="s">
        <v>281</v>
      </c>
      <c r="T7" s="952"/>
      <c r="U7" s="945"/>
      <c r="V7" s="945"/>
      <c r="W7" s="945"/>
      <c r="X7" s="945"/>
      <c r="Y7" s="945"/>
      <c r="Z7" s="945"/>
      <c r="AA7" s="945"/>
      <c r="AB7" s="945"/>
    </row>
    <row r="8" spans="1:28" x14ac:dyDescent="0.35">
      <c r="A8" s="945"/>
      <c r="B8" s="966" t="s">
        <v>282</v>
      </c>
      <c r="C8" s="970">
        <f>DATE(2021,12,31)</f>
        <v>44561</v>
      </c>
      <c r="E8" s="969" t="s">
        <v>273</v>
      </c>
      <c r="F8" s="970">
        <f>DATE(2021,12,31)</f>
        <v>44561</v>
      </c>
      <c r="H8" s="969" t="s">
        <v>273</v>
      </c>
      <c r="I8" s="970">
        <f>DATE(2021,12,31)</f>
        <v>44561</v>
      </c>
      <c r="K8" s="969" t="s">
        <v>273</v>
      </c>
      <c r="L8" s="945"/>
      <c r="M8" s="945"/>
      <c r="N8" s="951" t="s">
        <v>280</v>
      </c>
      <c r="T8" s="952"/>
      <c r="U8" s="945"/>
      <c r="V8" s="945"/>
      <c r="W8" s="945"/>
      <c r="X8" s="945"/>
      <c r="Y8" s="945"/>
      <c r="Z8" s="945"/>
      <c r="AA8" s="945"/>
      <c r="AB8" s="945"/>
    </row>
    <row r="9" spans="1:28" x14ac:dyDescent="0.35">
      <c r="A9" s="945"/>
      <c r="B9" s="966" t="s">
        <v>283</v>
      </c>
      <c r="C9" s="971">
        <f>I185</f>
        <v>0</v>
      </c>
      <c r="E9" s="972"/>
      <c r="F9" s="971">
        <f>S185</f>
        <v>0</v>
      </c>
      <c r="H9" s="972"/>
      <c r="I9" s="971">
        <f>AE185</f>
        <v>0</v>
      </c>
      <c r="K9" s="972"/>
      <c r="L9" s="945"/>
      <c r="M9" s="945"/>
      <c r="N9" s="951" t="s">
        <v>284</v>
      </c>
      <c r="T9" s="952"/>
      <c r="U9" s="945"/>
      <c r="V9" s="945"/>
      <c r="W9" s="945"/>
      <c r="X9" s="945"/>
      <c r="Y9" s="945"/>
      <c r="Z9" s="945"/>
      <c r="AA9" s="945"/>
      <c r="AB9" s="945"/>
    </row>
    <row r="10" spans="1:28" ht="15" thickBot="1" x14ac:dyDescent="0.4">
      <c r="A10" s="945"/>
      <c r="B10" s="973" t="s">
        <v>285</v>
      </c>
      <c r="C10" s="974" t="s">
        <v>271</v>
      </c>
      <c r="D10" s="975">
        <f>IF(C10=E6, 1, 0)</f>
        <v>0</v>
      </c>
      <c r="E10" s="976"/>
      <c r="F10" s="974" t="s">
        <v>271</v>
      </c>
      <c r="G10" s="975">
        <f>IF(F10=H6, 1, 0)</f>
        <v>0</v>
      </c>
      <c r="H10" s="976"/>
      <c r="I10" s="974" t="s">
        <v>271</v>
      </c>
      <c r="J10" s="975">
        <f>IF(I10=K6, 1, 0)</f>
        <v>0</v>
      </c>
      <c r="K10" s="976"/>
      <c r="L10" s="945" t="s">
        <v>286</v>
      </c>
      <c r="M10" s="945"/>
      <c r="N10" s="977" t="s">
        <v>287</v>
      </c>
      <c r="O10" s="978"/>
      <c r="P10" s="978"/>
      <c r="Q10" s="978"/>
      <c r="R10" s="978"/>
      <c r="S10" s="978"/>
      <c r="T10" s="979"/>
      <c r="U10" s="945"/>
      <c r="V10" s="945"/>
      <c r="W10" s="945"/>
      <c r="X10" s="945"/>
      <c r="Y10" s="945"/>
      <c r="Z10" s="945"/>
      <c r="AA10" s="945"/>
      <c r="AB10" s="945"/>
    </row>
    <row r="11" spans="1:28" x14ac:dyDescent="0.35">
      <c r="A11" s="945"/>
      <c r="B11" s="945"/>
      <c r="C11" s="945"/>
      <c r="D11" s="945"/>
      <c r="E11" s="945"/>
      <c r="F11" s="945"/>
      <c r="G11" s="945"/>
      <c r="H11" s="945"/>
      <c r="I11" s="945"/>
      <c r="J11" s="945"/>
      <c r="K11" s="945"/>
      <c r="L11" s="945"/>
      <c r="M11" s="945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  <c r="AA11" s="945"/>
      <c r="AB11" s="945"/>
    </row>
    <row r="12" spans="1:28" x14ac:dyDescent="0.35">
      <c r="A12" s="945"/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5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  <c r="AA12" s="945"/>
      <c r="AB12" s="945"/>
    </row>
    <row r="13" spans="1:28" ht="15" thickBot="1" x14ac:dyDescent="0.4">
      <c r="A13" s="945"/>
      <c r="B13" s="945"/>
      <c r="C13" s="945"/>
      <c r="D13" s="945"/>
      <c r="E13" s="945"/>
      <c r="F13" s="945"/>
      <c r="G13" s="945"/>
      <c r="H13" s="945"/>
      <c r="I13" s="945"/>
      <c r="J13" s="945"/>
      <c r="K13" s="945"/>
      <c r="L13" s="945"/>
      <c r="M13" s="945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  <c r="AA13" s="945"/>
      <c r="AB13" s="945"/>
    </row>
    <row r="14" spans="1:28" ht="18.649999999999999" customHeight="1" x14ac:dyDescent="0.35">
      <c r="A14" t="s">
        <v>288</v>
      </c>
      <c r="B14" s="980" t="s">
        <v>289</v>
      </c>
      <c r="C14" s="981"/>
      <c r="D14" s="982" t="str">
        <f>D4</f>
        <v>LOW EXIT</v>
      </c>
      <c r="E14" s="983"/>
      <c r="F14" s="981"/>
      <c r="G14" s="982" t="str">
        <f>G4</f>
        <v>MED EXIT</v>
      </c>
      <c r="H14" s="984"/>
      <c r="I14" s="980"/>
      <c r="J14" s="982" t="str">
        <f>J4</f>
        <v>HIGH EXIT</v>
      </c>
      <c r="K14" s="984"/>
      <c r="L14" s="945"/>
      <c r="M14" s="945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  <c r="AA14" s="945"/>
      <c r="AB14" s="945"/>
    </row>
    <row r="15" spans="1:28" ht="21" x14ac:dyDescent="0.5">
      <c r="A15" s="945"/>
      <c r="B15" s="985" t="s">
        <v>290</v>
      </c>
      <c r="C15" s="986">
        <v>60</v>
      </c>
      <c r="D15" s="987"/>
      <c r="E15" s="988"/>
      <c r="F15" s="986">
        <v>100</v>
      </c>
      <c r="G15" s="989"/>
      <c r="H15" s="988"/>
      <c r="I15" s="986">
        <v>200</v>
      </c>
      <c r="J15" s="989"/>
      <c r="K15" s="988"/>
      <c r="L15" s="945" t="s">
        <v>286</v>
      </c>
      <c r="M15" s="945"/>
      <c r="N15" s="945" t="s">
        <v>286</v>
      </c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  <c r="AA15" s="945"/>
      <c r="AB15" s="945"/>
    </row>
    <row r="16" spans="1:28" ht="21" x14ac:dyDescent="0.5">
      <c r="A16" s="945"/>
      <c r="B16" s="990" t="s">
        <v>291</v>
      </c>
      <c r="C16" s="991" t="e">
        <f>IF(C15&gt;'Exit &amp; Liquidation Analysis'!$D$9, TRUE, FALSE)</f>
        <v>#DIV/0!</v>
      </c>
      <c r="D16" s="992"/>
      <c r="E16" s="993"/>
      <c r="F16" s="991" t="e">
        <f>IF(F15&gt;'Exit &amp; Liquidation Analysis'!$D$9, TRUE, FALSE)</f>
        <v>#DIV/0!</v>
      </c>
      <c r="G16" s="994"/>
      <c r="H16" s="993"/>
      <c r="I16" s="991" t="e">
        <f>IF(I15&gt;'Exit &amp; Liquidation Analysis'!$D$9, TRUE, FALSE)</f>
        <v>#DIV/0!</v>
      </c>
      <c r="J16" s="994"/>
      <c r="K16" s="993"/>
      <c r="L16" s="945"/>
      <c r="M16" s="945"/>
      <c r="N16" s="995" t="s">
        <v>292</v>
      </c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  <c r="AA16" s="945"/>
      <c r="AB16" s="945"/>
    </row>
    <row r="17" spans="1:28" ht="21" x14ac:dyDescent="0.5">
      <c r="A17" s="945"/>
      <c r="B17" s="996" t="s">
        <v>293</v>
      </c>
      <c r="C17" s="997">
        <v>0</v>
      </c>
      <c r="D17" s="998"/>
      <c r="E17" s="999"/>
      <c r="F17" s="997">
        <v>0</v>
      </c>
      <c r="G17" s="1000"/>
      <c r="H17" s="999"/>
      <c r="I17" s="997">
        <v>0</v>
      </c>
      <c r="J17" s="1000"/>
      <c r="K17" s="999"/>
      <c r="L17" s="945"/>
      <c r="M17" s="945"/>
      <c r="N17" s="945" t="s">
        <v>294</v>
      </c>
      <c r="O17" s="1001">
        <f>SUM(I157:I182)</f>
        <v>0</v>
      </c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  <c r="AA17" s="945"/>
      <c r="AB17" s="945"/>
    </row>
    <row r="18" spans="1:28" ht="21" x14ac:dyDescent="0.5">
      <c r="A18" s="945"/>
      <c r="B18" s="996" t="s">
        <v>295</v>
      </c>
      <c r="C18" s="997">
        <v>0</v>
      </c>
      <c r="D18" s="998"/>
      <c r="E18" s="999"/>
      <c r="F18" s="997">
        <v>0</v>
      </c>
      <c r="G18" s="1000"/>
      <c r="H18" s="999"/>
      <c r="I18" s="997">
        <v>0</v>
      </c>
      <c r="J18" s="1000"/>
      <c r="K18" s="999"/>
      <c r="L18" s="945"/>
      <c r="M18" s="945"/>
      <c r="N18" s="945" t="s">
        <v>296</v>
      </c>
      <c r="O18" s="1002" t="e">
        <f>$I$157/O17</f>
        <v>#DIV/0!</v>
      </c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  <c r="AA18" s="945"/>
      <c r="AB18" s="945"/>
    </row>
    <row r="19" spans="1:28" ht="21" x14ac:dyDescent="0.5">
      <c r="A19" s="945"/>
      <c r="B19" s="996" t="s">
        <v>297</v>
      </c>
      <c r="C19" s="997">
        <v>0</v>
      </c>
      <c r="D19" s="1003"/>
      <c r="E19" s="999"/>
      <c r="F19" s="997">
        <v>0</v>
      </c>
      <c r="G19" s="1000"/>
      <c r="H19" s="999"/>
      <c r="I19" s="997">
        <v>0</v>
      </c>
      <c r="J19" s="1000"/>
      <c r="K19" s="999"/>
      <c r="L19" s="945"/>
      <c r="M19" s="945"/>
      <c r="N19" s="945" t="s">
        <v>298</v>
      </c>
      <c r="O19" s="1004" t="e">
        <f>C20*O18*1000000</f>
        <v>#DIV/0!</v>
      </c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  <c r="AA19" s="945"/>
      <c r="AB19" s="945"/>
    </row>
    <row r="20" spans="1:28" ht="21" x14ac:dyDescent="0.5">
      <c r="A20" s="1005">
        <v>0</v>
      </c>
      <c r="B20" s="1006" t="s">
        <v>299</v>
      </c>
      <c r="C20" s="997">
        <f>C15*A20</f>
        <v>0</v>
      </c>
      <c r="D20" s="1007"/>
      <c r="E20" s="999"/>
      <c r="F20" s="997">
        <f>F15*$A$20</f>
        <v>0</v>
      </c>
      <c r="G20" s="1000"/>
      <c r="H20" s="999"/>
      <c r="I20" s="997">
        <f>I15*$A$20</f>
        <v>0</v>
      </c>
      <c r="J20" s="1000"/>
      <c r="K20" s="999"/>
      <c r="L20" s="945" t="s">
        <v>286</v>
      </c>
      <c r="M20" s="945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  <c r="AA20" s="945"/>
      <c r="AB20" s="945"/>
    </row>
    <row r="21" spans="1:28" ht="21" x14ac:dyDescent="0.5">
      <c r="A21" s="1005">
        <v>0</v>
      </c>
      <c r="B21" s="1006" t="s">
        <v>300</v>
      </c>
      <c r="C21" s="1008">
        <f>C15*A21</f>
        <v>0</v>
      </c>
      <c r="D21" s="1009"/>
      <c r="E21" s="1010"/>
      <c r="F21" s="1008">
        <f>F15*$A$21</f>
        <v>0</v>
      </c>
      <c r="G21" s="1011"/>
      <c r="H21" s="1010"/>
      <c r="I21" s="1008">
        <f>I15*$A$21</f>
        <v>0</v>
      </c>
      <c r="J21" s="1011"/>
      <c r="K21" s="1010"/>
      <c r="L21" s="945"/>
      <c r="M21" s="945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  <c r="AA21" s="945"/>
      <c r="AB21" s="945"/>
    </row>
    <row r="22" spans="1:28" ht="21" x14ac:dyDescent="0.5">
      <c r="A22" s="945"/>
      <c r="B22" s="1006" t="s">
        <v>301</v>
      </c>
      <c r="C22" s="997">
        <v>0</v>
      </c>
      <c r="D22" s="1007"/>
      <c r="E22" s="999"/>
      <c r="F22" s="997">
        <v>0</v>
      </c>
      <c r="G22" s="1000"/>
      <c r="H22" s="999"/>
      <c r="I22" s="997">
        <v>0</v>
      </c>
      <c r="J22" s="1000"/>
      <c r="K22" s="999"/>
      <c r="L22" s="945"/>
      <c r="M22" s="945"/>
      <c r="N22" s="945" t="s">
        <v>286</v>
      </c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  <c r="AA22" s="945"/>
      <c r="AB22" s="945"/>
    </row>
    <row r="23" spans="1:28" ht="21" x14ac:dyDescent="0.5">
      <c r="A23" s="945"/>
      <c r="B23" s="1006" t="s">
        <v>302</v>
      </c>
      <c r="C23" s="997">
        <v>0</v>
      </c>
      <c r="D23" s="1007"/>
      <c r="E23" s="999"/>
      <c r="F23" s="997">
        <v>0</v>
      </c>
      <c r="G23" s="1007"/>
      <c r="H23" s="999"/>
      <c r="I23" s="997">
        <v>0</v>
      </c>
      <c r="J23" s="1000"/>
      <c r="K23" s="999"/>
      <c r="L23" s="945"/>
      <c r="M23" s="945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  <c r="AA23" s="945"/>
      <c r="AB23" s="945"/>
    </row>
    <row r="24" spans="1:28" ht="21" hidden="1" x14ac:dyDescent="0.5">
      <c r="A24" s="945"/>
      <c r="B24" s="1012" t="s">
        <v>303</v>
      </c>
      <c r="C24" s="997" t="e">
        <f>('Cap Table'!$U$51*('Return Waterfall'!$C$41-0.32))/1000000</f>
        <v>#DIV/0!</v>
      </c>
      <c r="D24" s="1007"/>
      <c r="E24" s="999"/>
      <c r="F24" s="997" t="e">
        <f>((S182+S183)*($F$41-0.32))/1000000</f>
        <v>#DIV/0!</v>
      </c>
      <c r="G24" s="1007"/>
      <c r="H24" s="999"/>
      <c r="I24" s="999">
        <v>0</v>
      </c>
      <c r="J24" s="1000"/>
      <c r="K24" s="999"/>
      <c r="L24" s="945" t="s">
        <v>304</v>
      </c>
      <c r="M24" s="945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  <c r="AA24" s="945"/>
      <c r="AB24" s="945"/>
    </row>
    <row r="25" spans="1:28" ht="21" x14ac:dyDescent="0.5">
      <c r="A25" s="945"/>
      <c r="B25" s="1013" t="s">
        <v>305</v>
      </c>
      <c r="C25" s="1014">
        <f>C15+C17+C18-C21-C19-C20-C22-C23</f>
        <v>60</v>
      </c>
      <c r="D25" s="1015"/>
      <c r="E25" s="1016"/>
      <c r="F25" s="1014">
        <f>F15+F17+F18-F21-F19-F20-F22-F23</f>
        <v>100</v>
      </c>
      <c r="G25" s="1017"/>
      <c r="H25" s="1016"/>
      <c r="I25" s="1014">
        <f>I15+I17+I18-I21-I19-I20-I22-I23</f>
        <v>200</v>
      </c>
      <c r="J25" s="1017"/>
      <c r="K25" s="1016"/>
      <c r="L25" s="945" t="s">
        <v>286</v>
      </c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  <c r="AA25" s="945"/>
      <c r="AB25" s="945"/>
    </row>
    <row r="26" spans="1:28" ht="21.5" thickBot="1" x14ac:dyDescent="0.55000000000000004">
      <c r="A26" s="945"/>
      <c r="B26" s="1018" t="s">
        <v>306</v>
      </c>
      <c r="C26" s="1019">
        <f>C25+C20+C23</f>
        <v>60</v>
      </c>
      <c r="D26" s="1020"/>
      <c r="E26" s="1021"/>
      <c r="F26" s="1019">
        <f>F25+F20+F23</f>
        <v>100</v>
      </c>
      <c r="G26" s="1022"/>
      <c r="H26" s="1021"/>
      <c r="I26" s="1019">
        <f>I25+I20+I23</f>
        <v>200</v>
      </c>
      <c r="J26" s="1022"/>
      <c r="K26" s="1021"/>
      <c r="L26" s="945" t="s">
        <v>286</v>
      </c>
      <c r="M26" s="945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  <c r="AA26" s="945"/>
      <c r="AB26" s="945"/>
    </row>
    <row r="27" spans="1:28" s="945" customFormat="1" ht="21.5" thickBot="1" x14ac:dyDescent="0.55000000000000004">
      <c r="B27" s="1023"/>
      <c r="C27" s="1023"/>
      <c r="D27" s="1023"/>
      <c r="E27" s="1023"/>
      <c r="F27" s="1023"/>
      <c r="G27" s="1023"/>
      <c r="H27" s="1023"/>
      <c r="I27" s="1023"/>
      <c r="J27" s="1023"/>
      <c r="K27" s="1023"/>
    </row>
    <row r="28" spans="1:28" ht="21.5" thickBot="1" x14ac:dyDescent="0.4">
      <c r="A28" s="945"/>
      <c r="B28" s="1024" t="s">
        <v>307</v>
      </c>
      <c r="C28" s="1025"/>
      <c r="D28" s="1025"/>
      <c r="E28" s="1025"/>
      <c r="F28" s="1026"/>
      <c r="G28" s="1026"/>
      <c r="H28" s="1026"/>
      <c r="I28" s="1026"/>
      <c r="J28" s="1026"/>
      <c r="K28" s="1027"/>
      <c r="L28" s="945"/>
      <c r="M28" s="945" t="s">
        <v>286</v>
      </c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  <c r="AA28" s="945"/>
      <c r="AB28" s="945"/>
    </row>
    <row r="29" spans="1:28" ht="21" x14ac:dyDescent="0.35">
      <c r="A29" s="945"/>
      <c r="B29" s="1028" t="s">
        <v>308</v>
      </c>
      <c r="C29" s="1029">
        <f>$C$15</f>
        <v>60</v>
      </c>
      <c r="D29" s="1030"/>
      <c r="E29" s="1031"/>
      <c r="F29" s="1031">
        <f>$F$15</f>
        <v>100</v>
      </c>
      <c r="G29" s="1032"/>
      <c r="H29" s="1033"/>
      <c r="I29" s="1034">
        <f>$I$15</f>
        <v>200</v>
      </c>
      <c r="J29" s="1034"/>
      <c r="K29" s="1035"/>
      <c r="L29" s="945"/>
      <c r="M29" s="945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  <c r="AA29" s="945"/>
      <c r="AB29" s="945"/>
    </row>
    <row r="30" spans="1:28" ht="21.5" thickBot="1" x14ac:dyDescent="0.4">
      <c r="A30" s="945"/>
      <c r="B30" s="1036" t="s">
        <v>90</v>
      </c>
      <c r="C30" s="1037"/>
      <c r="D30" s="1037"/>
      <c r="E30" s="1037"/>
      <c r="F30" s="1038"/>
      <c r="G30" s="1037"/>
      <c r="H30" s="1039"/>
      <c r="I30" s="1037"/>
      <c r="J30" s="1037"/>
      <c r="K30" s="1040"/>
      <c r="L30" s="945"/>
      <c r="M30" s="945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  <c r="AA30" s="945"/>
      <c r="AB30" s="945"/>
    </row>
    <row r="31" spans="1:28" ht="21" hidden="1" x14ac:dyDescent="0.5">
      <c r="A31" s="945">
        <f>'Cap Table'!H$19</f>
        <v>0</v>
      </c>
      <c r="B31" s="1041" t="str">
        <f xml:space="preserve"> H121 &amp; " Liquidation Preference"</f>
        <v>Seed Prfrd Liquidation Preference</v>
      </c>
      <c r="C31" s="1042">
        <f t="shared" ref="C31:C38" si="0">$N139*$D$10</f>
        <v>0</v>
      </c>
      <c r="D31" s="1042"/>
      <c r="E31" s="1042"/>
      <c r="F31" s="1043">
        <f t="shared" ref="F31:F38" si="1">$N139*$D$10</f>
        <v>0</v>
      </c>
      <c r="G31" s="1042"/>
      <c r="H31" s="1044"/>
      <c r="I31" s="1042">
        <f t="shared" ref="I31:I38" si="2">$N139*$D$10</f>
        <v>0</v>
      </c>
      <c r="J31" s="1042"/>
      <c r="K31" s="1045"/>
      <c r="L31" s="945"/>
      <c r="M31" s="945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  <c r="AA31" s="945"/>
      <c r="AB31" s="945"/>
    </row>
    <row r="32" spans="1:28" ht="21" hidden="1" x14ac:dyDescent="0.5">
      <c r="A32" s="945">
        <f>'Cap Table'!P$19</f>
        <v>0</v>
      </c>
      <c r="B32" s="1041" t="str">
        <f t="shared" ref="B32:B39" si="3" xml:space="preserve"> H122 &amp; " Liquidation Preference"</f>
        <v>Series A Prfrd Liquidation Preference</v>
      </c>
      <c r="C32" s="1042">
        <f t="shared" si="0"/>
        <v>0</v>
      </c>
      <c r="D32" s="1042"/>
      <c r="E32" s="1042"/>
      <c r="F32" s="1043">
        <f t="shared" si="1"/>
        <v>0</v>
      </c>
      <c r="G32" s="1042"/>
      <c r="H32" s="1044"/>
      <c r="I32" s="1042">
        <f t="shared" si="2"/>
        <v>0</v>
      </c>
      <c r="J32" s="1042"/>
      <c r="K32" s="1045"/>
      <c r="L32" s="945"/>
      <c r="M32" s="945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  <c r="AA32" s="945"/>
      <c r="AB32" s="945"/>
    </row>
    <row r="33" spans="1:28" ht="21" hidden="1" x14ac:dyDescent="0.5">
      <c r="A33" s="945">
        <f>'Cap Table'!X$19</f>
        <v>0</v>
      </c>
      <c r="B33" s="1041" t="str">
        <f t="shared" si="3"/>
        <v>Series B Prfrd Liquidation Preference</v>
      </c>
      <c r="C33" s="1042">
        <f t="shared" si="0"/>
        <v>0</v>
      </c>
      <c r="D33" s="1042"/>
      <c r="E33" s="1042"/>
      <c r="F33" s="1043">
        <f t="shared" si="1"/>
        <v>0</v>
      </c>
      <c r="G33" s="1042"/>
      <c r="H33" s="1044"/>
      <c r="I33" s="1042">
        <f t="shared" si="2"/>
        <v>0</v>
      </c>
      <c r="J33" s="1042"/>
      <c r="K33" s="1045"/>
      <c r="L33" s="945"/>
      <c r="M33" s="945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  <c r="AA33" s="945"/>
      <c r="AB33" s="945"/>
    </row>
    <row r="34" spans="1:28" ht="21" hidden="1" x14ac:dyDescent="0.5">
      <c r="A34" s="945">
        <f>'Cap Table'!H$19</f>
        <v>0</v>
      </c>
      <c r="B34" s="1041" t="str">
        <f t="shared" si="3"/>
        <v>Series C Prfrd Liquidation Preference</v>
      </c>
      <c r="C34" s="1042">
        <f t="shared" si="0"/>
        <v>0</v>
      </c>
      <c r="D34" s="1042"/>
      <c r="E34" s="1042"/>
      <c r="F34" s="1043">
        <f t="shared" si="1"/>
        <v>0</v>
      </c>
      <c r="G34" s="1042"/>
      <c r="H34" s="1044"/>
      <c r="I34" s="1042">
        <f t="shared" si="2"/>
        <v>0</v>
      </c>
      <c r="J34" s="1042"/>
      <c r="K34" s="1045"/>
      <c r="L34" s="945"/>
      <c r="M34" s="945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  <c r="AA34" s="945"/>
      <c r="AB34" s="945"/>
    </row>
    <row r="35" spans="1:28" ht="21" hidden="1" x14ac:dyDescent="0.5">
      <c r="A35" s="945">
        <f>'Cap Table'!H$19</f>
        <v>0</v>
      </c>
      <c r="B35" s="1041" t="str">
        <f t="shared" si="3"/>
        <v>Series D Prfrd Liquidation Preference</v>
      </c>
      <c r="C35" s="1042">
        <f t="shared" si="0"/>
        <v>0</v>
      </c>
      <c r="D35" s="1042"/>
      <c r="E35" s="1042"/>
      <c r="F35" s="1043">
        <f t="shared" si="1"/>
        <v>0</v>
      </c>
      <c r="G35" s="1042"/>
      <c r="H35" s="1044"/>
      <c r="I35" s="1042">
        <f t="shared" si="2"/>
        <v>0</v>
      </c>
      <c r="J35" s="1042"/>
      <c r="K35" s="1045"/>
      <c r="L35" s="945"/>
      <c r="M35" s="945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  <c r="AA35" s="945"/>
      <c r="AB35" s="945"/>
    </row>
    <row r="36" spans="1:28" ht="21" hidden="1" x14ac:dyDescent="0.5">
      <c r="A36" s="945"/>
      <c r="B36" s="1041" t="str">
        <f t="shared" si="3"/>
        <v>Series E Prfrd Liquidation Preference</v>
      </c>
      <c r="C36" s="1042">
        <f t="shared" si="0"/>
        <v>0</v>
      </c>
      <c r="D36" s="1042"/>
      <c r="E36" s="1042"/>
      <c r="F36" s="1043">
        <f t="shared" si="1"/>
        <v>0</v>
      </c>
      <c r="G36" s="1042"/>
      <c r="H36" s="1044"/>
      <c r="I36" s="1042">
        <f t="shared" si="2"/>
        <v>0</v>
      </c>
      <c r="J36" s="1042"/>
      <c r="K36" s="1045"/>
      <c r="L36" s="945"/>
      <c r="M36" s="945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  <c r="AA36" s="945"/>
      <c r="AB36" s="945"/>
    </row>
    <row r="37" spans="1:28" ht="21" hidden="1" x14ac:dyDescent="0.5">
      <c r="A37" s="945"/>
      <c r="B37" s="1041" t="str">
        <f t="shared" si="3"/>
        <v>Series E-1 Prfrd  % Liquidation Preference</v>
      </c>
      <c r="C37" s="1042">
        <f t="shared" si="0"/>
        <v>0</v>
      </c>
      <c r="D37" s="1042"/>
      <c r="E37" s="1042"/>
      <c r="F37" s="1043">
        <f t="shared" si="1"/>
        <v>0</v>
      </c>
      <c r="G37" s="1042"/>
      <c r="H37" s="1044"/>
      <c r="I37" s="1042">
        <f t="shared" si="2"/>
        <v>0</v>
      </c>
      <c r="J37" s="1042"/>
      <c r="K37" s="1045"/>
      <c r="L37" s="945"/>
      <c r="M37" s="945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  <c r="AA37" s="945"/>
      <c r="AB37" s="945"/>
    </row>
    <row r="38" spans="1:28" ht="21" hidden="1" x14ac:dyDescent="0.5">
      <c r="A38" s="945">
        <f>'Cap Table'!H$19</f>
        <v>0</v>
      </c>
      <c r="B38" s="1041" t="str">
        <f t="shared" si="3"/>
        <v>Fully Diluted Shares Liquidation Preference</v>
      </c>
      <c r="C38" s="1042">
        <f t="shared" si="0"/>
        <v>0</v>
      </c>
      <c r="D38" s="1042"/>
      <c r="E38" s="1042"/>
      <c r="F38" s="1043">
        <f t="shared" si="1"/>
        <v>0</v>
      </c>
      <c r="G38" s="1042"/>
      <c r="H38" s="1044"/>
      <c r="I38" s="1042">
        <f t="shared" si="2"/>
        <v>0</v>
      </c>
      <c r="J38" s="1042"/>
      <c r="K38" s="1045"/>
      <c r="L38" s="945"/>
      <c r="M38" s="945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  <c r="AA38" s="945"/>
      <c r="AB38" s="945"/>
    </row>
    <row r="39" spans="1:28" ht="21" x14ac:dyDescent="0.5">
      <c r="A39" s="1046">
        <v>1</v>
      </c>
      <c r="B39" s="1041" t="str">
        <f t="shared" si="3"/>
        <v>Fully Diluted Shares Liquidation Preference</v>
      </c>
      <c r="C39" s="1042">
        <f>$N147*$A$39</f>
        <v>0</v>
      </c>
      <c r="D39" s="1042"/>
      <c r="E39" s="1042"/>
      <c r="F39" s="1043">
        <f>$X147*$A$39</f>
        <v>0</v>
      </c>
      <c r="G39" s="1042"/>
      <c r="H39" s="1044"/>
      <c r="I39" s="1042">
        <f>$AJ147*$A$39</f>
        <v>0</v>
      </c>
      <c r="J39" s="1042"/>
      <c r="K39" s="1045"/>
      <c r="L39" s="945"/>
      <c r="M39" s="945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  <c r="AA39" s="945"/>
      <c r="AB39" s="945"/>
    </row>
    <row r="40" spans="1:28" ht="21" x14ac:dyDescent="0.5">
      <c r="A40" s="945"/>
      <c r="B40" s="1041" t="s">
        <v>309</v>
      </c>
      <c r="C40" s="1042">
        <f>$C$26*1000000-(SUM(C31:C39))</f>
        <v>60000000</v>
      </c>
      <c r="D40" s="1042"/>
      <c r="E40" s="1042"/>
      <c r="F40" s="1043">
        <f>$F$26*1000000-(SUM(F31:F39))</f>
        <v>100000000</v>
      </c>
      <c r="G40" s="1042"/>
      <c r="H40" s="1044"/>
      <c r="I40" s="1042">
        <f>$I$26*1000000-(SUM(I31:I39))</f>
        <v>200000000</v>
      </c>
      <c r="J40" s="1042"/>
      <c r="K40" s="1045"/>
      <c r="L40" s="945"/>
      <c r="M40" s="945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  <c r="AA40" s="945"/>
      <c r="AB40" s="945"/>
    </row>
    <row r="41" spans="1:28" ht="21" x14ac:dyDescent="0.5">
      <c r="A41" s="945"/>
      <c r="B41" s="1041" t="s">
        <v>310</v>
      </c>
      <c r="C41" s="1047" t="e">
        <f>($C$26*1000000*$J$149)/$I$149</f>
        <v>#DIV/0!</v>
      </c>
      <c r="D41" s="1047"/>
      <c r="E41" s="1047"/>
      <c r="F41" s="1048" t="e">
        <f>($F$26*1000000*$T$149)/$S$149</f>
        <v>#DIV/0!</v>
      </c>
      <c r="G41" s="1047"/>
      <c r="H41" s="1049"/>
      <c r="I41" s="1047" t="e">
        <f>($I$26*1000000*$AF$149)/$AE$149</f>
        <v>#DIV/0!</v>
      </c>
      <c r="J41" s="1047"/>
      <c r="K41" s="1050"/>
      <c r="L41" s="945"/>
      <c r="M41" s="945"/>
      <c r="N41" s="1051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  <c r="AA41" s="945"/>
      <c r="AB41" s="945"/>
    </row>
    <row r="42" spans="1:28" ht="21" x14ac:dyDescent="0.5">
      <c r="A42" s="945"/>
      <c r="B42" s="1041" t="str">
        <f t="shared" ref="B42:B50" si="4">"Proceeds per " &amp; B189 &amp; " share (as converted)"</f>
        <v>Proceeds per Seed Prfrd share (as converted)</v>
      </c>
      <c r="C42" s="1047" t="e">
        <f>($C$26*1000000*$J$139)/$I$139</f>
        <v>#DIV/0!</v>
      </c>
      <c r="D42" s="1047"/>
      <c r="E42" s="1047"/>
      <c r="F42" s="1048" t="e">
        <f>($F$26*1000000*$T139)/$S139</f>
        <v>#DIV/0!</v>
      </c>
      <c r="G42" s="1047"/>
      <c r="H42" s="1049"/>
      <c r="I42" s="1047" t="e">
        <f>($I$26*1000000*$AF139)/$AE139</f>
        <v>#DIV/0!</v>
      </c>
      <c r="J42" s="1047"/>
      <c r="K42" s="1050"/>
      <c r="L42" s="945" t="s">
        <v>286</v>
      </c>
      <c r="M42" s="945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  <c r="AA42" s="945"/>
      <c r="AB42" s="945"/>
    </row>
    <row r="43" spans="1:28" ht="21" x14ac:dyDescent="0.5">
      <c r="A43" s="945"/>
      <c r="B43" s="1041" t="str">
        <f t="shared" si="4"/>
        <v>Proceeds per Series A Prfrd share (as converted)</v>
      </c>
      <c r="C43" s="1047" t="e">
        <f>($C$26*1000000*$J$140)/$I$140</f>
        <v>#DIV/0!</v>
      </c>
      <c r="D43" s="1047"/>
      <c r="E43" s="1047"/>
      <c r="F43" s="1048" t="e">
        <f>($F$26*1000000*$T140)/$S140</f>
        <v>#DIV/0!</v>
      </c>
      <c r="G43" s="1047"/>
      <c r="H43" s="1049"/>
      <c r="I43" s="1047" t="e">
        <f>($I$26*1000000*$AF140)/$AE140</f>
        <v>#DIV/0!</v>
      </c>
      <c r="J43" s="1047"/>
      <c r="K43" s="1050"/>
      <c r="L43" s="945"/>
      <c r="M43" s="1052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  <c r="AA43" s="945"/>
      <c r="AB43" s="945"/>
    </row>
    <row r="44" spans="1:28" ht="21" hidden="1" x14ac:dyDescent="0.5">
      <c r="A44" s="945"/>
      <c r="B44" s="1041" t="str">
        <f t="shared" si="4"/>
        <v>Proceeds per Series B Prfrd share (as converted)</v>
      </c>
      <c r="C44" s="1047" t="e">
        <f>($C$26*1000000*$J$141)/$I$141</f>
        <v>#DIV/0!</v>
      </c>
      <c r="D44" s="1047"/>
      <c r="E44" s="1047"/>
      <c r="F44" s="1048" t="e">
        <f t="shared" ref="F44:F50" si="5">($F$26*1000000*$J141)/$I141</f>
        <v>#DIV/0!</v>
      </c>
      <c r="G44" s="1047"/>
      <c r="H44" s="1049"/>
      <c r="I44" s="1047" t="e">
        <f t="shared" ref="I44:I50" si="6">($I$26*1000000*$J141)/$I141</f>
        <v>#DIV/0!</v>
      </c>
      <c r="J44" s="1047"/>
      <c r="K44" s="1050"/>
      <c r="L44" s="945"/>
      <c r="M44" s="945"/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  <c r="AA44" s="945"/>
      <c r="AB44" s="945"/>
    </row>
    <row r="45" spans="1:28" ht="21" hidden="1" x14ac:dyDescent="0.5">
      <c r="A45" s="945"/>
      <c r="B45" s="1041" t="str">
        <f t="shared" si="4"/>
        <v>Proceeds per Series C Prfrd share (as converted)</v>
      </c>
      <c r="C45" s="1047" t="e">
        <f>($C$26*1000000*$J$142)/$I$142</f>
        <v>#DIV/0!</v>
      </c>
      <c r="D45" s="1047"/>
      <c r="E45" s="1047"/>
      <c r="F45" s="1048" t="e">
        <f t="shared" si="5"/>
        <v>#DIV/0!</v>
      </c>
      <c r="G45" s="1047"/>
      <c r="H45" s="1049"/>
      <c r="I45" s="1047" t="e">
        <f t="shared" si="6"/>
        <v>#DIV/0!</v>
      </c>
      <c r="J45" s="1047"/>
      <c r="K45" s="1050"/>
      <c r="L45" s="945"/>
      <c r="M45" s="945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  <c r="AA45" s="945"/>
      <c r="AB45" s="945"/>
    </row>
    <row r="46" spans="1:28" ht="21" hidden="1" x14ac:dyDescent="0.5">
      <c r="A46" s="945"/>
      <c r="B46" s="1041" t="str">
        <f t="shared" si="4"/>
        <v>Proceeds per Series D Prfrd share (as converted)</v>
      </c>
      <c r="C46" s="1047" t="e">
        <f>($C$26*1000000*$J$143)/$I$143</f>
        <v>#DIV/0!</v>
      </c>
      <c r="D46" s="1047"/>
      <c r="E46" s="1047"/>
      <c r="F46" s="1048" t="e">
        <f t="shared" si="5"/>
        <v>#DIV/0!</v>
      </c>
      <c r="G46" s="1047"/>
      <c r="H46" s="1049"/>
      <c r="I46" s="1047" t="e">
        <f t="shared" si="6"/>
        <v>#DIV/0!</v>
      </c>
      <c r="J46" s="1047"/>
      <c r="K46" s="1050"/>
      <c r="L46" s="945"/>
      <c r="M46" s="945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  <c r="AA46" s="945"/>
      <c r="AB46" s="945"/>
    </row>
    <row r="47" spans="1:28" ht="21" hidden="1" x14ac:dyDescent="0.5">
      <c r="A47" s="945"/>
      <c r="B47" s="1041" t="str">
        <f t="shared" si="4"/>
        <v>Proceeds per Series E Prfrd share (as converted)</v>
      </c>
      <c r="C47" s="1047" t="e">
        <f>($C$26*1000000*$J$144)/$I$144</f>
        <v>#DIV/0!</v>
      </c>
      <c r="D47" s="1047"/>
      <c r="E47" s="1047"/>
      <c r="F47" s="1048" t="e">
        <f t="shared" si="5"/>
        <v>#DIV/0!</v>
      </c>
      <c r="G47" s="1047"/>
      <c r="H47" s="1049"/>
      <c r="I47" s="1047" t="e">
        <f t="shared" si="6"/>
        <v>#DIV/0!</v>
      </c>
      <c r="J47" s="1047"/>
      <c r="K47" s="1050"/>
      <c r="L47" s="945"/>
      <c r="M47" s="945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  <c r="AA47" s="945"/>
      <c r="AB47" s="945"/>
    </row>
    <row r="48" spans="1:28" ht="21" hidden="1" x14ac:dyDescent="0.5">
      <c r="A48" s="945"/>
      <c r="B48" s="1041" t="str">
        <f t="shared" si="4"/>
        <v>Proceeds per Series E-1 Prfrd  % share (as converted)</v>
      </c>
      <c r="C48" s="1047" t="e">
        <f>($C$26*1000000*$J$145)/$I$145</f>
        <v>#DIV/0!</v>
      </c>
      <c r="D48" s="1047"/>
      <c r="E48" s="1047"/>
      <c r="F48" s="1048" t="e">
        <f t="shared" si="5"/>
        <v>#DIV/0!</v>
      </c>
      <c r="G48" s="1047"/>
      <c r="H48" s="1049"/>
      <c r="I48" s="1047" t="e">
        <f t="shared" si="6"/>
        <v>#DIV/0!</v>
      </c>
      <c r="J48" s="1047"/>
      <c r="K48" s="1050"/>
      <c r="L48" s="945"/>
      <c r="M48" s="945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  <c r="AA48" s="945"/>
      <c r="AB48" s="945"/>
    </row>
    <row r="49" spans="1:28" ht="21" hidden="1" x14ac:dyDescent="0.5">
      <c r="A49" s="945"/>
      <c r="B49" s="1041" t="str">
        <f t="shared" si="4"/>
        <v>Proceeds per Fully Diluted Shares share (as converted)</v>
      </c>
      <c r="C49" s="1047" t="e">
        <f>($C$26*1000000*$J$146)/$I$146</f>
        <v>#DIV/0!</v>
      </c>
      <c r="D49" s="1047"/>
      <c r="E49" s="1047"/>
      <c r="F49" s="1048" t="e">
        <f t="shared" si="5"/>
        <v>#DIV/0!</v>
      </c>
      <c r="G49" s="1047"/>
      <c r="H49" s="1049"/>
      <c r="I49" s="1047" t="e">
        <f t="shared" si="6"/>
        <v>#DIV/0!</v>
      </c>
      <c r="J49" s="1047"/>
      <c r="K49" s="1050"/>
      <c r="L49" s="945"/>
      <c r="M49" s="945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  <c r="AA49" s="945"/>
      <c r="AB49" s="945"/>
    </row>
    <row r="50" spans="1:28" ht="21" hidden="1" x14ac:dyDescent="0.5">
      <c r="A50" s="945"/>
      <c r="B50" s="1041" t="str">
        <f t="shared" si="4"/>
        <v>Proceeds per Fully Diluted Shares share (as converted)</v>
      </c>
      <c r="C50" s="1047" t="e">
        <f>($C$26*1000000*$J$147)/$I$147</f>
        <v>#DIV/0!</v>
      </c>
      <c r="D50" s="1047"/>
      <c r="E50" s="1047"/>
      <c r="F50" s="1048" t="e">
        <f t="shared" si="5"/>
        <v>#DIV/0!</v>
      </c>
      <c r="G50" s="1047"/>
      <c r="H50" s="1049"/>
      <c r="I50" s="1047" t="e">
        <f t="shared" si="6"/>
        <v>#DIV/0!</v>
      </c>
      <c r="J50" s="1047"/>
      <c r="K50" s="1050"/>
      <c r="L50" s="945"/>
      <c r="M50" s="945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  <c r="AA50" s="945"/>
      <c r="AB50" s="945"/>
    </row>
    <row r="51" spans="1:28" ht="21.5" thickBot="1" x14ac:dyDescent="0.55000000000000004">
      <c r="A51" s="945"/>
      <c r="B51" s="1053"/>
      <c r="C51" s="1054"/>
      <c r="D51" s="1054"/>
      <c r="E51" s="1054"/>
      <c r="F51" s="1055"/>
      <c r="G51" s="1056"/>
      <c r="H51" s="1057"/>
      <c r="I51" s="1054"/>
      <c r="J51" s="1054"/>
      <c r="K51" s="1058"/>
      <c r="L51" s="945"/>
      <c r="M51" s="945"/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  <c r="AA51" s="945"/>
      <c r="AB51" s="945"/>
    </row>
    <row r="52" spans="1:28" s="945" customFormat="1" ht="21.5" thickBot="1" x14ac:dyDescent="0.55000000000000004">
      <c r="B52" s="1023"/>
      <c r="C52" s="1023"/>
      <c r="D52" s="1023"/>
      <c r="E52" s="1023"/>
      <c r="F52" s="1023"/>
      <c r="G52" s="1023"/>
      <c r="H52" s="1023"/>
      <c r="I52" s="1023"/>
      <c r="J52" s="1023"/>
      <c r="K52" s="1023"/>
      <c r="L52" s="1052"/>
    </row>
    <row r="53" spans="1:28" s="945" customFormat="1" ht="21.5" hidden="1" thickBot="1" x14ac:dyDescent="0.55000000000000004">
      <c r="B53" s="1023"/>
      <c r="C53" s="1023"/>
      <c r="D53" s="1023"/>
      <c r="E53" s="1023"/>
      <c r="F53" s="1023"/>
      <c r="G53" s="1023"/>
      <c r="H53" s="1023"/>
      <c r="I53" s="1023"/>
      <c r="J53" s="1023"/>
      <c r="K53" s="1023"/>
    </row>
    <row r="54" spans="1:28" ht="18.649999999999999" hidden="1" customHeight="1" thickBot="1" x14ac:dyDescent="0.4">
      <c r="A54" s="945"/>
      <c r="B54" s="1024" t="s">
        <v>311</v>
      </c>
      <c r="C54" s="1059"/>
      <c r="D54" s="1060"/>
      <c r="E54" s="1061"/>
      <c r="F54" s="1062"/>
      <c r="G54" s="1063"/>
      <c r="H54" s="1064"/>
      <c r="I54" s="1065"/>
      <c r="J54" s="1066"/>
      <c r="K54" s="1067"/>
      <c r="L54" s="945"/>
      <c r="M54" s="945"/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</row>
    <row r="55" spans="1:28" ht="18.649999999999999" hidden="1" customHeight="1" x14ac:dyDescent="0.35">
      <c r="A55" s="945"/>
      <c r="B55" s="1068" t="s">
        <v>308</v>
      </c>
      <c r="C55" s="1069">
        <f>C15</f>
        <v>60</v>
      </c>
      <c r="D55" s="1070"/>
      <c r="E55" s="1071"/>
      <c r="F55" s="1072">
        <f>F15</f>
        <v>100</v>
      </c>
      <c r="G55" s="1070"/>
      <c r="H55" s="1071"/>
      <c r="I55" s="1072">
        <f>I15</f>
        <v>200</v>
      </c>
      <c r="J55" s="1070"/>
      <c r="K55" s="1071"/>
      <c r="L55" s="945"/>
      <c r="M55" s="945"/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</row>
    <row r="56" spans="1:28" ht="21.5" hidden="1" thickBot="1" x14ac:dyDescent="0.4">
      <c r="A56" s="945"/>
      <c r="B56" s="1073" t="s">
        <v>90</v>
      </c>
      <c r="C56" s="1038" t="s">
        <v>312</v>
      </c>
      <c r="D56" s="1074" t="s">
        <v>313</v>
      </c>
      <c r="E56" s="1075" t="s">
        <v>314</v>
      </c>
      <c r="F56" s="1076" t="s">
        <v>312</v>
      </c>
      <c r="G56" s="1074" t="s">
        <v>313</v>
      </c>
      <c r="H56" s="1075" t="s">
        <v>314</v>
      </c>
      <c r="I56" s="1076" t="s">
        <v>312</v>
      </c>
      <c r="J56" s="1074" t="s">
        <v>313</v>
      </c>
      <c r="K56" s="1075" t="s">
        <v>314</v>
      </c>
      <c r="L56" s="945" t="s">
        <v>286</v>
      </c>
      <c r="M56" s="945"/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</row>
    <row r="57" spans="1:28" ht="21.5" hidden="1" thickBot="1" x14ac:dyDescent="0.55000000000000004">
      <c r="A57" s="945"/>
      <c r="B57" s="1077" t="str">
        <f t="shared" ref="B57:B64" si="7">H121</f>
        <v>Seed Prfrd</v>
      </c>
      <c r="C57" s="1078" t="e">
        <f>IF($C$26&gt;'Return Waterfall'!$N$153/1000000, (J139*$C$26), MAX(0, (((N139)/1000000)+((($C$26)-($N$153/1000000))*L139))))</f>
        <v>#DIV/0!</v>
      </c>
      <c r="D57" s="1079" t="str">
        <f>IFERROR((C57)/($M139/1000000), " ")</f>
        <v xml:space="preserve"> </v>
      </c>
      <c r="E57" s="1080" t="str">
        <f ca="1">IFERROR(XIRR(C234:C235, B234:B235), "-")</f>
        <v>-</v>
      </c>
      <c r="F57" s="1078" t="e">
        <f>IF($F$26&gt;'Return Waterfall'!$X$185/1000000, (T139*$F$26), MAX(0, (((X139)/1000000)+((($F$26)-($X$185/1000000))*V139))))</f>
        <v>#DIV/0!</v>
      </c>
      <c r="G57" s="1079" t="str">
        <f t="shared" ref="G57:G68" si="8">IFERROR((F57)/($M139/1000000), "")</f>
        <v/>
      </c>
      <c r="H57" s="1080" t="str">
        <f ca="1">IFERROR(XIRR(F234:F235, E234:E235), "-")</f>
        <v>-</v>
      </c>
      <c r="I57" s="1078" t="e">
        <f>IF($I$26&gt;'Return Waterfall'!$AJ$185/1000000, (AF139*$I$26), MAX(0, (((AJ139)/1000000)+((($I$26)-($AJ$185/1000000))*AH139))))</f>
        <v>#DIV/0!</v>
      </c>
      <c r="J57" s="1079" t="str">
        <f t="shared" ref="J57:J68" si="9">IFERROR((I57)/($M139/1000000), "")</f>
        <v/>
      </c>
      <c r="K57" s="1080" t="str">
        <f ca="1">IFERROR(XIRR(I234:I235, H234:H235), "-")</f>
        <v>-</v>
      </c>
      <c r="L57" s="945"/>
      <c r="M57" s="945"/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</row>
    <row r="58" spans="1:28" ht="21.5" hidden="1" thickBot="1" x14ac:dyDescent="0.55000000000000004">
      <c r="A58" s="945"/>
      <c r="B58" s="1077" t="str">
        <f t="shared" si="7"/>
        <v>Series A Prfrd</v>
      </c>
      <c r="C58" s="1078" t="e">
        <f>IF($C$26&gt;'Return Waterfall'!$N$153/1000000, (J140*$C$26), MAX(0, (((N140)/1000000)+((($C$26)-($N$153/1000000))*L140))))</f>
        <v>#DIV/0!</v>
      </c>
      <c r="D58" s="1079" t="str">
        <f t="shared" ref="D58:D68" si="10">IFERROR((C58)/($M140/1000000), " ")</f>
        <v xml:space="preserve"> </v>
      </c>
      <c r="E58" s="1080" t="str">
        <f ca="1">IFERROR(XIRR(C237:C238, B237:B238), "-")</f>
        <v>-</v>
      </c>
      <c r="F58" s="1078" t="e">
        <f>IF($F$26&gt;'Return Waterfall'!$X$153/1000000, (T140*$F$26), MAX(0, (((X140)/1000000)+((($F$26)-($X$153/1000000))*V140))))</f>
        <v>#DIV/0!</v>
      </c>
      <c r="G58" s="1079" t="str">
        <f t="shared" si="8"/>
        <v/>
      </c>
      <c r="H58" s="1080" t="str">
        <f ca="1">IFERROR(XIRR(F237:F238, E237:E238), "-")</f>
        <v>-</v>
      </c>
      <c r="I58" s="1078" t="e">
        <f>IF($I$26&gt;'Return Waterfall'!$AJ$185/1000000, (AF140*$I$26), MAX(0, (((AJ140)/1000000)+((($I$26)-($AJ$185/1000000))*AH140))))</f>
        <v>#DIV/0!</v>
      </c>
      <c r="J58" s="1079" t="str">
        <f t="shared" si="9"/>
        <v/>
      </c>
      <c r="K58" s="1080" t="str">
        <f ca="1">IFERROR(XIRR(I237:I238, H237:H238), "-")</f>
        <v>-</v>
      </c>
      <c r="L58" s="945"/>
      <c r="M58" s="945"/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</row>
    <row r="59" spans="1:28" ht="21.5" hidden="1" thickBot="1" x14ac:dyDescent="0.55000000000000004">
      <c r="A59" s="945"/>
      <c r="B59" s="1077" t="str">
        <f t="shared" si="7"/>
        <v>Series B Prfrd</v>
      </c>
      <c r="C59" s="1078" t="e">
        <f>IF($C$26&gt;'Return Waterfall'!$N$153/1000000, (J141*$C$26), MAX(0, (((N141)/1000000)+((($C$26)-($N$153/1000000))*L141))))</f>
        <v>#DIV/0!</v>
      </c>
      <c r="D59" s="1079" t="str">
        <f t="shared" si="10"/>
        <v xml:space="preserve"> </v>
      </c>
      <c r="E59" s="1080" t="str">
        <f ca="1">IFERROR(XIRR(C240:C241, B240:B241), "-")</f>
        <v>-</v>
      </c>
      <c r="F59" s="1078" t="e">
        <f>IF($F$26&gt;'Return Waterfall'!$X$153/1000000, (T141*$F$26), MAX(0, (((X141)/1000000)+((($F$26)-($X$153/1000000))*V141))))</f>
        <v>#DIV/0!</v>
      </c>
      <c r="G59" s="1079" t="str">
        <f t="shared" si="8"/>
        <v/>
      </c>
      <c r="H59" s="1080" t="str">
        <f ca="1">IFERROR(XIRR(F240:F241, E240:E241), "-")</f>
        <v>-</v>
      </c>
      <c r="I59" s="1078" t="e">
        <f>IF($I$26&gt;'Return Waterfall'!$AJ$185/1000000, (AF141*$I$26), MAX(0, (((AJ141)/1000000)+((($I$26)-($AJ$185/1000000))*AH141))))</f>
        <v>#DIV/0!</v>
      </c>
      <c r="J59" s="1079" t="str">
        <f t="shared" si="9"/>
        <v/>
      </c>
      <c r="K59" s="1080" t="str">
        <f ca="1">IFERROR(XIRR(I240:I241, H240:H241), "-")</f>
        <v>-</v>
      </c>
      <c r="L59" s="945"/>
      <c r="M59" s="945"/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</row>
    <row r="60" spans="1:28" ht="21.5" hidden="1" thickBot="1" x14ac:dyDescent="0.55000000000000004">
      <c r="A60" s="945"/>
      <c r="B60" s="1077" t="str">
        <f t="shared" si="7"/>
        <v>Series C Prfrd</v>
      </c>
      <c r="C60" s="1078" t="e">
        <f>IF($C$26&gt;'Return Waterfall'!$N$153/1000000, (J142*$C$26), MAX(0, (((N142)/1000000)+((($C$26)-($N$153/1000000))*L142))))</f>
        <v>#DIV/0!</v>
      </c>
      <c r="D60" s="1079" t="str">
        <f t="shared" si="10"/>
        <v xml:space="preserve"> </v>
      </c>
      <c r="E60" s="1080" t="str">
        <f ca="1">IFERROR(XIRR(C243:C244, B243:B244), "-")</f>
        <v>-</v>
      </c>
      <c r="F60" s="1078" t="e">
        <f>IF($F$26&gt;'Return Waterfall'!$X$153/1000000, (T142*$F$26), MAX(0, (((X142)/1000000)+((($F$26)-($X$153/1000000))*V142))))</f>
        <v>#DIV/0!</v>
      </c>
      <c r="G60" s="1079" t="str">
        <f t="shared" si="8"/>
        <v/>
      </c>
      <c r="H60" s="1080" t="str">
        <f ca="1">IFERROR(XIRR(F243:F244, E243:E244), "-")</f>
        <v>-</v>
      </c>
      <c r="I60" s="1078" t="e">
        <f>IF($I$26&gt;'Return Waterfall'!$AJ$185/1000000, (AF142*$I$26), MAX(0, (((AJ142)/1000000)+((($I$26)-($AJ$185/1000000))*AH142))))</f>
        <v>#DIV/0!</v>
      </c>
      <c r="J60" s="1079" t="str">
        <f t="shared" si="9"/>
        <v/>
      </c>
      <c r="K60" s="1080" t="str">
        <f ca="1">IFERROR(XIRR(I243:I244, H243:H244), "-")</f>
        <v>-</v>
      </c>
      <c r="L60" s="945"/>
      <c r="M60" s="945"/>
      <c r="N60" s="945"/>
      <c r="O60" s="945"/>
      <c r="P60" s="945"/>
      <c r="Q60" s="945"/>
      <c r="R60" s="945"/>
      <c r="S60" s="945"/>
      <c r="T60" s="945"/>
      <c r="U60" s="945"/>
      <c r="V60" s="945"/>
      <c r="W60" s="945"/>
      <c r="X60" s="945"/>
      <c r="Y60" s="945"/>
    </row>
    <row r="61" spans="1:28" ht="21.5" hidden="1" thickBot="1" x14ac:dyDescent="0.55000000000000004">
      <c r="A61" s="945"/>
      <c r="B61" s="1077" t="str">
        <f t="shared" si="7"/>
        <v>Series D Prfrd</v>
      </c>
      <c r="C61" s="1078" t="e">
        <f>IF($C$26&gt;'Return Waterfall'!$N$153/1000000, (J143*$C$26), MAX(0, (((N143)/1000000)+((($C$26)-($N$153/1000000))*L143))))</f>
        <v>#DIV/0!</v>
      </c>
      <c r="D61" s="1079" t="str">
        <f t="shared" si="10"/>
        <v xml:space="preserve"> </v>
      </c>
      <c r="E61" s="1080" t="str">
        <f ca="1">IFERROR(XIRR(C246:C247, B246:B247), "-")</f>
        <v>-</v>
      </c>
      <c r="F61" s="1078" t="e">
        <f>IF($F$26&gt;'Return Waterfall'!$X$153/1000000, (T143*$F$26), MAX(0, (((X143)/1000000)+((($F$26)-($X$153/1000000))*V143))))</f>
        <v>#DIV/0!</v>
      </c>
      <c r="G61" s="1079" t="str">
        <f t="shared" si="8"/>
        <v/>
      </c>
      <c r="H61" s="1080" t="str">
        <f ca="1">IFERROR(XIRR(F246:F247, E246:E247), "-")</f>
        <v>-</v>
      </c>
      <c r="I61" s="1078" t="e">
        <f>IF($I$26&gt;'Return Waterfall'!$AJ$185/1000000, (AF143*$I$26), MAX(0, (((AJ143)/1000000)+((($I$26)-($AJ$185/1000000))*AH143))))</f>
        <v>#DIV/0!</v>
      </c>
      <c r="J61" s="1079" t="str">
        <f t="shared" si="9"/>
        <v/>
      </c>
      <c r="K61" s="1080" t="str">
        <f ca="1">IFERROR(XIRR(I246:I247, H246:H247), "-")</f>
        <v>-</v>
      </c>
      <c r="L61" s="945"/>
      <c r="M61" s="945"/>
      <c r="N61" s="945"/>
      <c r="O61" s="945"/>
      <c r="P61" s="945"/>
      <c r="Q61" s="945"/>
      <c r="R61" s="945"/>
      <c r="S61" s="945"/>
      <c r="T61" s="945"/>
      <c r="U61" s="945"/>
      <c r="V61" s="945"/>
      <c r="W61" s="945"/>
      <c r="X61" s="945"/>
      <c r="Y61" s="945"/>
    </row>
    <row r="62" spans="1:28" ht="21.5" hidden="1" thickBot="1" x14ac:dyDescent="0.55000000000000004">
      <c r="A62" s="945"/>
      <c r="B62" s="1077" t="str">
        <f t="shared" si="7"/>
        <v>Series E Prfrd</v>
      </c>
      <c r="C62" s="1078" t="e">
        <f>IF($C$26&gt;'Return Waterfall'!$N$153/1000000, (J144*$C$26), MAX(0, (((N144)/1000000)+((($C$26)-($N$153/1000000))*L144))))</f>
        <v>#DIV/0!</v>
      </c>
      <c r="D62" s="1079" t="str">
        <f t="shared" si="10"/>
        <v xml:space="preserve"> </v>
      </c>
      <c r="E62" s="1080" t="str">
        <f ca="1">IFERROR(XIRR(C249:C250, B249:B250), "-")</f>
        <v>-</v>
      </c>
      <c r="F62" s="1078" t="e">
        <f>IF($F$26&gt;'Return Waterfall'!$X$153/1000000, (T144*$F$26), MAX(0, (((X144)/1000000)+((($F$26)-($X$153/1000000))*V144))))</f>
        <v>#DIV/0!</v>
      </c>
      <c r="G62" s="1079" t="str">
        <f t="shared" si="8"/>
        <v/>
      </c>
      <c r="H62" s="1080" t="str">
        <f>IFERROR(XIRR(F239:F240, E239:E240), "-")</f>
        <v>-</v>
      </c>
      <c r="I62" s="1078" t="e">
        <f>IF($I$26&gt;'Return Waterfall'!$AJ$185/1000000, (AF144*$I$26), MAX(0, (((AJ144)/1000000)+((($I$26)-($AJ$185/1000000))*AH144))))</f>
        <v>#DIV/0!</v>
      </c>
      <c r="J62" s="1079" t="str">
        <f t="shared" si="9"/>
        <v/>
      </c>
      <c r="K62" s="1080" t="str">
        <f>IFERROR(XIRR(I239:I240, H239:H240), "-")</f>
        <v>-</v>
      </c>
      <c r="L62" s="945"/>
      <c r="M62" s="945"/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</row>
    <row r="63" spans="1:28" ht="21.5" hidden="1" thickBot="1" x14ac:dyDescent="0.55000000000000004">
      <c r="A63" s="945"/>
      <c r="B63" s="1077" t="str">
        <f t="shared" si="7"/>
        <v>Series E-1 Prfrd  %</v>
      </c>
      <c r="C63" s="1078" t="e">
        <f>IF($C$26&gt;'Return Waterfall'!$N$153/1000000, (J145*$C$26), MAX(0, (((N145)/1000000)+((($C$26)-($N$153/1000000))*L145))))</f>
        <v>#DIV/0!</v>
      </c>
      <c r="D63" s="1079" t="str">
        <f t="shared" si="10"/>
        <v xml:space="preserve"> </v>
      </c>
      <c r="E63" s="1080" t="str">
        <f ca="1">IFERROR(XIRR(C252:C253, B252:B253), "-")</f>
        <v>-</v>
      </c>
      <c r="F63" s="1078" t="e">
        <f>IF($F$26&gt;'Return Waterfall'!$X$153/1000000, (T145*$F$26), MAX(0, (((X145)/1000000)+((($F$26)-($X$153/1000000))*V145))))</f>
        <v>#DIV/0!</v>
      </c>
      <c r="G63" s="1079" t="str">
        <f t="shared" si="8"/>
        <v/>
      </c>
      <c r="H63" s="1080" t="str">
        <f ca="1">IFERROR(XIRR(F240:F241, E240:E241), "-")</f>
        <v>-</v>
      </c>
      <c r="I63" s="1078" t="e">
        <f>IF($I$26&gt;'Return Waterfall'!$AJ$185/1000000, (AF145*$I$26), MAX(0, (((AJ145)/1000000)+((($I$26)-($AJ$185/1000000))*AH145))))</f>
        <v>#DIV/0!</v>
      </c>
      <c r="J63" s="1079" t="str">
        <f t="shared" si="9"/>
        <v/>
      </c>
      <c r="K63" s="1080" t="str">
        <f ca="1">IFERROR(XIRR(I240:I241, H240:H241), "-")</f>
        <v>-</v>
      </c>
      <c r="L63" s="945"/>
      <c r="M63" s="945"/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</row>
    <row r="64" spans="1:28" ht="21.5" hidden="1" thickBot="1" x14ac:dyDescent="0.55000000000000004">
      <c r="A64" s="945"/>
      <c r="B64" s="1077" t="str">
        <f t="shared" si="7"/>
        <v>Fully Diluted Shares</v>
      </c>
      <c r="C64" s="1078" t="e">
        <f>IF($C$26&gt;'Return Waterfall'!$N$153/1000000, (J146*$C$26), MAX(0, (((N146)/1000000)+((($C$26)-($N$153/1000000))*L146))))</f>
        <v>#DIV/0!</v>
      </c>
      <c r="D64" s="1079" t="str">
        <f t="shared" si="10"/>
        <v xml:space="preserve"> </v>
      </c>
      <c r="E64" s="1080" t="str">
        <f>IFERROR(XIRR(C255:C256, B255:B256), "-")</f>
        <v>-</v>
      </c>
      <c r="F64" s="1078" t="e">
        <f>IF($F$26&gt;'Return Waterfall'!$X$153/1000000, (T146*$F$26), MAX(0, (((X146)/1000000)+((($F$26)-($X$153/1000000))*V146))))</f>
        <v>#DIV/0!</v>
      </c>
      <c r="G64" s="1079" t="str">
        <f t="shared" si="8"/>
        <v/>
      </c>
      <c r="H64" s="1080" t="str">
        <f>IFERROR(XIRR(F255:F256, E255:E256), "-")</f>
        <v>-</v>
      </c>
      <c r="I64" s="1078" t="e">
        <f>IF($I$26&gt;'Return Waterfall'!$AJ$185/1000000, (AF146*$I$26), MAX(0, (((AJ146)/1000000)+((($I$26)-($AJ$185/1000000))*AH146))))</f>
        <v>#DIV/0!</v>
      </c>
      <c r="J64" s="1079" t="str">
        <f t="shared" si="9"/>
        <v/>
      </c>
      <c r="K64" s="1080" t="str">
        <f>IFERROR(XIRR(I255:I256, H255:H256), "-")</f>
        <v>-</v>
      </c>
      <c r="L64" s="945"/>
      <c r="M64" s="945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</row>
    <row r="65" spans="1:25" ht="21.5" hidden="1" thickBot="1" x14ac:dyDescent="0.55000000000000004">
      <c r="A65" s="945"/>
      <c r="B65" s="1077" t="str">
        <f>H129</f>
        <v>Fully Diluted Shares</v>
      </c>
      <c r="C65" s="1078" t="e">
        <f>IF($C$26&gt;'Return Waterfall'!$N$153/1000000, (J147*$C$26), MAX(0, (((N147)/1000000)+((($C$26)-($N$153/1000000))*L147))))</f>
        <v>#DIV/0!</v>
      </c>
      <c r="D65" s="1079" t="str">
        <f t="shared" si="10"/>
        <v xml:space="preserve"> </v>
      </c>
      <c r="E65" s="1080" t="str">
        <f ca="1">IFERROR(XIRR(C249:C251, B249:B251), "-")</f>
        <v>-</v>
      </c>
      <c r="F65" s="1078" t="e">
        <f>IF($F$26&gt;'Return Waterfall'!$X$153/1000000, (T147*$F$26), MAX(0, (((X147)/1000000)+((($F$26)-($X$153/1000000))*V147))))</f>
        <v>#DIV/0!</v>
      </c>
      <c r="G65" s="1079" t="str">
        <f t="shared" si="8"/>
        <v/>
      </c>
      <c r="H65" s="1080" t="str">
        <f ca="1">IFERROR(XIRR(F249:F251, E249:E251), "-")</f>
        <v>-</v>
      </c>
      <c r="I65" s="1078" t="e">
        <f>IF($I$26&gt;'Return Waterfall'!$AJ$185/1000000, (AF147*$I$26), MAX(0, (((AJ147)/1000000)+((($I$26)-($AJ$185/1000000))*AH147))))</f>
        <v>#DIV/0!</v>
      </c>
      <c r="J65" s="1079" t="str">
        <f t="shared" si="9"/>
        <v/>
      </c>
      <c r="K65" s="1080" t="str">
        <f ca="1">IFERROR(XIRR(I249:I251, H249:H251), "-")</f>
        <v>-</v>
      </c>
      <c r="L65" s="945"/>
      <c r="M65" s="945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</row>
    <row r="66" spans="1:25" ht="3.65" hidden="1" customHeight="1" x14ac:dyDescent="0.5">
      <c r="A66" s="945"/>
      <c r="B66" s="990"/>
      <c r="C66" s="1078">
        <f>IF($C$26&gt;'Return Waterfall'!$N$153/1000000, (J148*$C$26), MAX(0, (((N148)/1000000)+((($C35)-($N$153/1000000))*J148))))</f>
        <v>0</v>
      </c>
      <c r="D66" s="1081"/>
      <c r="E66" s="1082"/>
      <c r="F66" s="1078">
        <f>IF($F$26&gt;'Return Waterfall'!$X$153/1000000, (T148*$F$26), MAX(0, (((X148)/1000000)+((($F$26)-($X$153/1000000))*V148))))</f>
        <v>0</v>
      </c>
      <c r="G66" s="1081"/>
      <c r="H66" s="1082"/>
      <c r="I66" s="1078">
        <f>IF($I$26&gt;'Return Waterfall'!$AJ$185/1000000, (AF148*$I$26), MAX(0, (((AJ148)/1000000)+((($I$26)-($AJ$185/1000000))*AH148))))</f>
        <v>0</v>
      </c>
      <c r="J66" s="1081"/>
      <c r="K66" s="1082"/>
      <c r="L66" s="945"/>
      <c r="M66" s="945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</row>
    <row r="67" spans="1:25" ht="21.5" hidden="1" thickBot="1" x14ac:dyDescent="0.55000000000000004">
      <c r="A67" s="945"/>
      <c r="B67" s="1083" t="s">
        <v>26</v>
      </c>
      <c r="C67" s="1078" t="e">
        <f>IF($C$26&gt;'Return Waterfall'!$N$153/1000000, (J149*$C$26), MAX(0, (((N149)/1000000)+((($C36)-($N$153/1000000))*J149))))</f>
        <v>#DIV/0!</v>
      </c>
      <c r="D67" s="1084" t="str">
        <f t="shared" si="10"/>
        <v xml:space="preserve"> </v>
      </c>
      <c r="E67" s="1080"/>
      <c r="F67" s="1078" t="e">
        <f>IF($F$26&gt;'Return Waterfall'!$X$153/1000000, (T149*$F$26), MAX(0, (((X149)/1000000)+((($F$26)-($X$153/1000000))*V149))))</f>
        <v>#DIV/0!</v>
      </c>
      <c r="G67" s="1084" t="str">
        <f t="shared" si="8"/>
        <v/>
      </c>
      <c r="H67" s="1080"/>
      <c r="I67" s="1078" t="e">
        <f>IF($I$26&gt;'Return Waterfall'!$AJ$185/1000000, (AF149*$I$26), MAX(0, (((AJ149)/1000000)+((($I$26)-($AJ$185/1000000))*AH149))))</f>
        <v>#DIV/0!</v>
      </c>
      <c r="J67" s="1079" t="str">
        <f t="shared" si="9"/>
        <v/>
      </c>
      <c r="K67" s="1080"/>
      <c r="L67" s="945"/>
      <c r="M67" s="945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</row>
    <row r="68" spans="1:25" ht="21.5" hidden="1" thickBot="1" x14ac:dyDescent="0.55000000000000004">
      <c r="A68" s="945"/>
      <c r="B68" s="1083" t="s">
        <v>23</v>
      </c>
      <c r="C68" s="1078" t="e">
        <f>IF($C$26&gt;'Return Waterfall'!$N$153/1000000, (J150*$C$26), MAX(0, (((N150)/1000000)+((($C37)-($N$153/1000000))*J150))))</f>
        <v>#DIV/0!</v>
      </c>
      <c r="D68" s="1084" t="str">
        <f t="shared" si="10"/>
        <v xml:space="preserve"> </v>
      </c>
      <c r="E68" s="1080"/>
      <c r="F68" s="1078" t="e">
        <f>IF($F$26&gt;'Return Waterfall'!$X$153/1000000, (T150*$F$26), MAX(0, (((X150)/1000000)+((($F$26)-($X$153/1000000))*V150))))</f>
        <v>#DIV/0!</v>
      </c>
      <c r="G68" s="1084" t="str">
        <f t="shared" si="8"/>
        <v/>
      </c>
      <c r="H68" s="1080"/>
      <c r="I68" s="1078" t="e">
        <f>IF($I$26&gt;'Return Waterfall'!$AJ$185/1000000, (AF150*$I$26), MAX(0, (((AJ150)/1000000)+((($I$26)-($AJ$185/1000000))*AH150))))</f>
        <v>#DIV/0!</v>
      </c>
      <c r="J68" s="1079" t="str">
        <f t="shared" si="9"/>
        <v/>
      </c>
      <c r="K68" s="1080"/>
      <c r="L68" s="945"/>
      <c r="M68" s="945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</row>
    <row r="69" spans="1:25" ht="21.5" hidden="1" thickBot="1" x14ac:dyDescent="0.55000000000000004">
      <c r="A69" s="945"/>
      <c r="B69" s="1083" t="s">
        <v>24</v>
      </c>
      <c r="C69" s="1078" t="e">
        <f>IF($C$26&gt;'Return Waterfall'!$N$153/1000000, (J151*$C$26), MAX(0, (((N151)/1000000)+((($C38)-($N$153/1000000))*J151))))</f>
        <v>#DIV/0!</v>
      </c>
      <c r="D69" s="1084"/>
      <c r="E69" s="1080"/>
      <c r="F69" s="1078" t="e">
        <f>IF($F$26&gt;'Return Waterfall'!$X$153/1000000, (T151*$F$26), MAX(0, (((X151)/1000000)+((($F$26)-($X$153/1000000))*V151))))</f>
        <v>#DIV/0!</v>
      </c>
      <c r="G69" s="1084"/>
      <c r="H69" s="1080"/>
      <c r="I69" s="1078" t="e">
        <f>IF($I$26&gt;'Return Waterfall'!$AJ$185/1000000, (AF151*$I$26), MAX(0, (((AJ151)/1000000)+((($I$26)-($AJ$185/1000000))*AH151))))</f>
        <v>#DIV/0!</v>
      </c>
      <c r="J69" s="1079"/>
      <c r="K69" s="1080"/>
      <c r="L69" s="945"/>
      <c r="M69" s="945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</row>
    <row r="70" spans="1:25" ht="21.5" hidden="1" thickBot="1" x14ac:dyDescent="0.55000000000000004">
      <c r="A70" s="945"/>
      <c r="B70" s="1083" t="s">
        <v>315</v>
      </c>
      <c r="C70" s="1078" t="e">
        <f>IF($C$26&gt;'Return Waterfall'!$N$153/1000000, (J152*$C$26), MAX(0, (((N152)/1000000)+((($C39)-($N$153/1000000))*J152))))</f>
        <v>#DIV/0!</v>
      </c>
      <c r="D70" s="1084" t="str">
        <f>IFERROR((C70)/($M151/1000000), " ")</f>
        <v xml:space="preserve"> </v>
      </c>
      <c r="E70" s="1080"/>
      <c r="F70" s="1078" t="e">
        <f>IF($F$26&gt;'Return Waterfall'!$X$153/1000000, (T152*$F$26), MAX(0, (((X152)/1000000)+((($F$26)-($X$153/1000000))*V152))))</f>
        <v>#DIV/0!</v>
      </c>
      <c r="G70" s="1084" t="str">
        <f>IFERROR((F70)/($M151/1000000), "")</f>
        <v/>
      </c>
      <c r="H70" s="1080"/>
      <c r="I70" s="1078" t="e">
        <f>IF($I$26&gt;'Return Waterfall'!$AJ$185/1000000, (AF152*$I$26), MAX(0, (((AJ152)/1000000)+((($I$26)-($AJ$185/1000000))*AH152))))</f>
        <v>#DIV/0!</v>
      </c>
      <c r="J70" s="1079" t="str">
        <f>IFERROR((I70)/($M151/1000000), "")</f>
        <v/>
      </c>
      <c r="K70" s="1080"/>
      <c r="L70" s="945"/>
      <c r="M70" s="945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</row>
    <row r="71" spans="1:25" ht="21.5" hidden="1" thickBot="1" x14ac:dyDescent="0.55000000000000004">
      <c r="A71" s="945"/>
      <c r="B71" s="1085" t="s">
        <v>78</v>
      </c>
      <c r="C71" s="1086" t="e">
        <f>SUM(C57:C70)</f>
        <v>#DIV/0!</v>
      </c>
      <c r="D71" s="1087" t="e">
        <f>AVERAGE(D57:D70)</f>
        <v>#DIV/0!</v>
      </c>
      <c r="E71" s="1088"/>
      <c r="F71" s="1089" t="e">
        <f>SUM(F57:F70)</f>
        <v>#DIV/0!</v>
      </c>
      <c r="G71" s="1087" t="e">
        <f>AVERAGE(G57:G70)</f>
        <v>#DIV/0!</v>
      </c>
      <c r="H71" s="1088"/>
      <c r="I71" s="1089" t="e">
        <f>SUM(I57:I70)</f>
        <v>#DIV/0!</v>
      </c>
      <c r="J71" s="1087" t="e">
        <f>AVERAGE(J57:J70)</f>
        <v>#DIV/0!</v>
      </c>
      <c r="K71" s="1088"/>
      <c r="L71" s="945"/>
      <c r="M71" s="945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</row>
    <row r="72" spans="1:25" s="945" customFormat="1" ht="21.5" hidden="1" thickBot="1" x14ac:dyDescent="0.55000000000000004">
      <c r="B72" s="1023"/>
      <c r="C72" s="1090"/>
      <c r="D72" s="1023"/>
      <c r="E72" s="1023"/>
      <c r="F72" s="1023"/>
      <c r="G72" s="1023"/>
      <c r="H72" s="1023"/>
      <c r="I72" s="1023"/>
      <c r="J72" s="1023"/>
      <c r="K72" s="1023"/>
    </row>
    <row r="73" spans="1:25" s="945" customFormat="1" ht="21.5" hidden="1" thickBot="1" x14ac:dyDescent="0.55000000000000004">
      <c r="B73" s="1023"/>
      <c r="C73" s="1023"/>
      <c r="D73" s="1023"/>
      <c r="E73" s="1023"/>
      <c r="F73" s="1023"/>
      <c r="G73" s="1023"/>
      <c r="H73" s="1023"/>
      <c r="I73" s="1023"/>
      <c r="J73" s="1023"/>
      <c r="K73" s="1023"/>
    </row>
    <row r="74" spans="1:25" ht="18" customHeight="1" thickBot="1" x14ac:dyDescent="0.4">
      <c r="A74" s="945"/>
      <c r="B74" s="1024" t="s">
        <v>316</v>
      </c>
      <c r="C74" s="1091"/>
      <c r="D74" s="1092"/>
      <c r="E74" s="1026"/>
      <c r="F74" s="1026"/>
      <c r="G74" s="1026"/>
      <c r="H74" s="1026"/>
      <c r="I74" s="1093"/>
      <c r="J74" s="1093"/>
      <c r="K74" s="1094"/>
      <c r="L74" s="945" t="s">
        <v>286</v>
      </c>
      <c r="M74" s="945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</row>
    <row r="75" spans="1:25" ht="18" customHeight="1" x14ac:dyDescent="0.35">
      <c r="A75" s="945"/>
      <c r="B75" s="1068" t="s">
        <v>308</v>
      </c>
      <c r="C75" s="1095">
        <f>C15</f>
        <v>60</v>
      </c>
      <c r="D75" s="1096"/>
      <c r="E75" s="1097"/>
      <c r="F75" s="1095">
        <f>F15</f>
        <v>100</v>
      </c>
      <c r="G75" s="1096"/>
      <c r="H75" s="1097"/>
      <c r="I75" s="1095">
        <f>I15</f>
        <v>200</v>
      </c>
      <c r="J75" s="1096"/>
      <c r="K75" s="1097"/>
      <c r="L75" s="945"/>
      <c r="M75" s="945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</row>
    <row r="76" spans="1:25" ht="21.5" thickBot="1" x14ac:dyDescent="0.4">
      <c r="A76" s="945"/>
      <c r="B76" s="1098" t="s">
        <v>317</v>
      </c>
      <c r="C76" s="1076" t="s">
        <v>312</v>
      </c>
      <c r="D76" s="1074" t="s">
        <v>313</v>
      </c>
      <c r="E76" s="1075" t="s">
        <v>318</v>
      </c>
      <c r="F76" s="1076" t="s">
        <v>312</v>
      </c>
      <c r="G76" s="1074" t="s">
        <v>313</v>
      </c>
      <c r="H76" s="1075" t="s">
        <v>314</v>
      </c>
      <c r="I76" s="1076" t="s">
        <v>312</v>
      </c>
      <c r="J76" s="1074" t="s">
        <v>313</v>
      </c>
      <c r="K76" s="1075" t="s">
        <v>314</v>
      </c>
      <c r="L76" s="945"/>
      <c r="M76" s="945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</row>
    <row r="77" spans="1:25" ht="17.5" customHeight="1" thickBot="1" x14ac:dyDescent="0.55000000000000004">
      <c r="A77" s="945">
        <v>1</v>
      </c>
      <c r="B77" s="1099" t="str">
        <f t="shared" ref="B77:B94" si="11">H157</f>
        <v>Investor 2</v>
      </c>
      <c r="C77" s="1100" t="e">
        <f>IF(C$26&gt;'Return Waterfall'!$N$185/1000000,(($M157*$D$10)/1000000)+($J157*(C$26)),($C$39/1000000*'Cap Table'!$BW22)+((($N157)/1000000)+(C$40/1000000-$N$185/1000000)*'Cap Table'!$BW22))</f>
        <v>#DIV/0!</v>
      </c>
      <c r="D77" s="1079">
        <f>IFERROR((C77)/($M157/1000000), 0)</f>
        <v>0</v>
      </c>
      <c r="E77" s="1080" t="str">
        <f>IFERROR(XIRR($G$189:$G$198,$E$189:$E$198), "-")</f>
        <v>-</v>
      </c>
      <c r="F77" s="1100" t="e">
        <f>IF(F$26&gt;'Return Waterfall'!$N$185/1000000,(($M157*$D$10)/1000000)+($J157*(F$26)),($C$39/1000000*'Cap Table'!$BW22)+((($N157)/1000000)+(F$40/1000000-$N$185/1000000)*$L157))</f>
        <v>#DIV/0!</v>
      </c>
      <c r="G77" s="1079">
        <f t="shared" ref="G77:G94" si="12">IFERROR((F77)/($M157/1000000), 0)</f>
        <v>0</v>
      </c>
      <c r="H77" s="1080" t="str">
        <f>IFERROR(XIRR(($G$203:$G$212),$E$189:$E$198),"-")</f>
        <v>-</v>
      </c>
      <c r="I77" s="1100" t="e">
        <f>IF(I$26&gt;'Return Waterfall'!$AJ$185/1000000,(('Cap Table'!CT22/1000000)+($AF157*($I$40/1000000))),($I$39/1000000*'Cap Table'!$BW22)+((($AJ157)/1000000)+(I$40/1000000)-($AJ$185/1000000)*$AH157))</f>
        <v>#DIV/0!</v>
      </c>
      <c r="J77" s="1079">
        <f>IFERROR((I77)/($M157/1000000), 0)</f>
        <v>0</v>
      </c>
      <c r="K77" s="1080" t="str">
        <f>IFERROR(XIRR(($G$217:$G$226),$E$189:$E$198),"-")</f>
        <v>-</v>
      </c>
      <c r="L77" s="945" t="s">
        <v>286</v>
      </c>
      <c r="M77" s="945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</row>
    <row r="78" spans="1:25" ht="17.5" customHeight="1" thickBot="1" x14ac:dyDescent="0.55000000000000004">
      <c r="A78" s="945">
        <v>2</v>
      </c>
      <c r="B78" s="1099" t="str">
        <f t="shared" si="11"/>
        <v>Investor 3</v>
      </c>
      <c r="C78" s="1100" t="e">
        <f>IF(C$26&gt;'Return Waterfall'!$N$185/1000000,(($M158*$D$10)/1000000)+($J158*(C$26)),($C$39/1000000*'Cap Table'!$BW23)+((($N158)/1000000)+(C$40/1000000-$N$185/1000000)*'Cap Table'!$BW23))</f>
        <v>#DIV/0!</v>
      </c>
      <c r="D78" s="1079">
        <f t="shared" ref="D78:D98" si="13">IFERROR((C78)/($M158/1000000), 0)</f>
        <v>0</v>
      </c>
      <c r="E78" s="1080" t="str">
        <f>IFERROR(XIRR($H$190:$H$198, $E$190:$E$198), "-")</f>
        <v>-</v>
      </c>
      <c r="F78" s="1100" t="e">
        <f>IF(F$26&gt;'Return Waterfall'!$N$185/1000000,(($M158*$D$10)/1000000)+($J158*(F$26)),($C$39/1000000*'Cap Table'!$BW23)+((($N158)/1000000)+(F$40/1000000-$N$185/1000000)*$L158))</f>
        <v>#DIV/0!</v>
      </c>
      <c r="G78" s="1079">
        <f t="shared" si="12"/>
        <v>0</v>
      </c>
      <c r="H78" s="1080" t="str">
        <f>IFERROR(XIRR($H$204:$H$212, $E$190:$E$198), "-")</f>
        <v>-</v>
      </c>
      <c r="I78" s="1100" t="e">
        <f>IF(I$26&gt;'Return Waterfall'!$AJ$185/1000000,(('Cap Table'!CT23/1000000)+($AF158*($I$40/1000000))),($I$39/1000000*'Cap Table'!$BW23)+((($AJ158)/1000000)+(I$40/1000000)-($AJ$185/1000000)*$AH158))</f>
        <v>#DIV/0!</v>
      </c>
      <c r="J78" s="1079">
        <f t="shared" ref="J78:J99" si="14">IFERROR((I78)/($M158/1000000), 0)</f>
        <v>0</v>
      </c>
      <c r="K78" s="1080" t="str">
        <f>IFERROR(XIRR($H$218:$H$226, $E$190:$E$198), "-")</f>
        <v>-</v>
      </c>
      <c r="L78" s="945"/>
      <c r="M78" s="945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</row>
    <row r="79" spans="1:25" ht="17.5" customHeight="1" thickBot="1" x14ac:dyDescent="0.55000000000000004">
      <c r="A79" s="945">
        <v>3</v>
      </c>
      <c r="B79" s="1099" t="str">
        <f t="shared" si="11"/>
        <v>Investor 4</v>
      </c>
      <c r="C79" s="1100" t="e">
        <f>IF(C$26&gt;'Return Waterfall'!$N$185/1000000,(($M159*$D$10)/1000000)+($J159*(C$26)),($C$39/1000000*'Cap Table'!$BW24)+((($N159)/1000000)+(C$40/1000000-$N$185/1000000)*'Cap Table'!$BW24))</f>
        <v>#DIV/0!</v>
      </c>
      <c r="D79" s="1079">
        <f t="shared" si="13"/>
        <v>0</v>
      </c>
      <c r="E79" s="1080" t="e">
        <f>XIRR($I$190:$I$198, $E$190:$E$198)</f>
        <v>#DIV/0!</v>
      </c>
      <c r="F79" s="1100" t="e">
        <f>IF(F$26&gt;'Return Waterfall'!$N$185/1000000,(($M159*$D$10)/1000000)+($J159*(F$26)),($C$39/1000000*'Cap Table'!$BW24)+((($N159)/1000000)+(F$40/1000000-$N$185/1000000)*$L159))</f>
        <v>#DIV/0!</v>
      </c>
      <c r="G79" s="1079">
        <f t="shared" si="12"/>
        <v>0</v>
      </c>
      <c r="H79" s="1080" t="e">
        <f>XIRR($I$204:$I$212, $E$190:$E$198)</f>
        <v>#DIV/0!</v>
      </c>
      <c r="I79" s="1100" t="e">
        <f>IF(I$26&gt;'Return Waterfall'!$AJ$185/1000000,(('Cap Table'!CT24/1000000)+($AF159*($I$40/1000000))),($I$39/1000000*'Cap Table'!$BW24)+((($AJ159)/1000000)+(I$40/1000000)-($AJ$185/1000000)*$AH159))</f>
        <v>#DIV/0!</v>
      </c>
      <c r="J79" s="1079">
        <f t="shared" si="14"/>
        <v>0</v>
      </c>
      <c r="K79" s="1080" t="e">
        <f>XIRR($I$218:$I$226, $E$190:$E$198)</f>
        <v>#DIV/0!</v>
      </c>
      <c r="L79" s="945"/>
      <c r="M79" s="945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</row>
    <row r="80" spans="1:25" ht="17.5" customHeight="1" thickBot="1" x14ac:dyDescent="0.55000000000000004">
      <c r="A80" s="945">
        <v>4</v>
      </c>
      <c r="B80" s="1099" t="str">
        <f t="shared" si="11"/>
        <v>Investor 5</v>
      </c>
      <c r="C80" s="1100" t="e">
        <f>IF(C$26&gt;'Return Waterfall'!$N$185/1000000,(($M160*$D$10)/1000000)+($J160*(C$26)),($C$39/1000000*'Cap Table'!$BW25)+((($N160)/1000000)+(C$40/1000000-$N$185/1000000)*'Cap Table'!$BW25))</f>
        <v>#DIV/0!</v>
      </c>
      <c r="D80" s="1079">
        <f t="shared" si="13"/>
        <v>0</v>
      </c>
      <c r="E80" s="1080" t="e">
        <f>XIRR($J$191:$J$198, $E$191:$E$198)</f>
        <v>#DIV/0!</v>
      </c>
      <c r="F80" s="1100" t="e">
        <f>IF(F$26&gt;'Return Waterfall'!$N$185/1000000,(($M160*$D$10)/1000000)+($J160*(F$26)),($C$39/1000000*'Cap Table'!$BW25)+((($N160)/1000000)+(F$40/1000000-$N$185/1000000)*$L160))</f>
        <v>#DIV/0!</v>
      </c>
      <c r="G80" s="1079">
        <f t="shared" si="12"/>
        <v>0</v>
      </c>
      <c r="H80" s="1080" t="e">
        <f>XIRR($J$205:$J$212, $E$191:$E$198)</f>
        <v>#DIV/0!</v>
      </c>
      <c r="I80" s="1100" t="e">
        <f>IF(I$26&gt;'Return Waterfall'!$AJ$185/1000000,(('Cap Table'!CT25/1000000)+($AF160*($I$40/1000000))),($I$39/1000000*'Cap Table'!$BW25)+((($AJ160)/1000000)+(I$40/1000000)-($AJ$185/1000000)*$AH160))</f>
        <v>#DIV/0!</v>
      </c>
      <c r="J80" s="1079">
        <f t="shared" si="14"/>
        <v>0</v>
      </c>
      <c r="K80" s="1080" t="e">
        <f>XIRR($J$219:$J$226, $E$191:$E$198)</f>
        <v>#DIV/0!</v>
      </c>
      <c r="L80" s="945"/>
      <c r="M80" s="945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</row>
    <row r="81" spans="1:25" ht="17.5" customHeight="1" thickBot="1" x14ac:dyDescent="0.55000000000000004">
      <c r="A81" s="945">
        <v>5</v>
      </c>
      <c r="B81" s="1099" t="str">
        <f t="shared" si="11"/>
        <v>Investor 6</v>
      </c>
      <c r="C81" s="1100" t="e">
        <f>IF(C$26&gt;'Return Waterfall'!$N$185/1000000,(($M161*$D$10)/1000000)+($J161*(C$26)),($C$39/1000000*'Cap Table'!$BW41)+((($N161)/1000000)+(C$40/1000000-$N$185/1000000)*'Cap Table'!$BW41))</f>
        <v>#DIV/0!</v>
      </c>
      <c r="D81" s="1079">
        <f t="shared" si="13"/>
        <v>0</v>
      </c>
      <c r="E81" s="1080" t="e">
        <f>XIRR($K$191:$K$198, $E$191:$E$198)</f>
        <v>#DIV/0!</v>
      </c>
      <c r="F81" s="1100" t="e">
        <f>IF(F$26&gt;'Return Waterfall'!$N$185/1000000,(($M161*$D$10)/1000000)+($J161*(F$26)),($C$39/1000000*'Cap Table'!$BW41)+((($N161)/1000000)+(F$40/1000000-$N$185/1000000)*$L161))</f>
        <v>#DIV/0!</v>
      </c>
      <c r="G81" s="1079">
        <f t="shared" si="12"/>
        <v>0</v>
      </c>
      <c r="H81" s="1080" t="e">
        <f>XIRR($K$205:$K$212, $E$191:$E$198)</f>
        <v>#DIV/0!</v>
      </c>
      <c r="I81" s="1100" t="e">
        <f>IF(I$26&gt;'Return Waterfall'!$AJ$185/1000000,(('Cap Table'!CT41/1000000)+($AF161*($I$40/1000000))),($I$39/1000000*'Cap Table'!$BW41)+((($AJ161)/1000000)+(I$40/1000000)-($AJ$185/1000000)*$AH161))</f>
        <v>#DIV/0!</v>
      </c>
      <c r="J81" s="1079">
        <f t="shared" si="14"/>
        <v>0</v>
      </c>
      <c r="K81" s="1080" t="e">
        <f>XIRR($K$219:$K$226, $E$191:$E$198)</f>
        <v>#DIV/0!</v>
      </c>
      <c r="L81" s="945"/>
      <c r="M81" s="945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</row>
    <row r="82" spans="1:25" ht="17.5" customHeight="1" thickBot="1" x14ac:dyDescent="0.55000000000000004">
      <c r="A82" s="945">
        <v>6</v>
      </c>
      <c r="B82" s="1099">
        <f t="shared" si="11"/>
        <v>0</v>
      </c>
      <c r="C82" s="1100" t="str">
        <f>IFERROR(IF(C$26&gt;'Return Waterfall'!$N$185/1000000,(($M162*$D$10)/1000000)+($J162*(C$26)),($C$39/1000000*'Cap Table'!$BW42)+((($N162)/1000000)+(C$40/1000000-$N$185/1000000)*'Cap Table'!$BW42)),"-")</f>
        <v>-</v>
      </c>
      <c r="D82" s="1079">
        <f t="shared" si="13"/>
        <v>0</v>
      </c>
      <c r="E82" s="1080" t="str">
        <f>IFERROR(XIRR($L$190:$L$198, $E$190:$E$198), "-")</f>
        <v>-</v>
      </c>
      <c r="F82" s="1100" t="s">
        <v>238</v>
      </c>
      <c r="G82" s="1079">
        <f t="shared" si="12"/>
        <v>0</v>
      </c>
      <c r="H82" s="1080" t="str">
        <f>IFERROR(XIRR($L$204:$L$212, $E$190:$E$198), "-")</f>
        <v>-</v>
      </c>
      <c r="I82" s="1100" t="e">
        <f>IF(I$26&gt;'Return Waterfall'!$AJ$185/1000000,(('Cap Table'!CT42/1000000)+($AF162*($I$40/1000000))),($I$39/1000000*'Cap Table'!$BW42)+((($AJ162)/1000000)+(I$40/1000000)-($AJ$185/1000000)*$AH162))</f>
        <v>#DIV/0!</v>
      </c>
      <c r="J82" s="1079">
        <f t="shared" si="14"/>
        <v>0</v>
      </c>
      <c r="K82" s="1080" t="str">
        <f>IFERROR(XIRR($L$218:$L$226, $E$190:$E$198), "-")</f>
        <v>-</v>
      </c>
      <c r="L82" s="945"/>
      <c r="M82" s="945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</row>
    <row r="83" spans="1:25" ht="17.5" customHeight="1" thickBot="1" x14ac:dyDescent="0.55000000000000004">
      <c r="A83" s="945">
        <v>7</v>
      </c>
      <c r="B83" s="1099" t="str">
        <f t="shared" si="11"/>
        <v>Founders/Leadership</v>
      </c>
      <c r="C83" s="1100" t="e">
        <f>IF(C$26&gt;'Return Waterfall'!$N$185/1000000,(($M163*$D$10)/1000000)+($J163*(C$26)),($C$39/1000000*'Cap Table'!$BW43)+((($N163)/1000000)+(C$40/1000000-$N$185/1000000)*'Cap Table'!$BW43))</f>
        <v>#DIV/0!</v>
      </c>
      <c r="D83" s="1079">
        <f t="shared" si="13"/>
        <v>0</v>
      </c>
      <c r="E83" s="1080" t="str">
        <f>IFERROR(XIRR($M$190:$M$198, $E$190:$E$198), "-")</f>
        <v>-</v>
      </c>
      <c r="F83" s="1100" t="e">
        <f>IF(F$26&gt;'Return Waterfall'!$N$185/1000000,(($M163*$D$10)/1000000)+($J163*(F$26)),($C$39/1000000*'Cap Table'!$BW43)+((($N163)/1000000)+(F$40/1000000-$N$185/1000000)*$L163))</f>
        <v>#DIV/0!</v>
      </c>
      <c r="G83" s="1079">
        <f t="shared" si="12"/>
        <v>0</v>
      </c>
      <c r="H83" s="1080" t="str">
        <f>IFERROR(XIRR($M$204:$M$212, $E$190:$E$198), "-")</f>
        <v>-</v>
      </c>
      <c r="I83" s="1100" t="e">
        <f>IF(I$26&gt;'Return Waterfall'!$AJ$185/1000000,(('Cap Table'!CT43/1000000)+($AF163*($I$40/1000000))),($I$39/1000000*'Cap Table'!$BW43)+((($AJ163)/1000000)+(I$40/1000000)-($AJ$185/1000000)*$AH163))</f>
        <v>#DIV/0!</v>
      </c>
      <c r="J83" s="1079">
        <f t="shared" si="14"/>
        <v>0</v>
      </c>
      <c r="K83" s="1080" t="e">
        <f>XIRR($M$218:$M$226, $E$190:$E$198)</f>
        <v>#DIV/0!</v>
      </c>
      <c r="L83" s="945"/>
      <c r="M83" s="945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</row>
    <row r="84" spans="1:25" ht="17.5" customHeight="1" thickBot="1" x14ac:dyDescent="0.55000000000000004">
      <c r="A84" s="945">
        <v>8</v>
      </c>
      <c r="B84" s="1099" t="str">
        <f t="shared" si="11"/>
        <v>Others 1</v>
      </c>
      <c r="C84" s="1100" t="e">
        <f>IF(C$26&gt;'Return Waterfall'!$N$185/1000000,(($M164*$D$10)/1000000)+($J164*(C$26)),($C$39/1000000*'Cap Table'!$BW44)+((($N164)/1000000)+(C$40/1000000-$N$185/1000000)*'Cap Table'!$BW44))</f>
        <v>#DIV/0!</v>
      </c>
      <c r="D84" s="1079">
        <f t="shared" si="13"/>
        <v>0</v>
      </c>
      <c r="E84" s="1080" t="e">
        <f>XIRR($N$190:$N$198, $E$190:$E$198)</f>
        <v>#DIV/0!</v>
      </c>
      <c r="F84" s="1100" t="e">
        <f>IF(F$26&gt;'Return Waterfall'!$N$185/1000000,(($M164*$D$10)/1000000)+($J164*(F$26)),($C$39/1000000*'Cap Table'!$BW44)+((($N164)/1000000)+(F$40/1000000-$N$185/1000000)*$L164))</f>
        <v>#DIV/0!</v>
      </c>
      <c r="G84" s="1079">
        <f t="shared" si="12"/>
        <v>0</v>
      </c>
      <c r="H84" s="1080" t="e">
        <f>XIRR($N$204:$N$212, $E$190:$E$198)</f>
        <v>#DIV/0!</v>
      </c>
      <c r="I84" s="1100" t="e">
        <f>IF(I$26&gt;'Return Waterfall'!$AJ$185/1000000,(('Cap Table'!CT44/1000000)+($AF164*($I$40/1000000))),($I$39/1000000*'Cap Table'!$BW44)+((($AJ164)/1000000)+(I$40/1000000)-($AJ$185/1000000)*$AH164))</f>
        <v>#DIV/0!</v>
      </c>
      <c r="J84" s="1079">
        <f t="shared" si="14"/>
        <v>0</v>
      </c>
      <c r="K84" s="1080" t="e">
        <f>XIRR($N$218:$N$226, $E$190:$E$198)</f>
        <v>#DIV/0!</v>
      </c>
      <c r="L84" s="945"/>
      <c r="M84" s="945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</row>
    <row r="85" spans="1:25" ht="17.5" customHeight="1" thickBot="1" x14ac:dyDescent="0.55000000000000004">
      <c r="A85" s="945">
        <v>9</v>
      </c>
      <c r="B85" s="1099" t="str">
        <f t="shared" si="11"/>
        <v>Others 2</v>
      </c>
      <c r="C85" s="1100" t="e">
        <f>IF(C$26&gt;'Return Waterfall'!$N$185/1000000,(($M165*$D$10)/1000000)+($J165*(C$26)),($C$39/1000000*'Cap Table'!$BW45)+((($N165)/1000000)+(C$40/1000000-$N$185/1000000)*'Cap Table'!$BW45))</f>
        <v>#DIV/0!</v>
      </c>
      <c r="D85" s="1079">
        <f t="shared" si="13"/>
        <v>0</v>
      </c>
      <c r="E85" s="1080" t="str">
        <f>IFERROR(XIRR($O$190:$O$198, $E$190:$E$198), "-")</f>
        <v>-</v>
      </c>
      <c r="F85" s="1100" t="e">
        <f>IF(F$26&gt;'Return Waterfall'!$N$185/1000000,(($M165*$D$10)/1000000)+($J165*(F$26)),($C$39/1000000*'Cap Table'!$BW45)+((($N165)/1000000)+(F$40/1000000-$N$185/1000000)*$L165))</f>
        <v>#DIV/0!</v>
      </c>
      <c r="G85" s="1079">
        <f t="shared" si="12"/>
        <v>0</v>
      </c>
      <c r="H85" s="1080" t="str">
        <f>IFERROR(XIRR($O$204:$O$212, $E$190:$E$198), "-")</f>
        <v>-</v>
      </c>
      <c r="I85" s="1100" t="e">
        <f>IF(I$26&gt;'Return Waterfall'!$AJ$185/1000000,(('Cap Table'!CT45/1000000)+($AF165*($I$40/1000000))),($I$39/1000000*'Cap Table'!$BW45)+((($AJ165)/1000000)+(I$40/1000000)-($AJ$185/1000000)*$AH165))</f>
        <v>#DIV/0!</v>
      </c>
      <c r="J85" s="1079">
        <f t="shared" si="14"/>
        <v>0</v>
      </c>
      <c r="K85" s="1080" t="e">
        <f>XIRR($O$218:$O$226, $E$190:$E$198)</f>
        <v>#DIV/0!</v>
      </c>
      <c r="L85" s="945"/>
      <c r="M85" s="945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</row>
    <row r="86" spans="1:25" ht="17.5" customHeight="1" thickBot="1" x14ac:dyDescent="0.55000000000000004">
      <c r="A86" s="945">
        <v>10</v>
      </c>
      <c r="B86" s="1099" t="str">
        <f t="shared" si="11"/>
        <v>Others 3</v>
      </c>
      <c r="C86" s="1100" t="e">
        <f>IF(C$26&gt;'Return Waterfall'!$N$185/1000000,(($M166*$D$10)/1000000)+($J166*(C$26)),($C$39/1000000*'Cap Table'!$BW46)+((($N166)/1000000)+(C$40/1000000-$N$185/1000000)*'Cap Table'!$BW46))</f>
        <v>#DIV/0!</v>
      </c>
      <c r="D86" s="1079">
        <f t="shared" si="13"/>
        <v>0</v>
      </c>
      <c r="E86" s="1080" t="e">
        <f>XIRR($P$191:$P$198, $E$191:$E$198)</f>
        <v>#DIV/0!</v>
      </c>
      <c r="F86" s="1100" t="e">
        <f>IF(F$26&gt;'Return Waterfall'!$N$185/1000000,(($M166*$D$10)/1000000)+($J166*(F$26)),($C$39/1000000*'Cap Table'!$BW46)+((($N166)/1000000)+(F$40/1000000-$N$185/1000000)*$L166))</f>
        <v>#DIV/0!</v>
      </c>
      <c r="G86" s="1079">
        <f t="shared" si="12"/>
        <v>0</v>
      </c>
      <c r="H86" s="1080" t="str">
        <f>IFERROR(XIRR($P$205:$P$212, $E$191:$E$198), "-")</f>
        <v>-</v>
      </c>
      <c r="I86" s="1100" t="e">
        <f>IF(I$26&gt;'Return Waterfall'!$AJ$185/1000000,(('Cap Table'!CT46/1000000)+($AF166*($I$40/1000000))),($I$39/1000000*'Cap Table'!$BW46)+((($AJ166)/1000000)+(I$40/1000000)-($AJ$185/1000000)*$AH166))</f>
        <v>#DIV/0!</v>
      </c>
      <c r="J86" s="1079">
        <f t="shared" si="14"/>
        <v>0</v>
      </c>
      <c r="K86" s="1080" t="e">
        <f>XIRR($P$219:$P$226, $E$191:$E$198)</f>
        <v>#DIV/0!</v>
      </c>
      <c r="L86" s="945"/>
      <c r="M86" s="945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</row>
    <row r="87" spans="1:25" ht="17.5" customHeight="1" thickBot="1" x14ac:dyDescent="0.55000000000000004">
      <c r="A87" s="945">
        <v>11</v>
      </c>
      <c r="B87" s="1099" t="str">
        <f t="shared" si="11"/>
        <v>Others 4</v>
      </c>
      <c r="C87" s="1100" t="str">
        <f>IFERROR(IF(C$26&gt;'Return Waterfall'!$N$185/1000000,(($M167*$D$10)/1000000)+($J167*(C$26)),($C$39/1000000*'Cap Table'!$BW47)+((($N167)/1000000)+(C$40/1000000-$N$185/1000000)*'Cap Table'!$BW47)),"-")</f>
        <v>-</v>
      </c>
      <c r="D87" s="1079">
        <f t="shared" si="13"/>
        <v>0</v>
      </c>
      <c r="E87" s="1080">
        <f>IFERROR(XIRR($Q$191:$Q$198, $E$191:$E$198), 0)</f>
        <v>0</v>
      </c>
      <c r="F87" s="1100" t="s">
        <v>238</v>
      </c>
      <c r="G87" s="1079">
        <f t="shared" si="12"/>
        <v>0</v>
      </c>
      <c r="H87" s="1080" t="str">
        <f>IFERROR(XIRR($Q$205:$Q$212, $E$191:$E$198), "-")</f>
        <v>-</v>
      </c>
      <c r="I87" s="1100" t="e">
        <f>IF(I$26&gt;'Return Waterfall'!$AJ$185/1000000,(('Cap Table'!CT47/1000000)+($AF167*($I$40/1000000))),($I$39/1000000*'Cap Table'!$BW47)+((($AJ167)/1000000)+(I$40/1000000)-($AJ$185/1000000)*$AH167))</f>
        <v>#DIV/0!</v>
      </c>
      <c r="J87" s="1079">
        <f t="shared" si="14"/>
        <v>0</v>
      </c>
      <c r="K87" s="1080">
        <f>IFERROR(XIRR($Q$219:$Q$226, $E$191:$E$198), 0)</f>
        <v>0</v>
      </c>
      <c r="L87" s="945"/>
      <c r="M87" s="945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</row>
    <row r="88" spans="1:25" ht="17.5" customHeight="1" thickBot="1" x14ac:dyDescent="0.55000000000000004">
      <c r="A88" s="945">
        <v>12</v>
      </c>
      <c r="B88" s="1099" t="str">
        <f t="shared" si="11"/>
        <v>Others 1</v>
      </c>
      <c r="C88" s="1100" t="e">
        <f>IF(C$26&gt;'Return Waterfall'!$N$185/1000000,(($M168*$D$10)/1000000)+($J168*(C$26)),($C$39/1000000*'Cap Table'!$BW48)+((($N168)/1000000)+(C$40/1000000-$N$185/1000000)*'Cap Table'!$BW48))</f>
        <v>#DIV/0!</v>
      </c>
      <c r="D88" s="1079">
        <f t="shared" si="13"/>
        <v>0</v>
      </c>
      <c r="E88" s="1080" t="str">
        <f>IFERROR(XIRR($R$193:$R$198, $E$193:$E$198), "-")</f>
        <v>-</v>
      </c>
      <c r="F88" s="1100" t="e">
        <f>IF(F$26&gt;'Return Waterfall'!$N$185/1000000,(($M168*$D$10)/1000000)+($J168*(F$26)),($C$39/1000000*'Cap Table'!$BW48)+((($N168)/1000000)+(F$40/1000000-$N$185/1000000)*$L168))</f>
        <v>#DIV/0!</v>
      </c>
      <c r="G88" s="1079">
        <f t="shared" si="12"/>
        <v>0</v>
      </c>
      <c r="H88" s="1080" t="str">
        <f>IFERROR(XIRR($R$207:$R$212, $E$193:$E$198), "-")</f>
        <v>-</v>
      </c>
      <c r="I88" s="1100" t="e">
        <f>IF(I$26&gt;'Return Waterfall'!$AJ$185/1000000,(('Cap Table'!CT48/1000000)+($AF168*($I$40/1000000))),($I$39/1000000*'Cap Table'!$BW48)+((($AJ168)/1000000)+(I$40/1000000)-($AJ$185/1000000)*$AH168))</f>
        <v>#DIV/0!</v>
      </c>
      <c r="J88" s="1079">
        <f t="shared" si="14"/>
        <v>0</v>
      </c>
      <c r="K88" s="1080" t="str">
        <f>IFERROR(XIRR($R$207:$R$212, $E$193:$E$198), "-")</f>
        <v>-</v>
      </c>
      <c r="L88" s="945"/>
      <c r="M88" s="945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</row>
    <row r="89" spans="1:25" ht="17.5" customHeight="1" thickBot="1" x14ac:dyDescent="0.55000000000000004">
      <c r="A89" s="945">
        <v>13</v>
      </c>
      <c r="B89" s="1099">
        <f t="shared" si="11"/>
        <v>0</v>
      </c>
      <c r="C89" s="1100" t="e">
        <f>IF(C$26&gt;'Return Waterfall'!$N$185/1000000,(($M169*$D$10)/1000000)+($J169*(C$26)),($C$39/1000000*'Cap Table'!$BW49)+((($N169)/1000000)+(C$40/1000000-$N$185/1000000)*'Cap Table'!$BW49))</f>
        <v>#DIV/0!</v>
      </c>
      <c r="D89" s="1079">
        <f t="shared" si="13"/>
        <v>0</v>
      </c>
      <c r="E89" s="1080" t="str">
        <f>IFERROR(XIRR($S$193:$S$198, $E$193:$E$198), "-")</f>
        <v>-</v>
      </c>
      <c r="F89" s="1100" t="e">
        <f>IF(F$26&gt;'Return Waterfall'!$N$185/1000000,(($M169*$D$10)/1000000)+($J169*(F$26)),($C$39/1000000*'Cap Table'!$BW49)+((($N169)/1000000)+(F$40/1000000-$N$185/1000000)*$L169))</f>
        <v>#DIV/0!</v>
      </c>
      <c r="G89" s="1079">
        <f t="shared" si="12"/>
        <v>0</v>
      </c>
      <c r="H89" s="1080" t="str">
        <f>IFERROR(XIRR($S$193:$S$198, $E$193:$E$198), "-")</f>
        <v>-</v>
      </c>
      <c r="I89" s="1100" t="e">
        <f>IF(I$26&gt;'Return Waterfall'!$AJ$185/1000000,(('Cap Table'!CT49/1000000)+($AF169*($I$40/1000000))),($I$39/1000000*'Cap Table'!$BW49)+((($AJ169)/1000000)+(I$40/1000000)-($AJ$185/1000000)*$AH169))</f>
        <v>#DIV/0!</v>
      </c>
      <c r="J89" s="1079">
        <f t="shared" si="14"/>
        <v>0</v>
      </c>
      <c r="K89" s="1080" t="str">
        <f>IFERROR(XIRR($S$207:$S$212, $E$194:$E$198), "-")</f>
        <v>-</v>
      </c>
      <c r="L89" s="945"/>
      <c r="M89" s="945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</row>
    <row r="90" spans="1:25" ht="17.5" customHeight="1" thickBot="1" x14ac:dyDescent="0.55000000000000004">
      <c r="A90" s="945">
        <v>14</v>
      </c>
      <c r="B90" s="1099">
        <f t="shared" si="11"/>
        <v>0</v>
      </c>
      <c r="C90" s="1100" t="e">
        <f>IF(C$26&gt;'Return Waterfall'!$N$185/1000000,(($M170*$D$10)/1000000)+($J170*(C$26)),($C$39/1000000*'Cap Table'!$BW50)+((($N170)/1000000)+(C$40/1000000-$N$185/1000000)*'Cap Table'!$BW50))</f>
        <v>#DIV/0!</v>
      </c>
      <c r="D90" s="1079">
        <f t="shared" si="13"/>
        <v>0</v>
      </c>
      <c r="E90" s="1080" t="e">
        <f>XIRR($T$192:$T$198, $E$192:$E$198)</f>
        <v>#DIV/0!</v>
      </c>
      <c r="F90" s="1100" t="e">
        <f>IF(F$26&gt;'Return Waterfall'!$N$185/1000000,(($M170*$D$10)/1000000)+($J170*(F$26)),($C$39/1000000*'Cap Table'!$BW50)+((($N170)/1000000)+(F$40/1000000-$N$185/1000000)*$L170))</f>
        <v>#DIV/0!</v>
      </c>
      <c r="G90" s="1079">
        <f t="shared" si="12"/>
        <v>0</v>
      </c>
      <c r="H90" s="1080" t="e">
        <f>XIRR($T$206:$T$212, $E$192:$E$198)</f>
        <v>#DIV/0!</v>
      </c>
      <c r="I90" s="1100" t="e">
        <f>IF(I$26&gt;'Return Waterfall'!$AJ$185/1000000,(('Cap Table'!CT50/1000000)+($AF170*($I$40/1000000))),($I$39/1000000*'Cap Table'!$BW50)+((($AJ170)/1000000)+(I$40/1000000)-($AJ$185/1000000)*$AH170))</f>
        <v>#DIV/0!</v>
      </c>
      <c r="J90" s="1079">
        <f t="shared" si="14"/>
        <v>0</v>
      </c>
      <c r="K90" s="1080" t="e">
        <f>XIRR($T$220:$T$226, $E$192:$E$198)</f>
        <v>#DIV/0!</v>
      </c>
      <c r="L90" s="945"/>
      <c r="M90" s="945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</row>
    <row r="91" spans="1:25" ht="17.5" customHeight="1" thickBot="1" x14ac:dyDescent="0.55000000000000004">
      <c r="A91" s="945">
        <v>15</v>
      </c>
      <c r="B91" s="1099" t="str">
        <f t="shared" si="11"/>
        <v>ESOP - allocated</v>
      </c>
      <c r="C91" s="1100" t="e">
        <f>IF(C$26&gt;'Return Waterfall'!$N$185/1000000,(($M171*$D$10)/1000000)+($J171*(C$26)),($C$39/1000000*'Cap Table'!$BW51)+((($N171)/1000000)+(C$40/1000000-$N$185/1000000)*'Cap Table'!$BW51))</f>
        <v>#DIV/0!</v>
      </c>
      <c r="D91" s="1079">
        <f t="shared" si="13"/>
        <v>0</v>
      </c>
      <c r="E91" s="1080" t="e">
        <f>XIRR($U$193:$U$198, $E$193:$E$198)</f>
        <v>#DIV/0!</v>
      </c>
      <c r="F91" s="1100" t="e">
        <f>IF(F$26&gt;'Return Waterfall'!$N$185/1000000,(($M171*$D$10)/1000000)+($J171*(F$26)),($C$39/1000000*'Cap Table'!$BW51)+((($N171)/1000000)+(F$40/1000000-$N$185/1000000)*$L171))</f>
        <v>#DIV/0!</v>
      </c>
      <c r="G91" s="1079">
        <f t="shared" si="12"/>
        <v>0</v>
      </c>
      <c r="H91" s="1080" t="e">
        <f>XIRR($U$207:$U$212, $E$193:$E$198)</f>
        <v>#DIV/0!</v>
      </c>
      <c r="I91" s="1100" t="e">
        <f>IF(I$26&gt;'Return Waterfall'!$AJ$185/1000000,(('Cap Table'!CT51/1000000)+($AF171*($I$40/1000000))),($I$39/1000000*'Cap Table'!$BW51)+((($AJ171)/1000000)+(I$40/1000000)-($AJ$185/1000000)*$AH171))</f>
        <v>#DIV/0!</v>
      </c>
      <c r="J91" s="1079">
        <f t="shared" si="14"/>
        <v>0</v>
      </c>
      <c r="K91" s="1080" t="e">
        <f>XIRR($U$221:$U$226, $E$193:$E$198)</f>
        <v>#DIV/0!</v>
      </c>
      <c r="L91" s="945"/>
      <c r="M91" s="945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</row>
    <row r="92" spans="1:25" ht="17.5" customHeight="1" thickBot="1" x14ac:dyDescent="0.55000000000000004">
      <c r="A92" s="945">
        <v>16</v>
      </c>
      <c r="B92" s="1099" t="str">
        <f t="shared" si="11"/>
        <v>Available ESOP</v>
      </c>
      <c r="C92" s="1100" t="e">
        <f>IF(C$26&gt;'Return Waterfall'!$N$185/1000000,(($M172*$D$10)/1000000)+($J172*(C$26)),($C$39/1000000*'Cap Table'!$BW52)+((($N172)/1000000)+(C$40/1000000-$N$185/1000000)*'Cap Table'!$BW52))</f>
        <v>#DIV/0!</v>
      </c>
      <c r="D92" s="1079">
        <f t="shared" si="13"/>
        <v>0</v>
      </c>
      <c r="E92" s="1080" t="e">
        <f>XIRR($V$191:$V$198, $E$191:$E$198)</f>
        <v>#DIV/0!</v>
      </c>
      <c r="F92" s="1100" t="e">
        <f>IF(F$26&gt;'Return Waterfall'!$N$185/1000000,(($M172*$D$10)/1000000)+($J172*(F$26)),($C$39/1000000*'Cap Table'!$BW52)+((($N172)/1000000)+(F$40/1000000-$N$185/1000000)*$L172))</f>
        <v>#DIV/0!</v>
      </c>
      <c r="G92" s="1079">
        <f t="shared" si="12"/>
        <v>0</v>
      </c>
      <c r="H92" s="1080" t="e">
        <f>XIRR($V$205:$V$212, $E$191:$E$198)</f>
        <v>#DIV/0!</v>
      </c>
      <c r="I92" s="1100" t="e">
        <f>IF(I$26&gt;'Return Waterfall'!$AJ$185/1000000,(('Cap Table'!CT52/1000000)+($AF172*($I$40/1000000))),($I$39/1000000*'Cap Table'!$BW52)+((($AJ172)/1000000)+(I$40/1000000)-($AJ$185/1000000)*$AH172))</f>
        <v>#DIV/0!</v>
      </c>
      <c r="J92" s="1079">
        <f t="shared" si="14"/>
        <v>0</v>
      </c>
      <c r="K92" s="1080" t="e">
        <f>XIRR($V$219:$V$226, $E$191:$E$198)</f>
        <v>#DIV/0!</v>
      </c>
      <c r="L92" s="945"/>
      <c r="M92" s="945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</row>
    <row r="93" spans="1:25" ht="17.5" customHeight="1" thickBot="1" x14ac:dyDescent="0.55000000000000004">
      <c r="A93" s="945">
        <v>17</v>
      </c>
      <c r="B93" s="1099" t="str">
        <f t="shared" si="11"/>
        <v>New ESOP</v>
      </c>
      <c r="C93" s="1100" t="str">
        <f>IFERROR(IF(C$26&gt;'Return Waterfall'!$N$185/1000000,(($M173*$D$10)/1000000)+($J173*(C$26)),($C$39/1000000*'Cap Table'!$BW53)+((($N173)/1000000)+(C$40/1000000-$N$185/1000000)*'Cap Table'!$BW53)), "-")</f>
        <v>-</v>
      </c>
      <c r="D93" s="1079">
        <f t="shared" si="13"/>
        <v>0</v>
      </c>
      <c r="E93" s="1080" t="str">
        <f>IFERROR(XIRR($W$193:$W$198, $E$193:$E$198), "-")</f>
        <v>-</v>
      </c>
      <c r="F93" s="1100" t="s">
        <v>238</v>
      </c>
      <c r="G93" s="1079">
        <f t="shared" si="12"/>
        <v>0</v>
      </c>
      <c r="H93" s="1080" t="str">
        <f>IFERROR(XIRR($W$207:$W$212, $E$193:$E$198), "-")</f>
        <v>-</v>
      </c>
      <c r="I93" s="1100" t="e">
        <f>IF(I$26&gt;'Return Waterfall'!$AJ$185/1000000,(('Cap Table'!CT53/1000000)+($AF173*($I$40/1000000))),($I$39/1000000*'Cap Table'!$BW53)+((($AJ173)/1000000)+(I$40/1000000)-($AJ$185/1000000)*$AH173))</f>
        <v>#DIV/0!</v>
      </c>
      <c r="J93" s="1079">
        <f t="shared" si="14"/>
        <v>0</v>
      </c>
      <c r="K93" s="1080" t="str">
        <f>IFERROR(XIRR($W$221:$W$226, $E$193:$E$198), "-")</f>
        <v>-</v>
      </c>
      <c r="L93" s="945"/>
      <c r="M93" s="945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</row>
    <row r="94" spans="1:25" ht="17.5" customHeight="1" thickBot="1" x14ac:dyDescent="0.55000000000000004">
      <c r="A94" s="945">
        <v>18</v>
      </c>
      <c r="B94" s="1099">
        <f t="shared" si="11"/>
        <v>0</v>
      </c>
      <c r="C94" s="1100" t="e">
        <f>IF(C$26&gt;'Return Waterfall'!$N$185/1000000,(($M174*$D$10)/1000000)+($J174*(C$26)),($C$39/1000000*'Cap Table'!$BW54)+((($N174)/1000000)+(C$40/1000000-$N$185/1000000)*'Cap Table'!$BW54))</f>
        <v>#DIV/0!</v>
      </c>
      <c r="D94" s="1079">
        <f t="shared" si="13"/>
        <v>0</v>
      </c>
      <c r="E94" s="1080" t="str">
        <f>IFERROR(XIRR($X$191:$X$198, $E$191:$E$198), "-")</f>
        <v>-</v>
      </c>
      <c r="F94" s="1100" t="e">
        <f>IF(F$26&gt;'Return Waterfall'!$N$185/1000000,(($M174*$D$10)/1000000)+($J174*(F$26)),($C$39/1000000*'Cap Table'!$BW54)+((($N174)/1000000)+(F$40/1000000-$N$185/1000000)*$L174))</f>
        <v>#DIV/0!</v>
      </c>
      <c r="G94" s="1079">
        <f t="shared" si="12"/>
        <v>0</v>
      </c>
      <c r="H94" s="1080" t="str">
        <f>IFERROR(XIRR($X$205:$X$212, $E$191:$E$198), "-")</f>
        <v>-</v>
      </c>
      <c r="I94" s="1100" t="e">
        <f>IF(I$26&gt;'Return Waterfall'!$AJ$185/1000000,(('Cap Table'!CT54/1000000)+($AF174*($I$40/1000000))),($I$39/1000000*'Cap Table'!$BW54)+((($AJ174)/1000000)+(I$40/1000000)-($AJ$185/1000000)*$AH174))</f>
        <v>#DIV/0!</v>
      </c>
      <c r="J94" s="1079">
        <f t="shared" si="14"/>
        <v>0</v>
      </c>
      <c r="K94" s="1080" t="e">
        <f>XIRR($X$219:$X$226, $E$191:$E$198)</f>
        <v>#DIV/0!</v>
      </c>
      <c r="L94" s="945"/>
      <c r="M94" s="945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</row>
    <row r="95" spans="1:25" ht="17.5" customHeight="1" thickBot="1" x14ac:dyDescent="0.55000000000000004">
      <c r="A95" s="945">
        <v>19</v>
      </c>
      <c r="B95" s="1099"/>
      <c r="C95" s="1100" t="e">
        <f>IF(C$26&gt;'Return Waterfall'!$N$185/1000000,(($M175*$D$10)/1000000)+($J175*(C$26)),($C$39/1000000*'Cap Table'!$BW55)+((($N175)/1000000)+(C$40/1000000-$N$185/1000000)*'Cap Table'!$BW55))</f>
        <v>#DIV/0!</v>
      </c>
      <c r="D95" s="1079">
        <f t="shared" si="13"/>
        <v>0</v>
      </c>
      <c r="E95" s="1080" t="str">
        <f>IFERROR(XIRR($Y$190:$Y$198, $E$190:$E$198), "-")</f>
        <v>-</v>
      </c>
      <c r="F95" s="1100" t="e">
        <f>IF(F$26&gt;'Return Waterfall'!$N$185/1000000,(($M175*$D$10)/1000000)+($J175*(F$26)),($C$39/1000000*'Cap Table'!$BW55)+((($N175)/1000000)+(F$40/1000000-$N$185/1000000)*$L175))</f>
        <v>#DIV/0!</v>
      </c>
      <c r="G95" s="1079">
        <f>IFERROR((F95)/($M175/1000000), 0)</f>
        <v>0</v>
      </c>
      <c r="H95" s="1080" t="str">
        <f>IFERROR(XIRR($Y$190:$Y$198, $E$190:$E$198), "-")</f>
        <v>-</v>
      </c>
      <c r="I95" s="1100" t="e">
        <f>IF(I$26&gt;'Return Waterfall'!$AJ$185/1000000,(('Cap Table'!CT55/1000000)+($AF175*($I$40/1000000))),($I$39/1000000*'Cap Table'!$BW55)+((($AJ175)/1000000)+(I$40/1000000)-($AJ$185/1000000)*$AH175))</f>
        <v>#DIV/0!</v>
      </c>
      <c r="J95" s="1079">
        <f t="shared" si="14"/>
        <v>0</v>
      </c>
      <c r="K95" s="1080" t="str">
        <f>IFERROR(XIRR($Y$190:$Y$198, $E$190:$E$198), "-")</f>
        <v>-</v>
      </c>
      <c r="L95" s="945"/>
      <c r="M95" s="945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</row>
    <row r="96" spans="1:25" ht="17.5" customHeight="1" thickBot="1" x14ac:dyDescent="0.55000000000000004">
      <c r="A96" s="945">
        <v>20</v>
      </c>
      <c r="B96" s="1099" t="str">
        <f t="shared" ref="B96:B104" si="15">H176</f>
        <v>CHECK</v>
      </c>
      <c r="C96" s="1100" t="e">
        <f>IF(C$26&gt;'Return Waterfall'!$N$185/1000000,(($M176*$D$10)/1000000)+($J176*(C$26)),($C$39/1000000*'Cap Table'!$BW56)+((($N176)/1000000)+(C$40/1000000-$N$185/1000000)*'Cap Table'!$BW56))</f>
        <v>#DIV/0!</v>
      </c>
      <c r="D96" s="1079">
        <f t="shared" si="13"/>
        <v>0</v>
      </c>
      <c r="E96" s="1080" t="str">
        <f>IFERROR(XIRR($Z$196:$Z$198, $E$196:$E$198), "-")</f>
        <v>-</v>
      </c>
      <c r="F96" s="1100" t="e">
        <f>IF(F$26&gt;'Return Waterfall'!$N$185/1000000,(($M176*$D$10)/1000000)+($J176*(F$26)),($C$39/1000000*'Cap Table'!$BW56)+((($N176)/1000000)+(F$40/1000000-$N$185/1000000)*$L176))</f>
        <v>#DIV/0!</v>
      </c>
      <c r="G96" s="1079">
        <f>IFERROR((F96)/($M176/1000000), 0)</f>
        <v>0</v>
      </c>
      <c r="H96" s="1080" t="str">
        <f>IFERROR(XIRR($Z$210:$Z$212, $E$196:$E$198), "-")</f>
        <v>-</v>
      </c>
      <c r="I96" s="1100" t="e">
        <f>IF(I$26&gt;'Return Waterfall'!$AJ$185/1000000,(('Cap Table'!CT56/1000000)+($AF176*($I$40/1000000))),($I$39/1000000*'Cap Table'!$BW56)+((($AJ176)/1000000)+(I$40/1000000)-($AJ$185/1000000)*$AH176))</f>
        <v>#DIV/0!</v>
      </c>
      <c r="J96" s="1079">
        <f t="shared" si="14"/>
        <v>0</v>
      </c>
      <c r="K96" s="1080" t="e">
        <f>XIRR($Z$224:$Z$226, $E$196:$E$198)</f>
        <v>#DIV/0!</v>
      </c>
      <c r="L96" s="945"/>
      <c r="M96" s="945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</row>
    <row r="97" spans="1:25" ht="17.5" customHeight="1" thickBot="1" x14ac:dyDescent="0.55000000000000004">
      <c r="A97" s="945">
        <v>21</v>
      </c>
      <c r="B97" s="1099">
        <f t="shared" si="15"/>
        <v>0</v>
      </c>
      <c r="C97" s="1100" t="e">
        <f>IF(C$26&gt;'Return Waterfall'!$N$185/1000000,(($M177*$D$10)/1000000)+($J177*(C$26)),($C$39/1000000*'Cap Table'!$BW57)+((($N177)/1000000)+(C$40/1000000-$N$185/1000000)*'Cap Table'!$BW57))</f>
        <v>#DIV/0!</v>
      </c>
      <c r="D97" s="1079">
        <f t="shared" si="13"/>
        <v>0</v>
      </c>
      <c r="E97" s="1080" t="e">
        <f>XIRR($AA$196:$AA$198, $E$196:$E$198)</f>
        <v>#DIV/0!</v>
      </c>
      <c r="F97" s="1100" t="e">
        <f>IF(F$26&gt;'Return Waterfall'!$N$185/1000000,(($M177*$D$10)/1000000)+($J177*(F$26)),($C$39/1000000*'Cap Table'!$BW57)+((($N177)/1000000)+(F$40/1000000-$N$185/1000000)*$L177))</f>
        <v>#DIV/0!</v>
      </c>
      <c r="G97" s="1079">
        <f>IFERROR((F97)/($M177/1000000), 0)</f>
        <v>0</v>
      </c>
      <c r="H97" s="1080" t="e">
        <f>XIRR($AA$210:$AA$212, $E$196:$E$198)</f>
        <v>#DIV/0!</v>
      </c>
      <c r="I97" s="1100" t="e">
        <f>IF(I$26&gt;'Return Waterfall'!$AJ$185/1000000,(('Cap Table'!CT57/1000000)+($AF177*($I$40/1000000))),($I$39/1000000*'Cap Table'!$BW57)+((($AJ177)/1000000)+(I$40/1000000)-($AJ$185/1000000)*$AH177))</f>
        <v>#DIV/0!</v>
      </c>
      <c r="J97" s="1079">
        <f t="shared" si="14"/>
        <v>0</v>
      </c>
      <c r="K97" s="1080" t="e">
        <f>XIRR($AA$224:$AA$226, $E$196:$E$198)</f>
        <v>#DIV/0!</v>
      </c>
      <c r="L97" s="945"/>
      <c r="M97" s="945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</row>
    <row r="98" spans="1:25" ht="17.5" customHeight="1" thickBot="1" x14ac:dyDescent="0.55000000000000004">
      <c r="A98" s="945">
        <v>22</v>
      </c>
      <c r="B98" s="1099">
        <f t="shared" si="15"/>
        <v>0</v>
      </c>
      <c r="C98" s="1100" t="e">
        <f>IF(C$26&gt;'Return Waterfall'!$N$185/1000000,(($M178*$D$10)/1000000)+($J178*(C$26)),($C$39/1000000*'Cap Table'!$BW58)+((($N178)/1000000)+(C$40/1000000-$N$185/1000000)*'Cap Table'!$BW58))</f>
        <v>#DIV/0!</v>
      </c>
      <c r="D98" s="1079">
        <f t="shared" si="13"/>
        <v>0</v>
      </c>
      <c r="E98" s="1080" t="e">
        <f>XIRR($AA$196:$AA$198, $E$196:$E$198)</f>
        <v>#DIV/0!</v>
      </c>
      <c r="F98" s="1100" t="e">
        <f>IF(F$26&gt;'Return Waterfall'!$N$185/1000000,(($M178*$D$10)/1000000)+($J178*(F$26)),($C$39/1000000*'Cap Table'!$BW58)+((($N178)/1000000)+(F$40/1000000-$N$185/1000000)*$L178))</f>
        <v>#DIV/0!</v>
      </c>
      <c r="G98" s="1079">
        <f>IFERROR((F98)/($M178/1000000), 0)</f>
        <v>0</v>
      </c>
      <c r="H98" s="1080" t="e">
        <f>XIRR($AA$210:$AA$212, $E$196:$E$198)</f>
        <v>#DIV/0!</v>
      </c>
      <c r="I98" s="1100" t="e">
        <f>IF(I$26&gt;'Return Waterfall'!$AJ$185/1000000,(('Cap Table'!CT58/1000000)+($AF178*($I$40/1000000))),($I$39/1000000*'Cap Table'!$BW58)+((($AJ178)/1000000)+(I$40/1000000)-($AJ$185/1000000)*$AH178))</f>
        <v>#DIV/0!</v>
      </c>
      <c r="J98" s="1079">
        <f t="shared" si="14"/>
        <v>0</v>
      </c>
      <c r="K98" s="1080" t="e">
        <f>XIRR($AA$224:$AA$226, $E$196:$E$198)</f>
        <v>#DIV/0!</v>
      </c>
      <c r="L98" s="945"/>
      <c r="M98" s="945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</row>
    <row r="99" spans="1:25" ht="17.5" customHeight="1" thickBot="1" x14ac:dyDescent="0.55000000000000004">
      <c r="A99" s="945">
        <v>23</v>
      </c>
      <c r="B99" s="1099">
        <f t="shared" si="15"/>
        <v>0</v>
      </c>
      <c r="C99" s="1100" t="e">
        <f>IF(C$26&gt;'Return Waterfall'!$N$185/1000000,(($M179*$D$10)/1000000)+($J179*(C$26)),($C$39/1000000*'Cap Table'!$BW59)+((($N179)/1000000)+(C$40/1000000-$N$185/1000000)*'Cap Table'!$BW59))</f>
        <v>#DIV/0!</v>
      </c>
      <c r="D99" s="1079">
        <f>IFERROR((C99)/($M179/1000000), 0)</f>
        <v>0</v>
      </c>
      <c r="E99" s="1080" t="str">
        <f>IFERROR(XIRR($AC$190:$AC$198, $E$190:$E$198), "-")</f>
        <v>-</v>
      </c>
      <c r="F99" s="1100" t="e">
        <f>IF(F$26&gt;'Return Waterfall'!$N$185/1000000,(($M179*$D$10)/1000000)+($J179*(F$26)),($C$39/1000000*'Cap Table'!$BW59)+((($N179)/1000000)+(F$40/1000000-$N$185/1000000)*$L179))</f>
        <v>#DIV/0!</v>
      </c>
      <c r="G99" s="1079">
        <f>IFERROR((F99)/($M179/1000000), 0)</f>
        <v>0</v>
      </c>
      <c r="H99" s="1080" t="str">
        <f>IFERROR(XIRR($AC$204:$AC$212, $E$190:$E$198), "-")</f>
        <v>-</v>
      </c>
      <c r="I99" s="1100" t="e">
        <f>IF(I$26&gt;'Return Waterfall'!$AJ$185/1000000,(('Cap Table'!CT59/1000000)+($AF179*($I$40/1000000))),($I$39/1000000*'Cap Table'!$BW59)+((($AJ179)/1000000)+(I$40/1000000)-($AJ$185/1000000)*$AH179))</f>
        <v>#DIV/0!</v>
      </c>
      <c r="J99" s="1079">
        <f t="shared" si="14"/>
        <v>0</v>
      </c>
      <c r="K99" s="1080" t="e">
        <f>XIRR($AC$218:$AC$226, $E$190:$E$198)</f>
        <v>#DIV/0!</v>
      </c>
      <c r="L99" s="945"/>
      <c r="M99" s="945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</row>
    <row r="100" spans="1:25" ht="17.5" customHeight="1" thickBot="1" x14ac:dyDescent="0.55000000000000004">
      <c r="A100" s="945">
        <v>24</v>
      </c>
      <c r="B100" s="1099">
        <f t="shared" si="15"/>
        <v>0</v>
      </c>
      <c r="C100" s="1100" t="e">
        <f>IF(C$26&gt;'Return Waterfall'!$N$185/1000000,(($M180*$D$10)/1000000)+($J180*(C$26)),($C$39/1000000*'Cap Table'!$BW60)+((($N180)/1000000)+(C$40/1000000-$N$185/1000000)*'Cap Table'!$BW60))</f>
        <v>#DIV/0!</v>
      </c>
      <c r="D100" s="1079"/>
      <c r="E100" s="1080"/>
      <c r="F100" s="1100" t="e">
        <f>IF(F$26&gt;'Return Waterfall'!$N$185/1000000,(($M180*$D$10)/1000000)+($J180*(F$26)),($C$39/1000000*'Cap Table'!$BW60)+((($N180)/1000000)+(F$40/1000000-$N$185/1000000)*$L180))</f>
        <v>#DIV/0!</v>
      </c>
      <c r="G100" s="1079"/>
      <c r="H100" s="1080"/>
      <c r="I100" s="1100" t="e">
        <f>IF(I$26&gt;'Return Waterfall'!$AJ$185/1000000,(('Cap Table'!CT60/1000000)+($AF180*($I$40/1000000))),($I$39/1000000*'Cap Table'!$BW60)+((($AJ180)/1000000)+(I$40/1000000)-($AJ$185/1000000)*$AH180))</f>
        <v>#DIV/0!</v>
      </c>
      <c r="J100" s="1079"/>
      <c r="K100" s="1080"/>
      <c r="L100" s="945"/>
      <c r="M100" s="945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</row>
    <row r="101" spans="1:25" ht="17.5" customHeight="1" thickBot="1" x14ac:dyDescent="0.55000000000000004">
      <c r="A101" s="945"/>
      <c r="B101" s="1099" t="str">
        <f t="shared" si="15"/>
        <v>Warrants</v>
      </c>
      <c r="C101" s="1100" t="e">
        <f>IF(C$26&gt;'Return Waterfall'!$N$185/1000000,(($M181*$D$10)/1000000)+($J181*(C$26)),($C$39/1000000*'Cap Table'!$BW61)+((($N181)/1000000)+(C$40/1000000-$N$185/1000000)*$L181))</f>
        <v>#DIV/0!</v>
      </c>
      <c r="D101" s="1079"/>
      <c r="E101" s="1101"/>
      <c r="F101" s="1100" t="e">
        <f>IF(F$26&gt;'Return Waterfall'!$N$185/1000000,(($M181*$D$10)/1000000)+($J181*(F$26)),($C$39/1000000*'Cap Table'!$BW61)+((($N181)/1000000)+(F$40/1000000-$N$185/1000000)*$L181))</f>
        <v>#DIV/0!</v>
      </c>
      <c r="G101" s="1079"/>
      <c r="H101" s="1101"/>
      <c r="I101" s="1100" t="e">
        <f>IF(I$26&gt;'Return Waterfall'!$AJ$185/1000000,(('Cap Table'!CT61/1000000)+($AF181*($I$40/1000000))),($I$39/1000000*'Cap Table'!$BW61)+((($AJ181)/1000000)+(I$40/1000000)-($AJ$185/1000000)*$AH181))</f>
        <v>#DIV/0!</v>
      </c>
      <c r="J101" s="1079"/>
      <c r="K101" s="1101"/>
      <c r="L101" s="945"/>
      <c r="M101" s="945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</row>
    <row r="102" spans="1:25" ht="17.5" customHeight="1" thickBot="1" x14ac:dyDescent="0.55000000000000004">
      <c r="A102" s="945"/>
      <c r="B102" s="1099" t="str">
        <f t="shared" si="15"/>
        <v>Allocated</v>
      </c>
      <c r="C102" s="1100" t="e">
        <f>IF(C$26&gt;'Return Waterfall'!$N$185/1000000,(($M182*$D$10)/1000000)+($J182*(C$26)),($C$39/1000000*'Cap Table'!$BW62)+((($N182)/1000000)+(C$40/1000000-$N$185/1000000)*$L182))</f>
        <v>#DIV/0!</v>
      </c>
      <c r="D102" s="1079"/>
      <c r="E102" s="1101"/>
      <c r="F102" s="1100" t="e">
        <f>IF(F$26&gt;'Return Waterfall'!$N$185/1000000,(($M182*$D$10)/1000000)+($J182*(F$26)),($C$39/1000000*'Cap Table'!$BW62)+((($N182)/1000000)+(F$40/1000000-$N$185/1000000)*$L182))</f>
        <v>#DIV/0!</v>
      </c>
      <c r="G102" s="1079"/>
      <c r="H102" s="1101"/>
      <c r="I102" s="1100" t="e">
        <f>IF(I$26&gt;'Return Waterfall'!$AJ$185/1000000,(('Cap Table'!CT62/1000000)+($AF182*($I$40/1000000))),($I$39/1000000*'Cap Table'!$BW62)+((($AJ182)/1000000)+(I$40/1000000)-($AJ$185/1000000)*$AH182))</f>
        <v>#DIV/0!</v>
      </c>
      <c r="J102" s="1079"/>
      <c r="K102" s="1101"/>
      <c r="L102" s="945"/>
      <c r="M102" s="945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</row>
    <row r="103" spans="1:25" ht="17.5" customHeight="1" thickBot="1" x14ac:dyDescent="0.55000000000000004">
      <c r="A103" s="945"/>
      <c r="B103" s="1099" t="str">
        <f t="shared" si="15"/>
        <v>Available ESOP</v>
      </c>
      <c r="C103" s="1100" t="e">
        <f>IF(C$26&gt;'Return Waterfall'!$N$185/1000000,(($M183*$D$10)/1000000)+($J183*(C$26)),($C$39/1000000*'Cap Table'!$BW63)+((($N183)/1000000)+(C$40/1000000-$N$185/1000000)*$L183))</f>
        <v>#DIV/0!</v>
      </c>
      <c r="D103" s="1079"/>
      <c r="E103" s="1101"/>
      <c r="F103" s="1100" t="e">
        <f>IF(F$26&gt;'Return Waterfall'!$N$185/1000000,(($M183*$D$10)/1000000)+($J183*(F$26)),($C$39/1000000*'Cap Table'!$BW63)+((($N183)/1000000)+(F$40/1000000-$N$185/1000000)*$L183))</f>
        <v>#DIV/0!</v>
      </c>
      <c r="G103" s="1079"/>
      <c r="H103" s="1101"/>
      <c r="I103" s="1100" t="e">
        <f>IF(I$26&gt;'Return Waterfall'!$AJ$185/1000000,(('Cap Table'!CT63/1000000)+($AF183*($I$40/1000000))),($I$39/1000000*'Cap Table'!$BW63)+((($AJ183)/1000000)+(I$40/1000000)-($AJ$185/1000000)*$AH183))</f>
        <v>#DIV/0!</v>
      </c>
      <c r="J103" s="1079"/>
      <c r="K103" s="1101"/>
      <c r="L103" s="945"/>
      <c r="M103" s="945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</row>
    <row r="104" spans="1:25" ht="17.5" customHeight="1" thickBot="1" x14ac:dyDescent="0.55000000000000004">
      <c r="A104" s="945"/>
      <c r="B104" s="1099" t="str">
        <f t="shared" si="15"/>
        <v>New ESOP</v>
      </c>
      <c r="C104" s="1100" t="e">
        <f>IF(C$26&gt;'Return Waterfall'!$N$185/1000000,(($M184*$D$10)/1000000)+($J184*(C$26)),($C$39/1000000*'Cap Table'!$BW64)+((($N184)/1000000)+(C$40/1000000-$N$185/1000000)*$L184))</f>
        <v>#DIV/0!</v>
      </c>
      <c r="D104" s="1079"/>
      <c r="E104" s="1101"/>
      <c r="F104" s="1100" t="e">
        <f>IF(F$26&gt;'Return Waterfall'!$N$185/1000000,(($M184*$D$10)/1000000)+($J184*(F$26)),($C$39/1000000*'Cap Table'!$BW64)+((($N184)/1000000)+(F$40/1000000-$N$185/1000000)*$L184))</f>
        <v>#DIV/0!</v>
      </c>
      <c r="G104" s="1079"/>
      <c r="H104" s="1101"/>
      <c r="I104" s="1100" t="e">
        <f>IF(I$26&gt;'Return Waterfall'!$AJ$185/1000000,(('Cap Table'!CT64/1000000)+($AF184*($I$40/1000000))),($I$39/1000000*'Cap Table'!$BW64)+((($AJ184)/1000000)+(I$40/1000000)-($AJ$185/1000000)*$AH184))</f>
        <v>#DIV/0!</v>
      </c>
      <c r="J104" s="1079"/>
      <c r="K104" s="1101"/>
      <c r="L104" s="945"/>
      <c r="M104" s="945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</row>
    <row r="105" spans="1:25" ht="17.5" customHeight="1" thickBot="1" x14ac:dyDescent="0.55000000000000004">
      <c r="A105" s="945"/>
      <c r="B105" s="1085" t="s">
        <v>78</v>
      </c>
      <c r="C105" s="1102" t="e">
        <f>SUM(C77:C104)</f>
        <v>#DIV/0!</v>
      </c>
      <c r="D105" s="1087">
        <f>AVERAGE(D77:D100)</f>
        <v>0</v>
      </c>
      <c r="E105" s="1103"/>
      <c r="F105" s="1102" t="e">
        <f>SUM(F77:F104)</f>
        <v>#DIV/0!</v>
      </c>
      <c r="G105" s="1087">
        <f>AVERAGE(G77:G99)</f>
        <v>0</v>
      </c>
      <c r="H105" s="1103"/>
      <c r="I105" s="1102" t="e">
        <f>SUM(I77:I104)</f>
        <v>#DIV/0!</v>
      </c>
      <c r="J105" s="1087">
        <f>AVERAGE(J77:J99)</f>
        <v>0</v>
      </c>
      <c r="K105" s="1103"/>
      <c r="L105" s="945"/>
      <c r="M105" s="945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</row>
    <row r="106" spans="1:25" s="945" customFormat="1" x14ac:dyDescent="0.35"/>
    <row r="107" spans="1:25" s="945" customFormat="1" x14ac:dyDescent="0.35">
      <c r="F107" s="945" t="s">
        <v>286</v>
      </c>
    </row>
    <row r="108" spans="1:25" s="945" customFormat="1" x14ac:dyDescent="0.35">
      <c r="C108" s="1052"/>
    </row>
    <row r="109" spans="1:25" s="945" customFormat="1" x14ac:dyDescent="0.35">
      <c r="E109" s="945" t="s">
        <v>286</v>
      </c>
    </row>
    <row r="110" spans="1:25" s="945" customFormat="1" x14ac:dyDescent="0.35"/>
    <row r="111" spans="1:25" s="945" customFormat="1" x14ac:dyDescent="0.35"/>
    <row r="112" spans="1:25" s="945" customFormat="1" x14ac:dyDescent="0.35"/>
    <row r="113" spans="2:36" s="945" customFormat="1" x14ac:dyDescent="0.35"/>
    <row r="114" spans="2:36" s="945" customFormat="1" x14ac:dyDescent="0.35"/>
    <row r="115" spans="2:36" s="945" customFormat="1" x14ac:dyDescent="0.35"/>
    <row r="116" spans="2:36" ht="15.5" outlineLevel="1" x14ac:dyDescent="0.35">
      <c r="B116" s="1104"/>
      <c r="C116" s="275"/>
      <c r="D116" s="275"/>
      <c r="E116" s="1105"/>
      <c r="F116" s="275"/>
      <c r="G116" s="275"/>
      <c r="H116" s="275"/>
      <c r="I116" s="275"/>
    </row>
    <row r="117" spans="2:36" outlineLevel="1" x14ac:dyDescent="0.35">
      <c r="H117" t="s">
        <v>319</v>
      </c>
      <c r="L117" t="s">
        <v>286</v>
      </c>
      <c r="R117" t="s">
        <v>320</v>
      </c>
      <c r="AD117" t="s">
        <v>321</v>
      </c>
    </row>
    <row r="118" spans="2:36" ht="17.149999999999999" customHeight="1" outlineLevel="1" x14ac:dyDescent="0.35">
      <c r="G118" t="s">
        <v>322</v>
      </c>
      <c r="H118" s="1106" t="s">
        <v>323</v>
      </c>
      <c r="I118" s="1107"/>
      <c r="J118" s="1107"/>
      <c r="K118" s="1107"/>
      <c r="L118" s="1107"/>
      <c r="M118" s="1107"/>
      <c r="N118" s="1108"/>
      <c r="R118" s="1106" t="s">
        <v>323</v>
      </c>
      <c r="S118" s="1107"/>
      <c r="T118" s="1107"/>
      <c r="U118" s="1107"/>
      <c r="V118" s="1107"/>
      <c r="W118" s="1107"/>
      <c r="X118" s="1108"/>
      <c r="AD118" s="1106" t="s">
        <v>323</v>
      </c>
      <c r="AE118" s="1107"/>
      <c r="AF118" s="1107"/>
      <c r="AG118" s="1107"/>
      <c r="AH118" s="1107"/>
      <c r="AI118" s="1107"/>
      <c r="AJ118" s="1108"/>
    </row>
    <row r="119" spans="2:36" ht="15.5" outlineLevel="1" x14ac:dyDescent="0.35">
      <c r="H119" s="711" t="s">
        <v>324</v>
      </c>
      <c r="I119" s="711" t="s">
        <v>325</v>
      </c>
      <c r="J119" s="711" t="s">
        <v>326</v>
      </c>
      <c r="K119" s="711" t="s">
        <v>327</v>
      </c>
      <c r="L119" s="711" t="s">
        <v>328</v>
      </c>
      <c r="M119" s="711" t="s">
        <v>329</v>
      </c>
      <c r="N119" s="1109" t="s">
        <v>330</v>
      </c>
      <c r="R119" s="711" t="s">
        <v>324</v>
      </c>
      <c r="S119" s="711" t="s">
        <v>325</v>
      </c>
      <c r="T119" s="711" t="s">
        <v>326</v>
      </c>
      <c r="U119" s="711" t="s">
        <v>327</v>
      </c>
      <c r="V119" s="711" t="s">
        <v>328</v>
      </c>
      <c r="W119" s="711" t="s">
        <v>329</v>
      </c>
      <c r="X119" s="1109" t="s">
        <v>330</v>
      </c>
      <c r="AD119" s="711" t="s">
        <v>324</v>
      </c>
      <c r="AE119" s="711" t="s">
        <v>325</v>
      </c>
      <c r="AF119" s="711" t="s">
        <v>326</v>
      </c>
      <c r="AG119" s="711" t="s">
        <v>327</v>
      </c>
      <c r="AH119" s="711" t="s">
        <v>328</v>
      </c>
      <c r="AI119" s="711" t="s">
        <v>329</v>
      </c>
      <c r="AJ119" s="1109" t="s">
        <v>330</v>
      </c>
    </row>
    <row r="120" spans="2:36" outlineLevel="1" x14ac:dyDescent="0.35">
      <c r="H120" s="1110" t="s">
        <v>331</v>
      </c>
      <c r="I120" s="1111"/>
      <c r="J120" s="1112"/>
      <c r="N120" s="952"/>
      <c r="R120" s="1110" t="s">
        <v>331</v>
      </c>
      <c r="S120" s="1111"/>
      <c r="T120" s="1112" t="e">
        <f>S120/'Cap Table'!$CJ$55</f>
        <v>#DIV/0!</v>
      </c>
      <c r="X120" s="952"/>
      <c r="AD120" s="1110" t="s">
        <v>331</v>
      </c>
      <c r="AE120" s="1111"/>
      <c r="AF120" s="1112" t="e">
        <f>AE120/'Cap Table'!$CJ$55</f>
        <v>#DIV/0!</v>
      </c>
      <c r="AJ120" s="952"/>
    </row>
    <row r="121" spans="2:36" outlineLevel="1" x14ac:dyDescent="0.35">
      <c r="H121" s="1114" t="str">
        <f>'Cap Table'!$H$15</f>
        <v>Seed Prfrd</v>
      </c>
      <c r="I121" s="1111">
        <f>'Cap Table'!$H$101+'Cap Table'!$I$101</f>
        <v>0</v>
      </c>
      <c r="J121" s="1113" t="e">
        <f>I121/$I$134</f>
        <v>#DIV/0!</v>
      </c>
      <c r="K121" s="1115">
        <f>'Cap Table'!$H$18</f>
        <v>3</v>
      </c>
      <c r="L121" s="1116" t="e">
        <f>'Cap Table'!$H$101/'Cap Table'!$CO$101</f>
        <v>#DIV/0!</v>
      </c>
      <c r="M121" s="1117">
        <f>'Cap Table'!$J$101</f>
        <v>0</v>
      </c>
      <c r="N121" s="1118">
        <f>Seniority!$J$105</f>
        <v>0</v>
      </c>
      <c r="R121" s="1114" t="str">
        <f>'Cap Table'!$H$15</f>
        <v>Seed Prfrd</v>
      </c>
      <c r="S121" s="1111">
        <f>'Cap Table'!$H$101+'Cap Table'!$I$101</f>
        <v>0</v>
      </c>
      <c r="T121" s="1113" t="e">
        <f>S121/$I$134</f>
        <v>#DIV/0!</v>
      </c>
      <c r="U121" s="1115">
        <f>'Cap Table'!$H$18</f>
        <v>3</v>
      </c>
      <c r="V121" s="1116" t="e">
        <f>'Cap Table'!$H$101/'Cap Table'!$CO$101</f>
        <v>#DIV/0!</v>
      </c>
      <c r="W121" s="1117">
        <f>'Cap Table'!$J$101</f>
        <v>0</v>
      </c>
      <c r="X121" s="1118">
        <f>Seniority!$J$105</f>
        <v>0</v>
      </c>
      <c r="AD121" s="1114" t="str">
        <f>'Cap Table'!$H$15</f>
        <v>Seed Prfrd</v>
      </c>
      <c r="AE121" s="1111">
        <f>'Cap Table'!$H$101+'Cap Table'!$I$101</f>
        <v>0</v>
      </c>
      <c r="AF121" s="1113" t="e">
        <f>AE121/$I$134</f>
        <v>#DIV/0!</v>
      </c>
      <c r="AG121" s="1115">
        <f>'Cap Table'!$H$18</f>
        <v>3</v>
      </c>
      <c r="AH121" s="1116" t="e">
        <f>'Cap Table'!$H$101/'Cap Table'!$CO$101</f>
        <v>#DIV/0!</v>
      </c>
      <c r="AI121" s="1117">
        <f>'Cap Table'!$J$101</f>
        <v>0</v>
      </c>
      <c r="AJ121" s="1118">
        <f>Seniority!$J$105</f>
        <v>0</v>
      </c>
    </row>
    <row r="122" spans="2:36" outlineLevel="1" x14ac:dyDescent="0.35">
      <c r="H122" s="1114" t="str">
        <f>'Cap Table'!$P$15</f>
        <v>Series A Prfrd</v>
      </c>
      <c r="I122" s="1111">
        <f>'Cap Table'!$P$101+'Cap Table'!$Q$101</f>
        <v>0</v>
      </c>
      <c r="J122" s="1113" t="e">
        <f t="shared" ref="J122:J133" si="16">I122/$I$134</f>
        <v>#DIV/0!</v>
      </c>
      <c r="K122" s="1115">
        <f>'Cap Table'!$P$18</f>
        <v>3</v>
      </c>
      <c r="L122" s="1116" t="e">
        <f>'Cap Table'!$P$101/'Cap Table'!$CO$101</f>
        <v>#DIV/0!</v>
      </c>
      <c r="M122" s="1117">
        <f>'Cap Table'!$R$101</f>
        <v>0</v>
      </c>
      <c r="N122" s="1118">
        <f>Seniority!$R$105</f>
        <v>0</v>
      </c>
      <c r="R122" s="1114" t="str">
        <f>'Cap Table'!$P$15</f>
        <v>Series A Prfrd</v>
      </c>
      <c r="S122" s="1111">
        <f>'Cap Table'!$P$101+'Cap Table'!$Q$101</f>
        <v>0</v>
      </c>
      <c r="T122" s="1113" t="e">
        <f t="shared" ref="T122:T133" si="17">S122/$I$134</f>
        <v>#DIV/0!</v>
      </c>
      <c r="U122" s="1115">
        <f>'Cap Table'!$P$18</f>
        <v>3</v>
      </c>
      <c r="V122" s="1116" t="e">
        <f>'Cap Table'!$P$101/'Cap Table'!$CO$101</f>
        <v>#DIV/0!</v>
      </c>
      <c r="W122" s="1117">
        <f>'Cap Table'!$R$101</f>
        <v>0</v>
      </c>
      <c r="X122" s="1118">
        <f>Seniority!$R$105</f>
        <v>0</v>
      </c>
      <c r="AD122" s="1114" t="str">
        <f>'Cap Table'!$P$15</f>
        <v>Series A Prfrd</v>
      </c>
      <c r="AE122" s="1111">
        <f>'Cap Table'!$P$101+'Cap Table'!$Q$101</f>
        <v>0</v>
      </c>
      <c r="AF122" s="1113" t="e">
        <f t="shared" ref="AF122:AF133" si="18">AE122/$I$134</f>
        <v>#DIV/0!</v>
      </c>
      <c r="AG122" s="1115">
        <f>'Cap Table'!$P$18</f>
        <v>3</v>
      </c>
      <c r="AH122" s="1116" t="e">
        <f>'Cap Table'!$P$101/'Cap Table'!$CO$101</f>
        <v>#DIV/0!</v>
      </c>
      <c r="AI122" s="1117">
        <f>'Cap Table'!$R$101</f>
        <v>0</v>
      </c>
      <c r="AJ122" s="1118">
        <f>Seniority!$R$105</f>
        <v>0</v>
      </c>
    </row>
    <row r="123" spans="2:36" outlineLevel="1" x14ac:dyDescent="0.35">
      <c r="H123" s="1114" t="str">
        <f>'Cap Table'!$X$15</f>
        <v>Series B Prfrd</v>
      </c>
      <c r="I123" s="1111">
        <f>'Cap Table'!$X$101+'Cap Table'!$Y$101</f>
        <v>0</v>
      </c>
      <c r="J123" s="1113" t="e">
        <f t="shared" si="16"/>
        <v>#DIV/0!</v>
      </c>
      <c r="K123" s="1115">
        <f>'Cap Table'!$X$18</f>
        <v>3</v>
      </c>
      <c r="L123" s="1116" t="e">
        <f>'Cap Table'!$X$101/'Cap Table'!$CO$101</f>
        <v>#DIV/0!</v>
      </c>
      <c r="M123" s="1117">
        <f>'Cap Table'!$Z$101</f>
        <v>0</v>
      </c>
      <c r="N123" s="1118">
        <f>Seniority!$Z$105</f>
        <v>0</v>
      </c>
      <c r="R123" s="1114" t="str">
        <f>'Cap Table'!$X$15</f>
        <v>Series B Prfrd</v>
      </c>
      <c r="S123" s="1111">
        <f>'Cap Table'!$X$101+'Cap Table'!$Y$101</f>
        <v>0</v>
      </c>
      <c r="T123" s="1113" t="e">
        <f t="shared" si="17"/>
        <v>#DIV/0!</v>
      </c>
      <c r="U123" s="1115">
        <f>'Cap Table'!$X$18</f>
        <v>3</v>
      </c>
      <c r="V123" s="1116" t="e">
        <f>'Cap Table'!$X$101/'Cap Table'!$CO$101</f>
        <v>#DIV/0!</v>
      </c>
      <c r="W123" s="1117">
        <f>'Cap Table'!$Z$101</f>
        <v>0</v>
      </c>
      <c r="X123" s="1118">
        <f>Seniority!$Z$105</f>
        <v>0</v>
      </c>
      <c r="AD123" s="1114" t="str">
        <f>'Cap Table'!$X$15</f>
        <v>Series B Prfrd</v>
      </c>
      <c r="AE123" s="1111">
        <f>'Cap Table'!$X$101+'Cap Table'!$Y$101</f>
        <v>0</v>
      </c>
      <c r="AF123" s="1113" t="e">
        <f t="shared" si="18"/>
        <v>#DIV/0!</v>
      </c>
      <c r="AG123" s="1115">
        <f>'Cap Table'!$X$18</f>
        <v>3</v>
      </c>
      <c r="AH123" s="1116" t="e">
        <f>'Cap Table'!$X$101/'Cap Table'!$CO$101</f>
        <v>#DIV/0!</v>
      </c>
      <c r="AI123" s="1117">
        <f>'Cap Table'!$Z$101</f>
        <v>0</v>
      </c>
      <c r="AJ123" s="1118">
        <f>Seniority!$Z$105</f>
        <v>0</v>
      </c>
    </row>
    <row r="124" spans="2:36" outlineLevel="1" x14ac:dyDescent="0.35">
      <c r="H124" s="1114" t="str">
        <f>'Cap Table'!$AF$15</f>
        <v>Series C Prfrd</v>
      </c>
      <c r="I124" s="1111">
        <f>'Cap Table'!$AF$101+'Cap Table'!$AG$101</f>
        <v>0</v>
      </c>
      <c r="J124" s="1113" t="e">
        <f t="shared" si="16"/>
        <v>#DIV/0!</v>
      </c>
      <c r="K124" s="1115">
        <f>'Cap Table'!$AF$18</f>
        <v>3</v>
      </c>
      <c r="L124" s="1116" t="e">
        <f>'Cap Table'!$AF$101/'Cap Table'!$CO$101</f>
        <v>#DIV/0!</v>
      </c>
      <c r="M124" s="1117">
        <f>'Cap Table'!$AH$101</f>
        <v>0</v>
      </c>
      <c r="N124" s="1118">
        <f>Seniority!$AH$105</f>
        <v>0</v>
      </c>
      <c r="R124" s="1114" t="str">
        <f>'Cap Table'!$AF$15</f>
        <v>Series C Prfrd</v>
      </c>
      <c r="S124" s="1111">
        <f>'Cap Table'!$AF$101+'Cap Table'!$AG$101</f>
        <v>0</v>
      </c>
      <c r="T124" s="1113" t="e">
        <f t="shared" si="17"/>
        <v>#DIV/0!</v>
      </c>
      <c r="U124" s="1115">
        <f>'Cap Table'!$AF$18</f>
        <v>3</v>
      </c>
      <c r="V124" s="1116" t="e">
        <f>'Cap Table'!$AF$101/'Cap Table'!$CO$101</f>
        <v>#DIV/0!</v>
      </c>
      <c r="W124" s="1117">
        <f>'Cap Table'!$AH$101</f>
        <v>0</v>
      </c>
      <c r="X124" s="1118">
        <f>Seniority!$AH$105</f>
        <v>0</v>
      </c>
      <c r="AD124" s="1114" t="str">
        <f>'Cap Table'!$AF$15</f>
        <v>Series C Prfrd</v>
      </c>
      <c r="AE124" s="1111">
        <f>'Cap Table'!$AF$101+'Cap Table'!$AG$101</f>
        <v>0</v>
      </c>
      <c r="AF124" s="1113" t="e">
        <f t="shared" si="18"/>
        <v>#DIV/0!</v>
      </c>
      <c r="AG124" s="1115">
        <f>'Cap Table'!$AF$18</f>
        <v>3</v>
      </c>
      <c r="AH124" s="1116" t="e">
        <f>'Cap Table'!$AF$101/'Cap Table'!$CO$101</f>
        <v>#DIV/0!</v>
      </c>
      <c r="AI124" s="1117">
        <f>'Cap Table'!$AH$101</f>
        <v>0</v>
      </c>
      <c r="AJ124" s="1118">
        <f>Seniority!$AH$105</f>
        <v>0</v>
      </c>
    </row>
    <row r="125" spans="2:36" outlineLevel="1" x14ac:dyDescent="0.35">
      <c r="F125" t="s">
        <v>286</v>
      </c>
      <c r="H125" s="1114" t="str">
        <f>'Cap Table'!$AN$15</f>
        <v>Series D Prfrd</v>
      </c>
      <c r="I125" s="1111">
        <f>'Cap Table'!$AN$101+'Cap Table'!$AO$101</f>
        <v>0</v>
      </c>
      <c r="J125" s="1113" t="e">
        <f t="shared" si="16"/>
        <v>#DIV/0!</v>
      </c>
      <c r="K125" s="1115">
        <f>'Cap Table'!$AN$18</f>
        <v>3</v>
      </c>
      <c r="L125" s="1116" t="e">
        <f>'Cap Table'!$AN$101/'Cap Table'!$CO$101</f>
        <v>#DIV/0!</v>
      </c>
      <c r="M125" s="1117">
        <f>'Cap Table'!$AP$101</f>
        <v>0</v>
      </c>
      <c r="N125" s="1118">
        <f>Seniority!$AP$105</f>
        <v>0</v>
      </c>
      <c r="R125" s="1114" t="str">
        <f>'Cap Table'!$AN$15</f>
        <v>Series D Prfrd</v>
      </c>
      <c r="S125" s="1111">
        <f>'Cap Table'!$AN$101+'Cap Table'!$AO$101</f>
        <v>0</v>
      </c>
      <c r="T125" s="1113" t="e">
        <f t="shared" si="17"/>
        <v>#DIV/0!</v>
      </c>
      <c r="U125" s="1115">
        <f>'Cap Table'!$AN$18</f>
        <v>3</v>
      </c>
      <c r="V125" s="1116" t="e">
        <f>'Cap Table'!$AN$101/'Cap Table'!$CO$101</f>
        <v>#DIV/0!</v>
      </c>
      <c r="W125" s="1117">
        <f>'Cap Table'!$AP$101</f>
        <v>0</v>
      </c>
      <c r="X125" s="1118">
        <f>Seniority!$AP$105</f>
        <v>0</v>
      </c>
      <c r="AD125" s="1114" t="str">
        <f>'Cap Table'!$AN$15</f>
        <v>Series D Prfrd</v>
      </c>
      <c r="AE125" s="1111">
        <f>'Cap Table'!$AN$101+'Cap Table'!$AO$101</f>
        <v>0</v>
      </c>
      <c r="AF125" s="1113" t="e">
        <f t="shared" si="18"/>
        <v>#DIV/0!</v>
      </c>
      <c r="AG125" s="1115">
        <f>'Cap Table'!$AN$18</f>
        <v>3</v>
      </c>
      <c r="AH125" s="1116" t="e">
        <f>'Cap Table'!$AN$101/'Cap Table'!$CO$101</f>
        <v>#DIV/0!</v>
      </c>
      <c r="AI125" s="1117">
        <f>'Cap Table'!$AP$101</f>
        <v>0</v>
      </c>
      <c r="AJ125" s="1118">
        <f>Seniority!$AP$105</f>
        <v>0</v>
      </c>
    </row>
    <row r="126" spans="2:36" outlineLevel="1" x14ac:dyDescent="0.35">
      <c r="H126" s="1114" t="str">
        <f>'Cap Table'!$AV$15</f>
        <v>Series E Prfrd</v>
      </c>
      <c r="I126" s="1111">
        <f>'Cap Table'!$AV$101+'Cap Table'!$AW$101</f>
        <v>0</v>
      </c>
      <c r="J126" s="1113" t="e">
        <f t="shared" si="16"/>
        <v>#DIV/0!</v>
      </c>
      <c r="K126" s="1115">
        <f>'Cap Table'!$AV$18</f>
        <v>3</v>
      </c>
      <c r="L126" s="1116" t="e">
        <f>'Cap Table'!$AV$101/'Cap Table'!$CO$101</f>
        <v>#DIV/0!</v>
      </c>
      <c r="M126" s="1117">
        <f>'Cap Table'!$AX$101</f>
        <v>0</v>
      </c>
      <c r="N126" s="1118">
        <f>Seniority!$AX$105</f>
        <v>0</v>
      </c>
      <c r="R126" s="1114" t="str">
        <f>'Cap Table'!$AV$15</f>
        <v>Series E Prfrd</v>
      </c>
      <c r="S126" s="1111">
        <f>'Cap Table'!$AV$101+'Cap Table'!$AW$101</f>
        <v>0</v>
      </c>
      <c r="T126" s="1113" t="e">
        <f t="shared" si="17"/>
        <v>#DIV/0!</v>
      </c>
      <c r="U126" s="1115">
        <f>'Cap Table'!$AV$18</f>
        <v>3</v>
      </c>
      <c r="V126" s="1116" t="e">
        <f>'Cap Table'!$AV$101/'Cap Table'!$CO$101</f>
        <v>#DIV/0!</v>
      </c>
      <c r="W126" s="1117">
        <f>'Cap Table'!$AX$101</f>
        <v>0</v>
      </c>
      <c r="X126" s="1118">
        <f>Seniority!$AX$105</f>
        <v>0</v>
      </c>
      <c r="AD126" s="1114" t="str">
        <f>'Cap Table'!$AV$15</f>
        <v>Series E Prfrd</v>
      </c>
      <c r="AE126" s="1111">
        <f>'Cap Table'!$AV$101+'Cap Table'!$AW$101</f>
        <v>0</v>
      </c>
      <c r="AF126" s="1113" t="e">
        <f t="shared" si="18"/>
        <v>#DIV/0!</v>
      </c>
      <c r="AG126" s="1115">
        <f>'Cap Table'!$AV$18</f>
        <v>3</v>
      </c>
      <c r="AH126" s="1116" t="e">
        <f>'Cap Table'!$AV$101/'Cap Table'!$CO$101</f>
        <v>#DIV/0!</v>
      </c>
      <c r="AI126" s="1117">
        <f>'Cap Table'!$AX$101</f>
        <v>0</v>
      </c>
      <c r="AJ126" s="1118">
        <f>Seniority!$AX$105</f>
        <v>0</v>
      </c>
    </row>
    <row r="127" spans="2:36" outlineLevel="1" x14ac:dyDescent="0.35">
      <c r="H127" s="1114" t="str">
        <f>'Cap Table'!$BG$15</f>
        <v>Series E-1 Prfrd  %</v>
      </c>
      <c r="I127" s="1111"/>
      <c r="J127" s="1113" t="e">
        <f t="shared" si="16"/>
        <v>#DIV/0!</v>
      </c>
      <c r="K127" s="1115">
        <f>'Cap Table'!$BG$18</f>
        <v>0</v>
      </c>
      <c r="L127" s="1116">
        <v>0</v>
      </c>
      <c r="M127" s="1117">
        <f>'Cap Table'!$BI$101</f>
        <v>0</v>
      </c>
      <c r="N127" s="1118">
        <f>Seniority!$BF$105</f>
        <v>0</v>
      </c>
      <c r="R127" s="1114" t="str">
        <f>'Cap Table'!$BG$15</f>
        <v>Series E-1 Prfrd  %</v>
      </c>
      <c r="S127" s="1111"/>
      <c r="T127" s="1113" t="e">
        <f t="shared" si="17"/>
        <v>#DIV/0!</v>
      </c>
      <c r="U127" s="1115">
        <f>'Cap Table'!$BG$18</f>
        <v>0</v>
      </c>
      <c r="V127" s="1116">
        <v>0</v>
      </c>
      <c r="W127" s="1117">
        <f>'Cap Table'!$BI$101</f>
        <v>0</v>
      </c>
      <c r="X127" s="1118">
        <f>Seniority!$BF$105</f>
        <v>0</v>
      </c>
      <c r="AD127" s="1114" t="str">
        <f>'Cap Table'!$BG$15</f>
        <v>Series E-1 Prfrd  %</v>
      </c>
      <c r="AE127" s="1111"/>
      <c r="AF127" s="1113" t="e">
        <f t="shared" si="18"/>
        <v>#DIV/0!</v>
      </c>
      <c r="AG127" s="1115">
        <f>'Cap Table'!$BG$18</f>
        <v>0</v>
      </c>
      <c r="AH127" s="1116">
        <v>0</v>
      </c>
      <c r="AI127" s="1117">
        <f>'Cap Table'!$BI$101</f>
        <v>0</v>
      </c>
      <c r="AJ127" s="1118">
        <f>Seniority!$BF$105</f>
        <v>0</v>
      </c>
    </row>
    <row r="128" spans="2:36" outlineLevel="1" x14ac:dyDescent="0.35">
      <c r="H128" s="1114" t="str">
        <f>'Cap Table'!$BQ$15</f>
        <v>Fully Diluted Shares</v>
      </c>
      <c r="I128" s="1111">
        <f>'Cap Table'!$BQ$101+'Cap Table'!$BR$101</f>
        <v>0</v>
      </c>
      <c r="J128" s="1113" t="e">
        <f t="shared" si="16"/>
        <v>#DIV/0!</v>
      </c>
      <c r="K128" s="1115">
        <f>'Cap Table'!$BQ$18</f>
        <v>0</v>
      </c>
      <c r="L128" s="1116" t="e">
        <f>'Cap Table'!$BQ$101/'Cap Table'!$CO$101</f>
        <v>#DIV/0!</v>
      </c>
      <c r="M128" s="1117">
        <f>'Cap Table'!$BS$101</f>
        <v>0</v>
      </c>
      <c r="N128" s="1118">
        <f>Seniority!$BN$105</f>
        <v>0</v>
      </c>
      <c r="R128" s="1114" t="str">
        <f>'Cap Table'!$BQ$15</f>
        <v>Fully Diluted Shares</v>
      </c>
      <c r="S128" s="1111">
        <f>'Cap Table'!$BQ$101+'Cap Table'!$BR$101</f>
        <v>0</v>
      </c>
      <c r="T128" s="1113" t="e">
        <f t="shared" si="17"/>
        <v>#DIV/0!</v>
      </c>
      <c r="U128" s="1115">
        <f>'Cap Table'!$BQ$18</f>
        <v>0</v>
      </c>
      <c r="V128" s="1116" t="e">
        <f>'Cap Table'!$BQ$101/'Cap Table'!$CO$101</f>
        <v>#DIV/0!</v>
      </c>
      <c r="W128" s="1117">
        <f>'Cap Table'!$BS$101</f>
        <v>0</v>
      </c>
      <c r="X128" s="1118">
        <f>Seniority!$BN$105</f>
        <v>0</v>
      </c>
      <c r="AD128" s="1114" t="str">
        <f>'Cap Table'!$BQ$15</f>
        <v>Fully Diluted Shares</v>
      </c>
      <c r="AE128" s="1111">
        <f>'Cap Table'!$BQ$101+'Cap Table'!$BR$101</f>
        <v>0</v>
      </c>
      <c r="AF128" s="1113" t="e">
        <f t="shared" si="18"/>
        <v>#DIV/0!</v>
      </c>
      <c r="AG128" s="1115">
        <f>'Cap Table'!$BQ$18</f>
        <v>0</v>
      </c>
      <c r="AH128" s="1116" t="e">
        <f>'Cap Table'!$BQ$101/'Cap Table'!$CO$101</f>
        <v>#DIV/0!</v>
      </c>
      <c r="AI128" s="1117">
        <f>'Cap Table'!$BS$101</f>
        <v>0</v>
      </c>
      <c r="AJ128" s="1118">
        <f>Seniority!$BN$105</f>
        <v>0</v>
      </c>
    </row>
    <row r="129" spans="6:36" outlineLevel="1" x14ac:dyDescent="0.35">
      <c r="H129" s="1114" t="str">
        <f>'Cap Table'!$BY$15</f>
        <v>Fully Diluted Shares</v>
      </c>
      <c r="I129" s="1111"/>
      <c r="J129" s="1113" t="e">
        <f t="shared" si="16"/>
        <v>#DIV/0!</v>
      </c>
      <c r="K129" s="1115">
        <f>'Cap Table'!$BY$18</f>
        <v>0</v>
      </c>
      <c r="L129" s="1116" t="e">
        <f>'Cap Table'!$BY$101/'Cap Table'!$CO$101</f>
        <v>#DIV/0!</v>
      </c>
      <c r="M129" s="1117">
        <f>'Cap Table'!$CA$101</f>
        <v>0</v>
      </c>
      <c r="N129" s="1118">
        <f>'Cap Table'!$CT$101</f>
        <v>0</v>
      </c>
      <c r="R129" s="1114" t="str">
        <f>'Cap Table'!$BY$15</f>
        <v>Fully Diluted Shares</v>
      </c>
      <c r="S129" s="1111"/>
      <c r="T129" s="1113" t="e">
        <f t="shared" si="17"/>
        <v>#DIV/0!</v>
      </c>
      <c r="U129" s="1115">
        <f>'Cap Table'!$BY$18</f>
        <v>0</v>
      </c>
      <c r="V129" s="1116" t="e">
        <f>'Cap Table'!$BY$101/'Cap Table'!$CO$101</f>
        <v>#DIV/0!</v>
      </c>
      <c r="W129" s="1117">
        <f>'Cap Table'!$CA$101</f>
        <v>0</v>
      </c>
      <c r="X129" s="1118">
        <f>'Cap Table'!$CT$101</f>
        <v>0</v>
      </c>
      <c r="AD129" s="1114" t="str">
        <f>'Cap Table'!$BY$15</f>
        <v>Fully Diluted Shares</v>
      </c>
      <c r="AE129" s="1111"/>
      <c r="AF129" s="1113" t="e">
        <f t="shared" si="18"/>
        <v>#DIV/0!</v>
      </c>
      <c r="AG129" s="1115">
        <f>'Cap Table'!$BY$18</f>
        <v>0</v>
      </c>
      <c r="AH129" s="1116" t="e">
        <f>'Cap Table'!$BY$101/'Cap Table'!$CO$101</f>
        <v>#DIV/0!</v>
      </c>
      <c r="AI129" s="1117">
        <f>'Cap Table'!$CA$101</f>
        <v>0</v>
      </c>
      <c r="AJ129" s="1118">
        <f>'Cap Table'!$CT$101</f>
        <v>0</v>
      </c>
    </row>
    <row r="130" spans="6:36" outlineLevel="1" x14ac:dyDescent="0.35">
      <c r="H130" s="951"/>
      <c r="I130" s="1111"/>
      <c r="J130" s="1113" t="e">
        <f t="shared" si="16"/>
        <v>#DIV/0!</v>
      </c>
      <c r="K130" s="1115"/>
      <c r="L130" s="1115"/>
      <c r="M130" s="1117"/>
      <c r="N130" s="1118"/>
      <c r="O130" t="s">
        <v>286</v>
      </c>
      <c r="R130" s="951"/>
      <c r="S130" s="1111"/>
      <c r="T130" s="1113" t="e">
        <f t="shared" si="17"/>
        <v>#DIV/0!</v>
      </c>
      <c r="U130" s="1115"/>
      <c r="V130" s="1115"/>
      <c r="W130" s="1117"/>
      <c r="X130" s="1118"/>
      <c r="AD130" s="951"/>
      <c r="AE130" s="1111"/>
      <c r="AF130" s="1113" t="e">
        <f t="shared" si="18"/>
        <v>#DIV/0!</v>
      </c>
      <c r="AG130" s="1115"/>
      <c r="AH130" s="1115"/>
      <c r="AI130" s="1117"/>
      <c r="AJ130" s="1118"/>
    </row>
    <row r="131" spans="6:36" outlineLevel="1" x14ac:dyDescent="0.35">
      <c r="H131" s="951" t="s">
        <v>26</v>
      </c>
      <c r="I131" s="1111">
        <f>SUM('Cap Table'!$G$22:$G$60)</f>
        <v>0</v>
      </c>
      <c r="J131" s="1113" t="e">
        <f t="shared" si="16"/>
        <v>#DIV/0!</v>
      </c>
      <c r="N131" s="952"/>
      <c r="R131" s="951" t="s">
        <v>26</v>
      </c>
      <c r="S131" s="1111">
        <f>SUM('Cap Table'!$G$22:$G$60)</f>
        <v>0</v>
      </c>
      <c r="T131" s="1113" t="e">
        <f t="shared" si="17"/>
        <v>#DIV/0!</v>
      </c>
      <c r="X131" s="952"/>
      <c r="AD131" s="951" t="s">
        <v>26</v>
      </c>
      <c r="AE131" s="1111">
        <f>SUM('Cap Table'!$G$22:$G$60)</f>
        <v>0</v>
      </c>
      <c r="AF131" s="1113" t="e">
        <f t="shared" si="18"/>
        <v>#DIV/0!</v>
      </c>
      <c r="AJ131" s="952"/>
    </row>
    <row r="132" spans="6:36" outlineLevel="1" x14ac:dyDescent="0.35">
      <c r="H132" s="951" t="s">
        <v>23</v>
      </c>
      <c r="I132" s="1111">
        <f>'Cap Table'!CQ79+(('Cap Table'!CQ80+'Cap Table'!CQ81)*'Return Waterfall'!$D$6)</f>
        <v>0</v>
      </c>
      <c r="J132" s="1113" t="e">
        <f t="shared" si="16"/>
        <v>#DIV/0!</v>
      </c>
      <c r="N132" s="952"/>
      <c r="R132" s="951" t="s">
        <v>23</v>
      </c>
      <c r="S132" s="1111">
        <f>'Cap Table'!DA79+(('Cap Table'!DA80+'Cap Table'!DA81)*'Return Waterfall'!$D$6)</f>
        <v>0</v>
      </c>
      <c r="T132" s="1113" t="e">
        <f t="shared" si="17"/>
        <v>#DIV/0!</v>
      </c>
      <c r="X132" s="952"/>
      <c r="AD132" s="951" t="s">
        <v>23</v>
      </c>
      <c r="AE132" s="1111">
        <f>'Cap Table'!DM79+(('Cap Table'!DM80+'Cap Table'!DM81)*'Return Waterfall'!$D$6)</f>
        <v>0</v>
      </c>
      <c r="AF132" s="1113" t="e">
        <f t="shared" si="18"/>
        <v>#DIV/0!</v>
      </c>
      <c r="AJ132" s="952"/>
    </row>
    <row r="133" spans="6:36" outlineLevel="1" x14ac:dyDescent="0.35">
      <c r="H133" s="951" t="s">
        <v>24</v>
      </c>
      <c r="I133" s="1111">
        <f>'Cap Table'!$F$101</f>
        <v>0</v>
      </c>
      <c r="J133" s="1113" t="e">
        <f t="shared" si="16"/>
        <v>#DIV/0!</v>
      </c>
      <c r="N133" s="952"/>
      <c r="R133" s="951" t="s">
        <v>24</v>
      </c>
      <c r="S133" s="1111">
        <f>'Cap Table'!$F$101</f>
        <v>0</v>
      </c>
      <c r="T133" s="1113" t="e">
        <f t="shared" si="17"/>
        <v>#DIV/0!</v>
      </c>
      <c r="X133" s="952"/>
      <c r="AD133" s="951" t="s">
        <v>24</v>
      </c>
      <c r="AE133" s="1111">
        <f>'Cap Table'!$F$101</f>
        <v>0</v>
      </c>
      <c r="AF133" s="1113" t="e">
        <f t="shared" si="18"/>
        <v>#DIV/0!</v>
      </c>
      <c r="AJ133" s="952"/>
    </row>
    <row r="134" spans="6:36" outlineLevel="1" x14ac:dyDescent="0.35">
      <c r="F134" t="s">
        <v>286</v>
      </c>
      <c r="H134" s="1119" t="s">
        <v>78</v>
      </c>
      <c r="I134" s="1120">
        <f>SUM(I120:I133)</f>
        <v>0</v>
      </c>
      <c r="J134" s="1121" t="e">
        <f>SUM(J120:J133)</f>
        <v>#DIV/0!</v>
      </c>
      <c r="K134" s="1122"/>
      <c r="L134" s="1123" t="e">
        <f>SUM(L121:L129)</f>
        <v>#DIV/0!</v>
      </c>
      <c r="M134" s="1120">
        <f>SUM(M120:M129)</f>
        <v>0</v>
      </c>
      <c r="N134" s="1124">
        <f>SUM(N120:N129)</f>
        <v>0</v>
      </c>
      <c r="R134" s="1119" t="s">
        <v>78</v>
      </c>
      <c r="S134" s="1120">
        <f>SUM(S120:S133)</f>
        <v>0</v>
      </c>
      <c r="T134" s="1125" t="e">
        <f>SUM(T120:T133)</f>
        <v>#DIV/0!</v>
      </c>
      <c r="U134" s="1122"/>
      <c r="V134" s="1123" t="e">
        <f>SUM(V121:V129)</f>
        <v>#DIV/0!</v>
      </c>
      <c r="W134" s="1120">
        <f>SUM(W120:W129)</f>
        <v>0</v>
      </c>
      <c r="X134" s="1124">
        <f>SUM(X120:X129)</f>
        <v>0</v>
      </c>
      <c r="AD134" s="1119" t="s">
        <v>78</v>
      </c>
      <c r="AE134" s="1120">
        <f>SUM(AE120:AE133)</f>
        <v>0</v>
      </c>
      <c r="AF134" s="1125" t="e">
        <f>SUM(AF120:AF133)</f>
        <v>#DIV/0!</v>
      </c>
      <c r="AG134" s="1122"/>
      <c r="AH134" s="1123" t="e">
        <f>SUM(AH121:AH129)</f>
        <v>#DIV/0!</v>
      </c>
      <c r="AI134" s="1120">
        <f>SUM(AI120:AI129)</f>
        <v>0</v>
      </c>
      <c r="AJ134" s="1124">
        <f>SUM(AJ120:AJ129)</f>
        <v>0</v>
      </c>
    </row>
    <row r="135" spans="6:36" outlineLevel="1" x14ac:dyDescent="0.35">
      <c r="J135" s="1125"/>
    </row>
    <row r="136" spans="6:36" ht="18.649999999999999" customHeight="1" outlineLevel="1" x14ac:dyDescent="0.35">
      <c r="G136" t="s">
        <v>332</v>
      </c>
      <c r="H136" s="1126" t="s">
        <v>333</v>
      </c>
      <c r="I136" s="1107"/>
      <c r="J136" s="1107"/>
      <c r="K136" s="1107"/>
      <c r="L136" s="1107"/>
      <c r="M136" s="1107"/>
      <c r="N136" s="1127"/>
      <c r="P136" t="s">
        <v>286</v>
      </c>
      <c r="R136" s="1126" t="s">
        <v>333</v>
      </c>
      <c r="S136" s="1107"/>
      <c r="T136" s="1107"/>
      <c r="U136" s="1107"/>
      <c r="V136" s="1107"/>
      <c r="W136" s="1107"/>
      <c r="X136" s="1127"/>
      <c r="AD136" s="1126" t="s">
        <v>333</v>
      </c>
      <c r="AE136" s="1107"/>
      <c r="AF136" s="1107"/>
      <c r="AG136" s="1107"/>
      <c r="AH136" s="1107"/>
      <c r="AI136" s="1107"/>
      <c r="AJ136" s="1127"/>
    </row>
    <row r="137" spans="6:36" ht="15.5" outlineLevel="1" x14ac:dyDescent="0.35">
      <c r="H137" s="711" t="s">
        <v>324</v>
      </c>
      <c r="I137" s="711" t="s">
        <v>325</v>
      </c>
      <c r="J137" s="711" t="s">
        <v>326</v>
      </c>
      <c r="K137" s="711" t="s">
        <v>327</v>
      </c>
      <c r="L137" s="711" t="s">
        <v>334</v>
      </c>
      <c r="M137" s="711" t="s">
        <v>329</v>
      </c>
      <c r="N137" s="1109" t="s">
        <v>330</v>
      </c>
      <c r="R137" s="711" t="s">
        <v>324</v>
      </c>
      <c r="S137" s="711" t="s">
        <v>325</v>
      </c>
      <c r="T137" s="711" t="s">
        <v>326</v>
      </c>
      <c r="U137" s="711" t="s">
        <v>327</v>
      </c>
      <c r="V137" s="711" t="s">
        <v>334</v>
      </c>
      <c r="W137" s="711" t="s">
        <v>329</v>
      </c>
      <c r="X137" s="1109" t="s">
        <v>330</v>
      </c>
      <c r="AD137" s="711" t="s">
        <v>324</v>
      </c>
      <c r="AE137" s="711" t="s">
        <v>325</v>
      </c>
      <c r="AF137" s="711" t="s">
        <v>326</v>
      </c>
      <c r="AG137" s="711" t="s">
        <v>327</v>
      </c>
      <c r="AH137" s="711" t="s">
        <v>334</v>
      </c>
      <c r="AI137" s="711" t="s">
        <v>329</v>
      </c>
      <c r="AJ137" s="1109" t="s">
        <v>330</v>
      </c>
    </row>
    <row r="138" spans="6:36" outlineLevel="1" x14ac:dyDescent="0.35">
      <c r="H138" s="1110" t="s">
        <v>331</v>
      </c>
      <c r="I138" s="1111"/>
      <c r="J138" s="1113" t="e">
        <f t="shared" ref="J138:J147" si="19">I138/$I$153</f>
        <v>#DIV/0!</v>
      </c>
      <c r="N138" s="952"/>
      <c r="R138" s="1110" t="s">
        <v>331</v>
      </c>
      <c r="S138" s="1111"/>
      <c r="T138" s="1113" t="e">
        <f>S138/$S$153</f>
        <v>#DIV/0!</v>
      </c>
      <c r="X138" s="952"/>
      <c r="AD138" s="1110" t="s">
        <v>331</v>
      </c>
      <c r="AE138" s="1111"/>
      <c r="AF138" s="1113" t="e">
        <f>AE138/$AE$153</f>
        <v>#DIV/0!</v>
      </c>
      <c r="AJ138" s="952"/>
    </row>
    <row r="139" spans="6:36" outlineLevel="1" x14ac:dyDescent="0.35">
      <c r="H139" s="1114" t="str">
        <f>'Cap Table'!$H$15</f>
        <v>Seed Prfrd</v>
      </c>
      <c r="I139" s="1111">
        <f>'Cap Table'!$H$101+'Cap Table'!$I$101</f>
        <v>0</v>
      </c>
      <c r="J139" s="1113" t="e">
        <f t="shared" si="19"/>
        <v>#DIV/0!</v>
      </c>
      <c r="K139" s="1115">
        <f>'Cap Table'!$H$18</f>
        <v>3</v>
      </c>
      <c r="L139" s="1116" t="e">
        <f>'Cap Table'!$H$101/'Cap Table'!$CO$101</f>
        <v>#DIV/0!</v>
      </c>
      <c r="M139" s="1117">
        <f>'Cap Table'!$J$101</f>
        <v>0</v>
      </c>
      <c r="N139" s="1118">
        <f>Seniority!$J$105</f>
        <v>0</v>
      </c>
      <c r="R139" s="1114" t="str">
        <f>'Cap Table'!$H$15</f>
        <v>Seed Prfrd</v>
      </c>
      <c r="S139" s="1111">
        <f>'Cap Table'!$H$101+'Cap Table'!$I$101</f>
        <v>0</v>
      </c>
      <c r="T139" s="1113" t="e">
        <f t="shared" ref="T139:T147" si="20">S139/$I$153</f>
        <v>#DIV/0!</v>
      </c>
      <c r="U139" s="1115">
        <f>'Cap Table'!$H$18</f>
        <v>3</v>
      </c>
      <c r="V139" s="1116" t="e">
        <f>'Cap Table'!$H$101/'Cap Table'!$CO$101</f>
        <v>#DIV/0!</v>
      </c>
      <c r="W139" s="1117">
        <f>'Cap Table'!$J$101</f>
        <v>0</v>
      </c>
      <c r="X139" s="1118">
        <f>Seniority!$J$105</f>
        <v>0</v>
      </c>
      <c r="AD139" s="1114" t="str">
        <f>'Cap Table'!$H$15</f>
        <v>Seed Prfrd</v>
      </c>
      <c r="AE139" s="1111">
        <f>'Cap Table'!$H$101+'Cap Table'!$I$101</f>
        <v>0</v>
      </c>
      <c r="AF139" s="1113" t="e">
        <f t="shared" ref="AF139:AF147" si="21">AE139/$I$153</f>
        <v>#DIV/0!</v>
      </c>
      <c r="AG139" s="1115">
        <f>'Cap Table'!$H$18</f>
        <v>3</v>
      </c>
      <c r="AH139" s="1116" t="e">
        <f>'Cap Table'!$H$101/'Cap Table'!$CO$101</f>
        <v>#DIV/0!</v>
      </c>
      <c r="AI139" s="1117">
        <f>'Cap Table'!$J$101</f>
        <v>0</v>
      </c>
      <c r="AJ139" s="1118">
        <f>Seniority!$J$105</f>
        <v>0</v>
      </c>
    </row>
    <row r="140" spans="6:36" outlineLevel="1" x14ac:dyDescent="0.35">
      <c r="H140" s="1114" t="str">
        <f>'Cap Table'!$P$15</f>
        <v>Series A Prfrd</v>
      </c>
      <c r="I140" s="1111">
        <f>'Cap Table'!$P$101+'Cap Table'!$Q$101</f>
        <v>0</v>
      </c>
      <c r="J140" s="1113" t="e">
        <f t="shared" si="19"/>
        <v>#DIV/0!</v>
      </c>
      <c r="K140" s="1115">
        <f>'Cap Table'!$P$18</f>
        <v>3</v>
      </c>
      <c r="L140" s="1116" t="e">
        <f>'Cap Table'!$P$101/'Cap Table'!$CO$101</f>
        <v>#DIV/0!</v>
      </c>
      <c r="M140" s="1117">
        <f>'Cap Table'!$R$101</f>
        <v>0</v>
      </c>
      <c r="N140" s="1118">
        <f>Seniority!$R$105</f>
        <v>0</v>
      </c>
      <c r="R140" s="1114" t="str">
        <f>'Cap Table'!$P$15</f>
        <v>Series A Prfrd</v>
      </c>
      <c r="S140" s="1111">
        <f>'Cap Table'!$P$101+'Cap Table'!$Q$101</f>
        <v>0</v>
      </c>
      <c r="T140" s="1113" t="e">
        <f t="shared" si="20"/>
        <v>#DIV/0!</v>
      </c>
      <c r="U140" s="1115">
        <f>'Cap Table'!$P$18</f>
        <v>3</v>
      </c>
      <c r="V140" s="1116" t="e">
        <f>'Cap Table'!$P$101/'Cap Table'!$CO$101</f>
        <v>#DIV/0!</v>
      </c>
      <c r="W140" s="1117">
        <f>'Cap Table'!$R$101</f>
        <v>0</v>
      </c>
      <c r="X140" s="1118">
        <f>Seniority!$R$105</f>
        <v>0</v>
      </c>
      <c r="AD140" s="1114" t="str">
        <f>'Cap Table'!$P$15</f>
        <v>Series A Prfrd</v>
      </c>
      <c r="AE140" s="1111">
        <f>'Cap Table'!$P$101+'Cap Table'!$Q$101</f>
        <v>0</v>
      </c>
      <c r="AF140" s="1113" t="e">
        <f t="shared" si="21"/>
        <v>#DIV/0!</v>
      </c>
      <c r="AG140" s="1115">
        <f>'Cap Table'!$P$18</f>
        <v>3</v>
      </c>
      <c r="AH140" s="1116" t="e">
        <f>'Cap Table'!$P$101/'Cap Table'!$CO$101</f>
        <v>#DIV/0!</v>
      </c>
      <c r="AI140" s="1117">
        <f>'Cap Table'!$R$101</f>
        <v>0</v>
      </c>
      <c r="AJ140" s="1118">
        <f>Seniority!$R$105</f>
        <v>0</v>
      </c>
    </row>
    <row r="141" spans="6:36" outlineLevel="1" x14ac:dyDescent="0.35">
      <c r="H141" s="1114" t="str">
        <f>'Cap Table'!$X$15</f>
        <v>Series B Prfrd</v>
      </c>
      <c r="I141" s="1111">
        <f>'Cap Table'!$X$101+'Cap Table'!$Y$101</f>
        <v>0</v>
      </c>
      <c r="J141" s="1113" t="e">
        <f t="shared" si="19"/>
        <v>#DIV/0!</v>
      </c>
      <c r="K141" s="1115">
        <f>'Cap Table'!$X$18</f>
        <v>3</v>
      </c>
      <c r="L141" s="1116" t="e">
        <f>'Cap Table'!$X$101/'Cap Table'!$CO$101</f>
        <v>#DIV/0!</v>
      </c>
      <c r="M141" s="1117">
        <f>'Cap Table'!$Z$101</f>
        <v>0</v>
      </c>
      <c r="N141" s="1118">
        <f>Seniority!$Z$105</f>
        <v>0</v>
      </c>
      <c r="P141" t="s">
        <v>286</v>
      </c>
      <c r="R141" s="1114" t="str">
        <f>'Cap Table'!$X$15</f>
        <v>Series B Prfrd</v>
      </c>
      <c r="S141" s="1111">
        <f>'Cap Table'!$X$101+'Cap Table'!$Y$101</f>
        <v>0</v>
      </c>
      <c r="T141" s="1113" t="e">
        <f t="shared" si="20"/>
        <v>#DIV/0!</v>
      </c>
      <c r="U141" s="1115">
        <f>'Cap Table'!$X$18</f>
        <v>3</v>
      </c>
      <c r="V141" s="1116" t="e">
        <f>'Cap Table'!$X$101/'Cap Table'!$CO$101</f>
        <v>#DIV/0!</v>
      </c>
      <c r="W141" s="1117">
        <f>'Cap Table'!$Z$101</f>
        <v>0</v>
      </c>
      <c r="X141" s="1118">
        <f>Seniority!$Z$105</f>
        <v>0</v>
      </c>
      <c r="AD141" s="1114" t="str">
        <f>'Cap Table'!$X$15</f>
        <v>Series B Prfrd</v>
      </c>
      <c r="AE141" s="1111">
        <f>'Cap Table'!$X$101+'Cap Table'!$Y$101</f>
        <v>0</v>
      </c>
      <c r="AF141" s="1113" t="e">
        <f t="shared" si="21"/>
        <v>#DIV/0!</v>
      </c>
      <c r="AG141" s="1115">
        <f>'Cap Table'!$X$18</f>
        <v>3</v>
      </c>
      <c r="AH141" s="1116" t="e">
        <f>'Cap Table'!$X$101/'Cap Table'!$CO$101</f>
        <v>#DIV/0!</v>
      </c>
      <c r="AI141" s="1117">
        <f>'Cap Table'!$Z$101</f>
        <v>0</v>
      </c>
      <c r="AJ141" s="1118">
        <f>Seniority!$Z$105</f>
        <v>0</v>
      </c>
    </row>
    <row r="142" spans="6:36" outlineLevel="1" x14ac:dyDescent="0.35">
      <c r="H142" s="1114" t="str">
        <f>'Cap Table'!$AF$15</f>
        <v>Series C Prfrd</v>
      </c>
      <c r="I142" s="1111">
        <f>'Cap Table'!$AF$101+'Cap Table'!$AG$101</f>
        <v>0</v>
      </c>
      <c r="J142" s="1113" t="e">
        <f t="shared" si="19"/>
        <v>#DIV/0!</v>
      </c>
      <c r="K142" s="1115">
        <f>'Cap Table'!$AF$18</f>
        <v>3</v>
      </c>
      <c r="L142" s="1116" t="e">
        <f>'Cap Table'!$AF$101/'Cap Table'!$CO$101</f>
        <v>#DIV/0!</v>
      </c>
      <c r="M142" s="1117">
        <f>'Cap Table'!$AH$101</f>
        <v>0</v>
      </c>
      <c r="N142" s="1118">
        <f>Seniority!$AH$105</f>
        <v>0</v>
      </c>
      <c r="R142" s="1114" t="str">
        <f>'Cap Table'!$AF$15</f>
        <v>Series C Prfrd</v>
      </c>
      <c r="S142" s="1111">
        <f>'Cap Table'!$AF$101+'Cap Table'!$AG$101</f>
        <v>0</v>
      </c>
      <c r="T142" s="1113" t="e">
        <f t="shared" si="20"/>
        <v>#DIV/0!</v>
      </c>
      <c r="U142" s="1115">
        <f>'Cap Table'!$AF$18</f>
        <v>3</v>
      </c>
      <c r="V142" s="1116" t="e">
        <f>'Cap Table'!$AF$101/'Cap Table'!$CO$101</f>
        <v>#DIV/0!</v>
      </c>
      <c r="W142" s="1117">
        <f>'Cap Table'!$AH$101</f>
        <v>0</v>
      </c>
      <c r="X142" s="1118">
        <f>Seniority!$AH$105</f>
        <v>0</v>
      </c>
      <c r="AD142" s="1114" t="str">
        <f>'Cap Table'!$AF$15</f>
        <v>Series C Prfrd</v>
      </c>
      <c r="AE142" s="1111">
        <f>'Cap Table'!$AF$101+'Cap Table'!$AG$101</f>
        <v>0</v>
      </c>
      <c r="AF142" s="1113" t="e">
        <f t="shared" si="21"/>
        <v>#DIV/0!</v>
      </c>
      <c r="AG142" s="1115">
        <f>'Cap Table'!$AF$18</f>
        <v>3</v>
      </c>
      <c r="AH142" s="1116" t="e">
        <f>'Cap Table'!$AF$101/'Cap Table'!$CO$101</f>
        <v>#DIV/0!</v>
      </c>
      <c r="AI142" s="1117">
        <f>'Cap Table'!$AH$101</f>
        <v>0</v>
      </c>
      <c r="AJ142" s="1118">
        <f>Seniority!$AH$105</f>
        <v>0</v>
      </c>
    </row>
    <row r="143" spans="6:36" outlineLevel="1" x14ac:dyDescent="0.35">
      <c r="H143" s="1114" t="str">
        <f>'Cap Table'!$AN$15</f>
        <v>Series D Prfrd</v>
      </c>
      <c r="I143" s="1111">
        <f>'Cap Table'!$AN$101+'Cap Table'!$AO$101</f>
        <v>0</v>
      </c>
      <c r="J143" s="1113" t="e">
        <f t="shared" si="19"/>
        <v>#DIV/0!</v>
      </c>
      <c r="K143" s="1115">
        <f>'Cap Table'!$AN$18</f>
        <v>3</v>
      </c>
      <c r="L143" s="1116" t="e">
        <f>'Cap Table'!$AN$101/'Cap Table'!$CO$101</f>
        <v>#DIV/0!</v>
      </c>
      <c r="M143" s="1117">
        <f>'Cap Table'!$AP$101</f>
        <v>0</v>
      </c>
      <c r="N143" s="1118">
        <f>Seniority!$AP$105</f>
        <v>0</v>
      </c>
      <c r="R143" s="1114" t="str">
        <f>'Cap Table'!$AN$15</f>
        <v>Series D Prfrd</v>
      </c>
      <c r="S143" s="1111">
        <f>'Cap Table'!$AN$101+'Cap Table'!$AO$101</f>
        <v>0</v>
      </c>
      <c r="T143" s="1113" t="e">
        <f t="shared" si="20"/>
        <v>#DIV/0!</v>
      </c>
      <c r="U143" s="1115">
        <f>'Cap Table'!$AN$18</f>
        <v>3</v>
      </c>
      <c r="V143" s="1116" t="e">
        <f>'Cap Table'!$AN$101/'Cap Table'!$CO$101</f>
        <v>#DIV/0!</v>
      </c>
      <c r="W143" s="1117">
        <f>'Cap Table'!$AP$101</f>
        <v>0</v>
      </c>
      <c r="X143" s="1118">
        <f>Seniority!$AP$105</f>
        <v>0</v>
      </c>
      <c r="AD143" s="1114" t="str">
        <f>'Cap Table'!$AN$15</f>
        <v>Series D Prfrd</v>
      </c>
      <c r="AE143" s="1111">
        <f>'Cap Table'!$AN$101+'Cap Table'!$AO$101</f>
        <v>0</v>
      </c>
      <c r="AF143" s="1113" t="e">
        <f t="shared" si="21"/>
        <v>#DIV/0!</v>
      </c>
      <c r="AG143" s="1115">
        <f>'Cap Table'!$AN$18</f>
        <v>3</v>
      </c>
      <c r="AH143" s="1116" t="e">
        <f>'Cap Table'!$AN$101/'Cap Table'!$CO$101</f>
        <v>#DIV/0!</v>
      </c>
      <c r="AI143" s="1117">
        <f>'Cap Table'!$AP$101</f>
        <v>0</v>
      </c>
      <c r="AJ143" s="1118">
        <f>Seniority!$AP$105</f>
        <v>0</v>
      </c>
    </row>
    <row r="144" spans="6:36" outlineLevel="1" x14ac:dyDescent="0.35">
      <c r="H144" s="1114" t="str">
        <f>'Cap Table'!$AV$15</f>
        <v>Series E Prfrd</v>
      </c>
      <c r="I144" s="1111">
        <f>'Cap Table'!$AV$101+'Cap Table'!$AW$101</f>
        <v>0</v>
      </c>
      <c r="J144" s="1113" t="e">
        <f t="shared" si="19"/>
        <v>#DIV/0!</v>
      </c>
      <c r="K144" s="1115">
        <f>'Cap Table'!$AV$18</f>
        <v>3</v>
      </c>
      <c r="L144" s="1116" t="e">
        <f>'Cap Table'!$AV$101/'Cap Table'!$CO$101</f>
        <v>#DIV/0!</v>
      </c>
      <c r="M144" s="1117">
        <f>'Cap Table'!$AX$101</f>
        <v>0</v>
      </c>
      <c r="N144" s="1118">
        <f>Seniority!$AX$105</f>
        <v>0</v>
      </c>
      <c r="R144" s="1114" t="str">
        <f>'Cap Table'!$AV$15</f>
        <v>Series E Prfrd</v>
      </c>
      <c r="S144" s="1111">
        <f>'Cap Table'!$AV$101+'Cap Table'!$AW$101</f>
        <v>0</v>
      </c>
      <c r="T144" s="1113" t="e">
        <f t="shared" si="20"/>
        <v>#DIV/0!</v>
      </c>
      <c r="U144" s="1115">
        <f>'Cap Table'!$AV$18</f>
        <v>3</v>
      </c>
      <c r="V144" s="1116" t="e">
        <f>'Cap Table'!$AV$101/'Cap Table'!$CO$101</f>
        <v>#DIV/0!</v>
      </c>
      <c r="W144" s="1117">
        <f>'Cap Table'!$AX$101</f>
        <v>0</v>
      </c>
      <c r="X144" s="1118">
        <f>Seniority!$AX$105</f>
        <v>0</v>
      </c>
      <c r="AD144" s="1114" t="str">
        <f>'Cap Table'!$AV$15</f>
        <v>Series E Prfrd</v>
      </c>
      <c r="AE144" s="1111">
        <f>'Cap Table'!$AV$101+'Cap Table'!$AW$101</f>
        <v>0</v>
      </c>
      <c r="AF144" s="1113" t="e">
        <f t="shared" si="21"/>
        <v>#DIV/0!</v>
      </c>
      <c r="AG144" s="1115">
        <f>'Cap Table'!$AV$18</f>
        <v>3</v>
      </c>
      <c r="AH144" s="1116" t="e">
        <f>'Cap Table'!$AV$101/'Cap Table'!$CO$101</f>
        <v>#DIV/0!</v>
      </c>
      <c r="AI144" s="1117">
        <f>'Cap Table'!$AX$101</f>
        <v>0</v>
      </c>
      <c r="AJ144" s="1118">
        <f>Seniority!$AX$105</f>
        <v>0</v>
      </c>
    </row>
    <row r="145" spans="6:36" outlineLevel="1" x14ac:dyDescent="0.35">
      <c r="H145" s="1114" t="str">
        <f>'Cap Table'!$BG$15</f>
        <v>Series E-1 Prfrd  %</v>
      </c>
      <c r="I145" s="1111"/>
      <c r="J145" s="1113" t="e">
        <f t="shared" si="19"/>
        <v>#DIV/0!</v>
      </c>
      <c r="K145" s="1115">
        <f>'Cap Table'!$BG$18</f>
        <v>0</v>
      </c>
      <c r="L145" s="1116">
        <v>0</v>
      </c>
      <c r="M145" s="1117">
        <f>'Cap Table'!$BI$101</f>
        <v>0</v>
      </c>
      <c r="N145" s="1118">
        <f>Seniority!$BF$105</f>
        <v>0</v>
      </c>
      <c r="R145" s="1114" t="str">
        <f>'Cap Table'!$BG$15</f>
        <v>Series E-1 Prfrd  %</v>
      </c>
      <c r="S145" s="1111"/>
      <c r="T145" s="1113" t="e">
        <f t="shared" si="20"/>
        <v>#DIV/0!</v>
      </c>
      <c r="U145" s="1115">
        <f>'Cap Table'!$BG$18</f>
        <v>0</v>
      </c>
      <c r="V145" s="1116">
        <v>0</v>
      </c>
      <c r="W145" s="1117">
        <f>'Cap Table'!$BI$101</f>
        <v>0</v>
      </c>
      <c r="X145" s="1118">
        <f>Seniority!$BF$105</f>
        <v>0</v>
      </c>
      <c r="AD145" s="1114" t="str">
        <f>'Cap Table'!$BG$15</f>
        <v>Series E-1 Prfrd  %</v>
      </c>
      <c r="AE145" s="1111"/>
      <c r="AF145" s="1113" t="e">
        <f t="shared" si="21"/>
        <v>#DIV/0!</v>
      </c>
      <c r="AG145" s="1115">
        <f>'Cap Table'!$BG$18</f>
        <v>0</v>
      </c>
      <c r="AH145" s="1116">
        <v>0</v>
      </c>
      <c r="AI145" s="1117">
        <f>'Cap Table'!$BI$101</f>
        <v>0</v>
      </c>
      <c r="AJ145" s="1118">
        <f>Seniority!$BF$105</f>
        <v>0</v>
      </c>
    </row>
    <row r="146" spans="6:36" outlineLevel="1" x14ac:dyDescent="0.35">
      <c r="H146" s="1114" t="str">
        <f>'Cap Table'!$BQ$15</f>
        <v>Fully Diluted Shares</v>
      </c>
      <c r="I146" s="1111">
        <f>'Cap Table'!$BQ$101+'Cap Table'!$BR$101</f>
        <v>0</v>
      </c>
      <c r="J146" s="1113" t="e">
        <f t="shared" si="19"/>
        <v>#DIV/0!</v>
      </c>
      <c r="K146" s="1115">
        <f>'Cap Table'!$BQ$18</f>
        <v>0</v>
      </c>
      <c r="L146" s="1116" t="e">
        <f>'Cap Table'!$BQ$101/'Cap Table'!$CO$101</f>
        <v>#DIV/0!</v>
      </c>
      <c r="M146" s="1117">
        <f>'Cap Table'!$BS$101</f>
        <v>0</v>
      </c>
      <c r="N146" s="1118">
        <f>Seniority!$BN$105</f>
        <v>0</v>
      </c>
      <c r="R146" s="1114" t="str">
        <f>'Cap Table'!$BQ$15</f>
        <v>Fully Diluted Shares</v>
      </c>
      <c r="S146" s="1111">
        <f>'Cap Table'!$BQ$101+'Cap Table'!$BR$101</f>
        <v>0</v>
      </c>
      <c r="T146" s="1113" t="e">
        <f t="shared" si="20"/>
        <v>#DIV/0!</v>
      </c>
      <c r="U146" s="1115">
        <f>'Cap Table'!$BQ$18</f>
        <v>0</v>
      </c>
      <c r="V146" s="1116" t="e">
        <f>'Cap Table'!$BQ$101/'Cap Table'!$CO$101</f>
        <v>#DIV/0!</v>
      </c>
      <c r="W146" s="1117">
        <f>'Cap Table'!$BS$101</f>
        <v>0</v>
      </c>
      <c r="X146" s="1118">
        <f>Seniority!$BN$105</f>
        <v>0</v>
      </c>
      <c r="AD146" s="1114" t="str">
        <f>'Cap Table'!$BQ$15</f>
        <v>Fully Diluted Shares</v>
      </c>
      <c r="AE146" s="1111">
        <f>'Cap Table'!$BQ$101+'Cap Table'!$BR$101</f>
        <v>0</v>
      </c>
      <c r="AF146" s="1113" t="e">
        <f t="shared" si="21"/>
        <v>#DIV/0!</v>
      </c>
      <c r="AG146" s="1115">
        <f>'Cap Table'!$BQ$18</f>
        <v>0</v>
      </c>
      <c r="AH146" s="1116" t="e">
        <f>'Cap Table'!$BQ$101/'Cap Table'!$CO$101</f>
        <v>#DIV/0!</v>
      </c>
      <c r="AI146" s="1117">
        <f>'Cap Table'!$BS$101</f>
        <v>0</v>
      </c>
      <c r="AJ146" s="1118">
        <f>Seniority!$BN$105</f>
        <v>0</v>
      </c>
    </row>
    <row r="147" spans="6:36" outlineLevel="1" x14ac:dyDescent="0.35">
      <c r="H147" s="1114" t="str">
        <f>'Cap Table'!$BY$15</f>
        <v>Fully Diluted Shares</v>
      </c>
      <c r="I147" s="1111"/>
      <c r="J147" s="1113" t="e">
        <f t="shared" si="19"/>
        <v>#DIV/0!</v>
      </c>
      <c r="K147" s="1115">
        <f>'Cap Table'!$BY$18</f>
        <v>0</v>
      </c>
      <c r="L147" s="1116" t="e">
        <f>'Cap Table'!$BY$101/'Cap Table'!$CO$101</f>
        <v>#DIV/0!</v>
      </c>
      <c r="M147" s="1117">
        <f>'Cap Table'!$CA$101</f>
        <v>0</v>
      </c>
      <c r="N147" s="1118">
        <f>'Cap Table'!$CT$101</f>
        <v>0</v>
      </c>
      <c r="R147" s="1114" t="str">
        <f>'Cap Table'!$BY$15</f>
        <v>Fully Diluted Shares</v>
      </c>
      <c r="S147" s="1111"/>
      <c r="T147" s="1113" t="e">
        <f t="shared" si="20"/>
        <v>#DIV/0!</v>
      </c>
      <c r="U147" s="1115">
        <f>'Cap Table'!$BY$18</f>
        <v>0</v>
      </c>
      <c r="V147" s="1116" t="e">
        <f>'Cap Table'!$BY$101/'Cap Table'!$CO$101</f>
        <v>#DIV/0!</v>
      </c>
      <c r="W147" s="1117">
        <f>'Cap Table'!$CA$101</f>
        <v>0</v>
      </c>
      <c r="X147" s="1118">
        <f>'Cap Table'!$CT$101</f>
        <v>0</v>
      </c>
      <c r="AD147" s="1114" t="str">
        <f>'Cap Table'!$BY$15</f>
        <v>Fully Diluted Shares</v>
      </c>
      <c r="AE147" s="1111"/>
      <c r="AF147" s="1113" t="e">
        <f t="shared" si="21"/>
        <v>#DIV/0!</v>
      </c>
      <c r="AG147" s="1115">
        <f>'Cap Table'!$BY$18</f>
        <v>0</v>
      </c>
      <c r="AH147" s="1116" t="e">
        <f>'Cap Table'!$BY$101/'Cap Table'!$CO$101</f>
        <v>#DIV/0!</v>
      </c>
      <c r="AI147" s="1117">
        <f>'Cap Table'!$CA$101</f>
        <v>0</v>
      </c>
      <c r="AJ147" s="1118">
        <f>'Cap Table'!$CT$101</f>
        <v>0</v>
      </c>
    </row>
    <row r="148" spans="6:36" outlineLevel="1" x14ac:dyDescent="0.35">
      <c r="H148" s="951"/>
      <c r="I148" s="1111"/>
      <c r="J148" s="1113"/>
      <c r="K148" s="1115"/>
      <c r="L148" s="1111"/>
      <c r="M148" s="1117"/>
      <c r="N148" s="1118"/>
      <c r="R148" s="951"/>
      <c r="S148" s="1111"/>
      <c r="T148" s="1113"/>
      <c r="U148" s="1115"/>
      <c r="V148" s="1111"/>
      <c r="W148" s="1117"/>
      <c r="X148" s="1118"/>
      <c r="AD148" s="951"/>
      <c r="AE148" s="1111"/>
      <c r="AF148" s="1113"/>
      <c r="AG148" s="1115"/>
      <c r="AH148" s="1111"/>
      <c r="AI148" s="1117"/>
      <c r="AJ148" s="1118"/>
    </row>
    <row r="149" spans="6:36" outlineLevel="1" x14ac:dyDescent="0.35">
      <c r="H149" s="951" t="s">
        <v>26</v>
      </c>
      <c r="I149" s="1111">
        <f>SUM('Cap Table'!$G$22:$G$60)</f>
        <v>0</v>
      </c>
      <c r="J149" s="1113" t="e">
        <f>I149/$I$153</f>
        <v>#DIV/0!</v>
      </c>
      <c r="L149" s="1111"/>
      <c r="N149" s="952"/>
      <c r="R149" s="951" t="s">
        <v>26</v>
      </c>
      <c r="S149" s="1111">
        <f>SUM('Cap Table'!$G$22:$G$60)</f>
        <v>0</v>
      </c>
      <c r="T149" s="1113" t="e">
        <f>S149/$I$153</f>
        <v>#DIV/0!</v>
      </c>
      <c r="V149" s="1111"/>
      <c r="X149" s="952"/>
      <c r="AD149" s="951" t="s">
        <v>26</v>
      </c>
      <c r="AE149" s="1111">
        <f>SUM('Cap Table'!$G$22:$G$60)</f>
        <v>0</v>
      </c>
      <c r="AF149" s="1113" t="e">
        <f>AE149/$I$153</f>
        <v>#DIV/0!</v>
      </c>
      <c r="AH149" s="1111"/>
      <c r="AJ149" s="952"/>
    </row>
    <row r="150" spans="6:36" outlineLevel="1" x14ac:dyDescent="0.35">
      <c r="H150" s="951" t="s">
        <v>335</v>
      </c>
      <c r="I150" s="1111">
        <f>'Cap Table'!CQ97+(('Cap Table'!CQ98+'Cap Table'!CQ99)*'Return Waterfall'!$D$6)</f>
        <v>0</v>
      </c>
      <c r="J150" s="1113" t="e">
        <f>I150/$I$153</f>
        <v>#DIV/0!</v>
      </c>
      <c r="L150" s="1111"/>
      <c r="N150" s="952"/>
      <c r="R150" s="951" t="s">
        <v>335</v>
      </c>
      <c r="S150" s="1111">
        <f>'Cap Table'!DA97+(('Cap Table'!DA98+'Cap Table'!DA99)*'Return Waterfall'!$D$6)</f>
        <v>0</v>
      </c>
      <c r="T150" s="1113" t="e">
        <f>S150/$I$153</f>
        <v>#DIV/0!</v>
      </c>
      <c r="V150" s="1111"/>
      <c r="X150" s="952"/>
      <c r="AD150" s="951" t="s">
        <v>335</v>
      </c>
      <c r="AE150" s="1111">
        <f>'Cap Table'!DM97+(('Cap Table'!DM98+'Cap Table'!DM99)*'Return Waterfall'!$D$6)</f>
        <v>0</v>
      </c>
      <c r="AF150" s="1113" t="e">
        <f>AE150/$I$153</f>
        <v>#DIV/0!</v>
      </c>
      <c r="AH150" s="1111"/>
      <c r="AJ150" s="952"/>
    </row>
    <row r="151" spans="6:36" outlineLevel="1" x14ac:dyDescent="0.35">
      <c r="H151" s="951" t="s">
        <v>24</v>
      </c>
      <c r="I151" s="1111">
        <f>'Cap Table'!$F$101</f>
        <v>0</v>
      </c>
      <c r="J151" s="1113" t="e">
        <f>I151/$I$153</f>
        <v>#DIV/0!</v>
      </c>
      <c r="L151" s="1111"/>
      <c r="N151" s="952"/>
      <c r="R151" s="951" t="s">
        <v>24</v>
      </c>
      <c r="S151" s="1111">
        <f>'Cap Table'!$F$101</f>
        <v>0</v>
      </c>
      <c r="T151" s="1113" t="e">
        <f>S151/$I$153</f>
        <v>#DIV/0!</v>
      </c>
      <c r="V151" s="1111"/>
      <c r="X151" s="952"/>
      <c r="AD151" s="951" t="s">
        <v>24</v>
      </c>
      <c r="AE151" s="1111">
        <f>'Cap Table'!$F$101</f>
        <v>0</v>
      </c>
      <c r="AF151" s="1113" t="e">
        <f>AE151/$I$153</f>
        <v>#DIV/0!</v>
      </c>
      <c r="AH151" s="1111"/>
      <c r="AJ151" s="952"/>
    </row>
    <row r="152" spans="6:36" outlineLevel="1" x14ac:dyDescent="0.35">
      <c r="F152" s="1128" t="s">
        <v>336</v>
      </c>
      <c r="G152" s="949">
        <f>D6</f>
        <v>0</v>
      </c>
      <c r="H152" s="951" t="s">
        <v>315</v>
      </c>
      <c r="I152" s="1111">
        <f>(('Cap Table'!CQ98+'Cap Table'!CQ99)*'Return Waterfall'!$D$6)</f>
        <v>0</v>
      </c>
      <c r="J152" s="1113" t="e">
        <f>I152/$I$153</f>
        <v>#DIV/0!</v>
      </c>
      <c r="L152" s="1111"/>
      <c r="N152" s="952"/>
      <c r="R152" s="951" t="s">
        <v>315</v>
      </c>
      <c r="S152" s="1111">
        <f>(('Cap Table'!DA98+'Cap Table'!DA99)*'Return Waterfall'!$D$6)</f>
        <v>0</v>
      </c>
      <c r="T152" s="1113" t="e">
        <f>S152/$I$153</f>
        <v>#DIV/0!</v>
      </c>
      <c r="V152" s="1111"/>
      <c r="X152" s="952"/>
      <c r="AD152" s="951" t="s">
        <v>315</v>
      </c>
      <c r="AE152" s="1111">
        <f>(('Cap Table'!DM98+'Cap Table'!DM99)*'Return Waterfall'!$D$6)</f>
        <v>0</v>
      </c>
      <c r="AF152" s="1113" t="e">
        <f>AE152/$I$153</f>
        <v>#DIV/0!</v>
      </c>
      <c r="AH152" s="1111"/>
      <c r="AJ152" s="952"/>
    </row>
    <row r="153" spans="6:36" outlineLevel="1" x14ac:dyDescent="0.35">
      <c r="H153" s="977" t="s">
        <v>337</v>
      </c>
      <c r="I153" s="1120">
        <f>SUM(I138:I152)</f>
        <v>0</v>
      </c>
      <c r="J153" s="1125" t="e">
        <f>SUM(J138:J151)</f>
        <v>#DIV/0!</v>
      </c>
      <c r="K153" s="1122"/>
      <c r="L153" s="1129"/>
      <c r="M153" s="1130">
        <f>SUM(M138:M147)</f>
        <v>0</v>
      </c>
      <c r="N153" s="1124">
        <f>SUM(N138:N147)</f>
        <v>0</v>
      </c>
      <c r="R153" s="977" t="s">
        <v>337</v>
      </c>
      <c r="S153" s="1120">
        <f>SUM(S138:S151)</f>
        <v>0</v>
      </c>
      <c r="T153" s="1125" t="e">
        <f>SUM(T138:T151)</f>
        <v>#DIV/0!</v>
      </c>
      <c r="U153" s="1122"/>
      <c r="V153" s="1129"/>
      <c r="W153" s="1120">
        <f>SUM(W138:W147)</f>
        <v>0</v>
      </c>
      <c r="X153" s="1124">
        <f>SUM(X138:X147)</f>
        <v>0</v>
      </c>
      <c r="AD153" s="977" t="s">
        <v>337</v>
      </c>
      <c r="AE153" s="1120">
        <f>SUM(AE138:AE151)</f>
        <v>0</v>
      </c>
      <c r="AF153" s="1125" t="e">
        <f>SUM(AF138:AF151)</f>
        <v>#DIV/0!</v>
      </c>
      <c r="AG153" s="1122"/>
      <c r="AH153" s="1129"/>
      <c r="AI153" s="1120">
        <f>SUM(AI138:AI147)</f>
        <v>0</v>
      </c>
      <c r="AJ153" s="1124">
        <f>SUM(AJ138:AJ147)</f>
        <v>0</v>
      </c>
    </row>
    <row r="154" spans="6:36" outlineLevel="1" x14ac:dyDescent="0.35"/>
    <row r="155" spans="6:36" ht="18" customHeight="1" outlineLevel="1" x14ac:dyDescent="0.35">
      <c r="G155" t="s">
        <v>332</v>
      </c>
      <c r="H155" s="1131" t="s">
        <v>338</v>
      </c>
      <c r="I155" s="1132"/>
      <c r="J155" s="1132"/>
      <c r="K155" s="1132"/>
      <c r="L155" s="1132"/>
      <c r="M155" s="1132"/>
      <c r="N155" s="1133"/>
      <c r="R155" s="1131" t="s">
        <v>338</v>
      </c>
      <c r="S155" s="1132"/>
      <c r="T155" s="1132"/>
      <c r="U155" s="1132"/>
      <c r="V155" s="1132"/>
      <c r="W155" s="1132"/>
      <c r="X155" s="1133"/>
      <c r="AD155" s="1131" t="s">
        <v>338</v>
      </c>
      <c r="AE155" s="1132"/>
      <c r="AF155" s="1132"/>
      <c r="AG155" s="1132"/>
      <c r="AH155" s="1132"/>
      <c r="AI155" s="1132"/>
      <c r="AJ155" s="1133"/>
    </row>
    <row r="156" spans="6:36" ht="29.5" outlineLevel="1" thickBot="1" x14ac:dyDescent="0.4">
      <c r="H156" s="1134" t="s">
        <v>317</v>
      </c>
      <c r="I156" s="1135" t="s">
        <v>325</v>
      </c>
      <c r="J156" s="1135" t="s">
        <v>326</v>
      </c>
      <c r="K156" s="1135" t="s">
        <v>339</v>
      </c>
      <c r="L156" s="1135" t="s">
        <v>334</v>
      </c>
      <c r="M156" s="1135" t="s">
        <v>340</v>
      </c>
      <c r="N156" s="1136" t="s">
        <v>330</v>
      </c>
      <c r="R156" s="1134" t="s">
        <v>317</v>
      </c>
      <c r="S156" s="1135" t="s">
        <v>325</v>
      </c>
      <c r="T156" s="1135" t="s">
        <v>326</v>
      </c>
      <c r="U156" s="1135"/>
      <c r="V156" s="1135" t="s">
        <v>334</v>
      </c>
      <c r="W156" s="1135" t="s">
        <v>340</v>
      </c>
      <c r="X156" s="1136" t="s">
        <v>330</v>
      </c>
      <c r="AD156" s="1134" t="s">
        <v>317</v>
      </c>
      <c r="AE156" s="1135" t="s">
        <v>325</v>
      </c>
      <c r="AF156" s="1135" t="s">
        <v>326</v>
      </c>
      <c r="AG156" s="1135"/>
      <c r="AH156" s="1135" t="s">
        <v>334</v>
      </c>
      <c r="AI156" s="1135" t="s">
        <v>340</v>
      </c>
      <c r="AJ156" s="1136" t="s">
        <v>330</v>
      </c>
    </row>
    <row r="157" spans="6:36" ht="15" outlineLevel="1" thickBot="1" x14ac:dyDescent="0.4">
      <c r="H157" s="1137" t="str">
        <f>'Cap Table'!$D$22</f>
        <v>Investor 2</v>
      </c>
      <c r="I157" s="1111">
        <f>'Cap Table'!$CQ$22</f>
        <v>0</v>
      </c>
      <c r="J157" s="1113" t="e">
        <f>I157/$I$185</f>
        <v>#DIV/0!</v>
      </c>
      <c r="K157" s="1111">
        <f>'Cap Table'!$CO$22</f>
        <v>0</v>
      </c>
      <c r="L157" s="1138" t="e">
        <f>K157/$K$185</f>
        <v>#DIV/0!</v>
      </c>
      <c r="M157" s="1117">
        <f>'Cap Table'!$CI$22</f>
        <v>0</v>
      </c>
      <c r="N157" s="1118">
        <f>'Cap Table'!$CK$22</f>
        <v>0</v>
      </c>
      <c r="R157" s="1137" t="str">
        <f>'Cap Table'!$D$22</f>
        <v>Investor 2</v>
      </c>
      <c r="S157" s="1111">
        <f>'Cap Table'!$CQ$22</f>
        <v>0</v>
      </c>
      <c r="T157" s="1113" t="e">
        <f>S157/$I$185</f>
        <v>#DIV/0!</v>
      </c>
      <c r="U157" s="1111">
        <f>'Cap Table'!$CO$22</f>
        <v>0</v>
      </c>
      <c r="V157" s="1138" t="e">
        <f>U157/$K$185</f>
        <v>#DIV/0!</v>
      </c>
      <c r="W157" s="1117">
        <f>'Cap Table'!$CI$22</f>
        <v>0</v>
      </c>
      <c r="X157" s="1118">
        <f>'Cap Table'!$CK$22</f>
        <v>0</v>
      </c>
      <c r="AD157" s="1137" t="str">
        <f>'Cap Table'!$D$22</f>
        <v>Investor 2</v>
      </c>
      <c r="AE157" s="1111">
        <f>'Cap Table'!$CQ$22</f>
        <v>0</v>
      </c>
      <c r="AF157" s="1113" t="e">
        <f>AE157/$I$185</f>
        <v>#DIV/0!</v>
      </c>
      <c r="AG157" s="1111">
        <f>'Cap Table'!$CO$22</f>
        <v>0</v>
      </c>
      <c r="AH157" s="1138" t="e">
        <f>AG157/$K$185</f>
        <v>#DIV/0!</v>
      </c>
      <c r="AI157" s="1117">
        <f>'Cap Table'!$CI$22</f>
        <v>0</v>
      </c>
      <c r="AJ157" s="1118">
        <f>'Cap Table'!$CK$22</f>
        <v>0</v>
      </c>
    </row>
    <row r="158" spans="6:36" ht="15" outlineLevel="1" thickBot="1" x14ac:dyDescent="0.4">
      <c r="H158" s="1137" t="str">
        <f>'Cap Table'!$D$23</f>
        <v>Investor 3</v>
      </c>
      <c r="I158" s="1111">
        <f>'Cap Table'!$CQ$23</f>
        <v>0</v>
      </c>
      <c r="J158" s="1113" t="e">
        <f t="shared" ref="J158:J184" si="22">I158/$I$185</f>
        <v>#DIV/0!</v>
      </c>
      <c r="K158" s="1111">
        <f>'Cap Table'!$CO$23</f>
        <v>0</v>
      </c>
      <c r="L158" s="1138" t="e">
        <f t="shared" ref="L158:L184" si="23">K158/$K$185</f>
        <v>#DIV/0!</v>
      </c>
      <c r="M158" s="1117">
        <f>'Cap Table'!$CI$23</f>
        <v>0</v>
      </c>
      <c r="N158" s="1118">
        <f>'Cap Table'!$CK$23</f>
        <v>0</v>
      </c>
      <c r="R158" s="1137" t="str">
        <f>'Cap Table'!$D$23</f>
        <v>Investor 3</v>
      </c>
      <c r="S158" s="1111">
        <f>'Cap Table'!$CQ$23</f>
        <v>0</v>
      </c>
      <c r="T158" s="1113" t="e">
        <f t="shared" ref="T158:T184" si="24">S158/$I$185</f>
        <v>#DIV/0!</v>
      </c>
      <c r="U158" s="1111">
        <f>'Cap Table'!$CO$23</f>
        <v>0</v>
      </c>
      <c r="V158" s="1138" t="e">
        <f t="shared" ref="V158:V184" si="25">U158/$K$185</f>
        <v>#DIV/0!</v>
      </c>
      <c r="W158" s="1117">
        <f>'Cap Table'!$CI$23</f>
        <v>0</v>
      </c>
      <c r="X158" s="1118">
        <f>'Cap Table'!$CK$23</f>
        <v>0</v>
      </c>
      <c r="AD158" s="1137" t="str">
        <f>'Cap Table'!$D$23</f>
        <v>Investor 3</v>
      </c>
      <c r="AE158" s="1111">
        <f>'Cap Table'!$CQ$23</f>
        <v>0</v>
      </c>
      <c r="AF158" s="1113" t="e">
        <f t="shared" ref="AF158:AF184" si="26">AE158/$I$185</f>
        <v>#DIV/0!</v>
      </c>
      <c r="AG158" s="1111">
        <f>'Cap Table'!$CO$23</f>
        <v>0</v>
      </c>
      <c r="AH158" s="1138" t="e">
        <f t="shared" ref="AH158:AH184" si="27">AG158/$K$185</f>
        <v>#DIV/0!</v>
      </c>
      <c r="AI158" s="1117">
        <f>'Cap Table'!$CI$23</f>
        <v>0</v>
      </c>
      <c r="AJ158" s="1118">
        <f>'Cap Table'!$CK$23</f>
        <v>0</v>
      </c>
    </row>
    <row r="159" spans="6:36" ht="15" outlineLevel="1" thickBot="1" x14ac:dyDescent="0.4">
      <c r="H159" s="1137" t="str">
        <f>'Cap Table'!$D$24</f>
        <v>Investor 4</v>
      </c>
      <c r="I159" s="1111">
        <f>'Cap Table'!$CQ$24</f>
        <v>0</v>
      </c>
      <c r="J159" s="1113" t="e">
        <f t="shared" si="22"/>
        <v>#DIV/0!</v>
      </c>
      <c r="K159" s="1111">
        <f>'Cap Table'!$CO$24</f>
        <v>0</v>
      </c>
      <c r="L159" s="1138" t="e">
        <f t="shared" si="23"/>
        <v>#DIV/0!</v>
      </c>
      <c r="M159" s="1117">
        <f>'Cap Table'!$CI$24</f>
        <v>0</v>
      </c>
      <c r="N159" s="1118">
        <f>'Cap Table'!$CK$24</f>
        <v>0</v>
      </c>
      <c r="R159" s="1137" t="str">
        <f>'Cap Table'!$D$24</f>
        <v>Investor 4</v>
      </c>
      <c r="S159" s="1111">
        <f>'Cap Table'!$CQ$24</f>
        <v>0</v>
      </c>
      <c r="T159" s="1113" t="e">
        <f t="shared" si="24"/>
        <v>#DIV/0!</v>
      </c>
      <c r="U159" s="1111">
        <f>'Cap Table'!$CO$24</f>
        <v>0</v>
      </c>
      <c r="V159" s="1138" t="e">
        <f t="shared" si="25"/>
        <v>#DIV/0!</v>
      </c>
      <c r="W159" s="1117">
        <f>'Cap Table'!$CI$24</f>
        <v>0</v>
      </c>
      <c r="X159" s="1118">
        <f>'Cap Table'!$CK$24</f>
        <v>0</v>
      </c>
      <c r="AD159" s="1137" t="str">
        <f>'Cap Table'!$D$24</f>
        <v>Investor 4</v>
      </c>
      <c r="AE159" s="1111">
        <f>'Cap Table'!$CQ$24</f>
        <v>0</v>
      </c>
      <c r="AF159" s="1113" t="e">
        <f t="shared" si="26"/>
        <v>#DIV/0!</v>
      </c>
      <c r="AG159" s="1111">
        <f>'Cap Table'!$CO$24</f>
        <v>0</v>
      </c>
      <c r="AH159" s="1138" t="e">
        <f t="shared" si="27"/>
        <v>#DIV/0!</v>
      </c>
      <c r="AI159" s="1117">
        <f>'Cap Table'!$CI$24</f>
        <v>0</v>
      </c>
      <c r="AJ159" s="1118">
        <f>'Cap Table'!$CK$24</f>
        <v>0</v>
      </c>
    </row>
    <row r="160" spans="6:36" ht="15" outlineLevel="1" thickBot="1" x14ac:dyDescent="0.4">
      <c r="H160" s="1137" t="str">
        <f>'Cap Table'!$D$25</f>
        <v>Investor 5</v>
      </c>
      <c r="I160" s="1111">
        <f>'Cap Table'!$CQ$25</f>
        <v>0</v>
      </c>
      <c r="J160" s="1113" t="e">
        <f t="shared" si="22"/>
        <v>#DIV/0!</v>
      </c>
      <c r="K160" s="1111">
        <f>'Cap Table'!$CO$25</f>
        <v>0</v>
      </c>
      <c r="L160" s="1138" t="e">
        <f t="shared" si="23"/>
        <v>#DIV/0!</v>
      </c>
      <c r="M160" s="1117">
        <f>'Cap Table'!$CI$25</f>
        <v>0</v>
      </c>
      <c r="N160" s="1118">
        <f>'Cap Table'!$CK$25</f>
        <v>0</v>
      </c>
      <c r="R160" s="1137" t="str">
        <f>'Cap Table'!$D$25</f>
        <v>Investor 5</v>
      </c>
      <c r="S160" s="1111">
        <f>'Cap Table'!$CQ$25</f>
        <v>0</v>
      </c>
      <c r="T160" s="1113" t="e">
        <f t="shared" si="24"/>
        <v>#DIV/0!</v>
      </c>
      <c r="U160" s="1111">
        <f>'Cap Table'!$CO$25</f>
        <v>0</v>
      </c>
      <c r="V160" s="1138" t="e">
        <f t="shared" si="25"/>
        <v>#DIV/0!</v>
      </c>
      <c r="W160" s="1117">
        <f>'Cap Table'!$CI$25</f>
        <v>0</v>
      </c>
      <c r="X160" s="1118">
        <f>'Cap Table'!$CK$25</f>
        <v>0</v>
      </c>
      <c r="AD160" s="1137" t="str">
        <f>'Cap Table'!$D$25</f>
        <v>Investor 5</v>
      </c>
      <c r="AE160" s="1111">
        <f>'Cap Table'!$CQ$25</f>
        <v>0</v>
      </c>
      <c r="AF160" s="1113" t="e">
        <f t="shared" si="26"/>
        <v>#DIV/0!</v>
      </c>
      <c r="AG160" s="1111">
        <f>'Cap Table'!$CO$25</f>
        <v>0</v>
      </c>
      <c r="AH160" s="1138" t="e">
        <f t="shared" si="27"/>
        <v>#DIV/0!</v>
      </c>
      <c r="AI160" s="1117">
        <f>'Cap Table'!$CI$25</f>
        <v>0</v>
      </c>
      <c r="AJ160" s="1118">
        <f>'Cap Table'!$CK$25</f>
        <v>0</v>
      </c>
    </row>
    <row r="161" spans="8:36" ht="15" outlineLevel="1" thickBot="1" x14ac:dyDescent="0.4">
      <c r="H161" s="1137" t="str">
        <f>'Cap Table'!$D$41</f>
        <v>Investor 6</v>
      </c>
      <c r="I161" s="1111">
        <f>'Cap Table'!$CQ$41</f>
        <v>0</v>
      </c>
      <c r="J161" s="1113" t="e">
        <f t="shared" si="22"/>
        <v>#DIV/0!</v>
      </c>
      <c r="K161" s="1111">
        <f>'Cap Table'!$CO$41</f>
        <v>0</v>
      </c>
      <c r="L161" s="1138" t="e">
        <f t="shared" si="23"/>
        <v>#DIV/0!</v>
      </c>
      <c r="M161" s="1117">
        <f>'Cap Table'!$CI$41</f>
        <v>0</v>
      </c>
      <c r="N161" s="1118">
        <f>'Cap Table'!$CK$41</f>
        <v>0</v>
      </c>
      <c r="R161" s="1137" t="str">
        <f>'Cap Table'!$D$41</f>
        <v>Investor 6</v>
      </c>
      <c r="S161" s="1111">
        <f>'Cap Table'!$CQ$41</f>
        <v>0</v>
      </c>
      <c r="T161" s="1113" t="e">
        <f t="shared" si="24"/>
        <v>#DIV/0!</v>
      </c>
      <c r="U161" s="1111">
        <f>'Cap Table'!$CO$41</f>
        <v>0</v>
      </c>
      <c r="V161" s="1138" t="e">
        <f t="shared" si="25"/>
        <v>#DIV/0!</v>
      </c>
      <c r="W161" s="1117">
        <f>'Cap Table'!$CI$41</f>
        <v>0</v>
      </c>
      <c r="X161" s="1118">
        <f>'Cap Table'!$CK$41</f>
        <v>0</v>
      </c>
      <c r="AD161" s="1137" t="str">
        <f>'Cap Table'!$D$41</f>
        <v>Investor 6</v>
      </c>
      <c r="AE161" s="1111">
        <f>'Cap Table'!$CQ$41</f>
        <v>0</v>
      </c>
      <c r="AF161" s="1113" t="e">
        <f t="shared" si="26"/>
        <v>#DIV/0!</v>
      </c>
      <c r="AG161" s="1111">
        <f>'Cap Table'!$CO$41</f>
        <v>0</v>
      </c>
      <c r="AH161" s="1138" t="e">
        <f t="shared" si="27"/>
        <v>#DIV/0!</v>
      </c>
      <c r="AI161" s="1117">
        <f>'Cap Table'!$CI$41</f>
        <v>0</v>
      </c>
      <c r="AJ161" s="1118">
        <f>'Cap Table'!$CK$41</f>
        <v>0</v>
      </c>
    </row>
    <row r="162" spans="8:36" ht="15" outlineLevel="1" thickBot="1" x14ac:dyDescent="0.4">
      <c r="H162" s="1137">
        <f>'Cap Table'!$D$42</f>
        <v>0</v>
      </c>
      <c r="I162" s="1111">
        <f>'Cap Table'!$CQ$42</f>
        <v>0</v>
      </c>
      <c r="J162" s="1113" t="e">
        <f t="shared" si="22"/>
        <v>#DIV/0!</v>
      </c>
      <c r="K162" s="1111">
        <f>'Cap Table'!$CO$42</f>
        <v>0</v>
      </c>
      <c r="L162" s="1138" t="e">
        <f t="shared" si="23"/>
        <v>#DIV/0!</v>
      </c>
      <c r="M162" s="1117">
        <f>'Cap Table'!$CI$42</f>
        <v>0</v>
      </c>
      <c r="N162" s="1118">
        <f>'Cap Table'!$CK$42</f>
        <v>0</v>
      </c>
      <c r="P162" t="s">
        <v>286</v>
      </c>
      <c r="R162" s="1137">
        <f>'Cap Table'!$D$42</f>
        <v>0</v>
      </c>
      <c r="S162" s="1111">
        <f>'Cap Table'!$CQ$42</f>
        <v>0</v>
      </c>
      <c r="T162" s="1113" t="e">
        <f t="shared" si="24"/>
        <v>#DIV/0!</v>
      </c>
      <c r="U162" s="1111">
        <f>'Cap Table'!$CO$42</f>
        <v>0</v>
      </c>
      <c r="V162" s="1138" t="e">
        <f t="shared" si="25"/>
        <v>#DIV/0!</v>
      </c>
      <c r="W162" s="1117">
        <f>'Cap Table'!$CI$42</f>
        <v>0</v>
      </c>
      <c r="X162" s="1118">
        <f>'Cap Table'!$CK$42</f>
        <v>0</v>
      </c>
      <c r="AD162" s="1137">
        <f>'Cap Table'!$D$42</f>
        <v>0</v>
      </c>
      <c r="AE162" s="1111">
        <f>'Cap Table'!$CQ$42</f>
        <v>0</v>
      </c>
      <c r="AF162" s="1113" t="e">
        <f t="shared" si="26"/>
        <v>#DIV/0!</v>
      </c>
      <c r="AG162" s="1111">
        <f>'Cap Table'!$CO$42</f>
        <v>0</v>
      </c>
      <c r="AH162" s="1138" t="e">
        <f t="shared" si="27"/>
        <v>#DIV/0!</v>
      </c>
      <c r="AI162" s="1117">
        <f>'Cap Table'!$CI$42</f>
        <v>0</v>
      </c>
      <c r="AJ162" s="1118">
        <f>'Cap Table'!$CK$42</f>
        <v>0</v>
      </c>
    </row>
    <row r="163" spans="8:36" ht="15" outlineLevel="1" thickBot="1" x14ac:dyDescent="0.4">
      <c r="H163" s="1137" t="str">
        <f>'Cap Table'!$D43</f>
        <v>Founders/Leadership</v>
      </c>
      <c r="I163" s="1111">
        <f>'Cap Table'!$CQ$43</f>
        <v>0</v>
      </c>
      <c r="J163" s="1113" t="e">
        <f t="shared" si="22"/>
        <v>#DIV/0!</v>
      </c>
      <c r="K163" s="1111">
        <f>'Cap Table'!$CO$43</f>
        <v>0</v>
      </c>
      <c r="L163" s="1138" t="e">
        <f t="shared" si="23"/>
        <v>#DIV/0!</v>
      </c>
      <c r="M163" s="1117">
        <f>'Cap Table'!$CI$43</f>
        <v>0</v>
      </c>
      <c r="N163" s="1118">
        <f>'Cap Table'!$CK$43</f>
        <v>0</v>
      </c>
      <c r="R163" s="1137" t="str">
        <f>'Cap Table'!$D43</f>
        <v>Founders/Leadership</v>
      </c>
      <c r="S163" s="1111">
        <f>'Cap Table'!$CQ$43</f>
        <v>0</v>
      </c>
      <c r="T163" s="1113" t="e">
        <f t="shared" si="24"/>
        <v>#DIV/0!</v>
      </c>
      <c r="U163" s="1111">
        <f>'Cap Table'!$CO$43</f>
        <v>0</v>
      </c>
      <c r="V163" s="1138" t="e">
        <f t="shared" si="25"/>
        <v>#DIV/0!</v>
      </c>
      <c r="W163" s="1117">
        <f>'Cap Table'!$CI$43</f>
        <v>0</v>
      </c>
      <c r="X163" s="1118">
        <f>'Cap Table'!$CK$43</f>
        <v>0</v>
      </c>
      <c r="AD163" s="1137" t="str">
        <f>'Cap Table'!$D43</f>
        <v>Founders/Leadership</v>
      </c>
      <c r="AE163" s="1111">
        <f>'Cap Table'!$CQ$43</f>
        <v>0</v>
      </c>
      <c r="AF163" s="1113" t="e">
        <f t="shared" si="26"/>
        <v>#DIV/0!</v>
      </c>
      <c r="AG163" s="1111">
        <f>'Cap Table'!$CO$43</f>
        <v>0</v>
      </c>
      <c r="AH163" s="1138" t="e">
        <f t="shared" si="27"/>
        <v>#DIV/0!</v>
      </c>
      <c r="AI163" s="1117">
        <f>'Cap Table'!$CI$43</f>
        <v>0</v>
      </c>
      <c r="AJ163" s="1118">
        <f>'Cap Table'!$CK$43</f>
        <v>0</v>
      </c>
    </row>
    <row r="164" spans="8:36" ht="15" outlineLevel="1" thickBot="1" x14ac:dyDescent="0.4">
      <c r="H164" s="1137" t="str">
        <f>'Cap Table'!$D44</f>
        <v>Others 1</v>
      </c>
      <c r="I164" s="1111">
        <f>'Cap Table'!$CQ$44</f>
        <v>0</v>
      </c>
      <c r="J164" s="1113" t="e">
        <f t="shared" si="22"/>
        <v>#DIV/0!</v>
      </c>
      <c r="K164" s="1111">
        <f>'Cap Table'!$CO$44</f>
        <v>0</v>
      </c>
      <c r="L164" s="1138" t="e">
        <f t="shared" si="23"/>
        <v>#DIV/0!</v>
      </c>
      <c r="M164" s="1117">
        <f>'Cap Table'!$CI$44</f>
        <v>0</v>
      </c>
      <c r="N164" s="1118">
        <f>'Cap Table'!$CK$44</f>
        <v>0</v>
      </c>
      <c r="R164" s="1137" t="str">
        <f>'Cap Table'!$D44</f>
        <v>Others 1</v>
      </c>
      <c r="S164" s="1111">
        <f>'Cap Table'!$CQ$44</f>
        <v>0</v>
      </c>
      <c r="T164" s="1113" t="e">
        <f t="shared" si="24"/>
        <v>#DIV/0!</v>
      </c>
      <c r="U164" s="1111">
        <f>'Cap Table'!$CO$44</f>
        <v>0</v>
      </c>
      <c r="V164" s="1138" t="e">
        <f t="shared" si="25"/>
        <v>#DIV/0!</v>
      </c>
      <c r="W164" s="1117">
        <f>'Cap Table'!$CI$44</f>
        <v>0</v>
      </c>
      <c r="X164" s="1118">
        <f>'Cap Table'!$CK$44</f>
        <v>0</v>
      </c>
      <c r="AD164" s="1137" t="str">
        <f>'Cap Table'!$D44</f>
        <v>Others 1</v>
      </c>
      <c r="AE164" s="1111">
        <f>'Cap Table'!$CQ$44</f>
        <v>0</v>
      </c>
      <c r="AF164" s="1113" t="e">
        <f t="shared" si="26"/>
        <v>#DIV/0!</v>
      </c>
      <c r="AG164" s="1111">
        <f>'Cap Table'!$CO$44</f>
        <v>0</v>
      </c>
      <c r="AH164" s="1138" t="e">
        <f t="shared" si="27"/>
        <v>#DIV/0!</v>
      </c>
      <c r="AI164" s="1117">
        <f>'Cap Table'!$CI$44</f>
        <v>0</v>
      </c>
      <c r="AJ164" s="1118">
        <f>'Cap Table'!$CK$44</f>
        <v>0</v>
      </c>
    </row>
    <row r="165" spans="8:36" ht="15" outlineLevel="1" thickBot="1" x14ac:dyDescent="0.4">
      <c r="H165" s="1137" t="str">
        <f>'Cap Table'!$D45</f>
        <v>Others 2</v>
      </c>
      <c r="I165" s="1111">
        <f>'Cap Table'!$CQ$45</f>
        <v>0</v>
      </c>
      <c r="J165" s="1113" t="e">
        <f t="shared" si="22"/>
        <v>#DIV/0!</v>
      </c>
      <c r="K165" s="1111">
        <f>'Cap Table'!$CO$45</f>
        <v>0</v>
      </c>
      <c r="L165" s="1138" t="e">
        <f t="shared" si="23"/>
        <v>#DIV/0!</v>
      </c>
      <c r="M165" s="1117">
        <f>'Cap Table'!$CI$45</f>
        <v>0</v>
      </c>
      <c r="N165" s="1118">
        <f>'Cap Table'!$CK$45</f>
        <v>0</v>
      </c>
      <c r="R165" s="1137" t="str">
        <f>'Cap Table'!$D45</f>
        <v>Others 2</v>
      </c>
      <c r="S165" s="1111">
        <f>'Cap Table'!$CQ$45</f>
        <v>0</v>
      </c>
      <c r="T165" s="1113" t="e">
        <f t="shared" si="24"/>
        <v>#DIV/0!</v>
      </c>
      <c r="U165" s="1111">
        <f>'Cap Table'!$CO$45</f>
        <v>0</v>
      </c>
      <c r="V165" s="1138" t="e">
        <f t="shared" si="25"/>
        <v>#DIV/0!</v>
      </c>
      <c r="W165" s="1117">
        <f>'Cap Table'!$CI$45</f>
        <v>0</v>
      </c>
      <c r="X165" s="1118">
        <f>'Cap Table'!$CK$45</f>
        <v>0</v>
      </c>
      <c r="AD165" s="1137" t="str">
        <f>'Cap Table'!$D45</f>
        <v>Others 2</v>
      </c>
      <c r="AE165" s="1111">
        <f>'Cap Table'!$CQ$45</f>
        <v>0</v>
      </c>
      <c r="AF165" s="1113" t="e">
        <f t="shared" si="26"/>
        <v>#DIV/0!</v>
      </c>
      <c r="AG165" s="1111">
        <f>'Cap Table'!$CO$45</f>
        <v>0</v>
      </c>
      <c r="AH165" s="1138" t="e">
        <f t="shared" si="27"/>
        <v>#DIV/0!</v>
      </c>
      <c r="AI165" s="1117">
        <f>'Cap Table'!$CI$45</f>
        <v>0</v>
      </c>
      <c r="AJ165" s="1118">
        <f>'Cap Table'!$CK$45</f>
        <v>0</v>
      </c>
    </row>
    <row r="166" spans="8:36" ht="15" outlineLevel="1" thickBot="1" x14ac:dyDescent="0.4">
      <c r="H166" s="1137" t="str">
        <f>'Cap Table'!$D46</f>
        <v>Others 3</v>
      </c>
      <c r="I166" s="1111">
        <f>'Cap Table'!$CQ$46</f>
        <v>0</v>
      </c>
      <c r="J166" s="1113" t="e">
        <f t="shared" si="22"/>
        <v>#DIV/0!</v>
      </c>
      <c r="K166" s="1111">
        <f>'Cap Table'!$CO$46</f>
        <v>0</v>
      </c>
      <c r="L166" s="1138" t="e">
        <f t="shared" si="23"/>
        <v>#DIV/0!</v>
      </c>
      <c r="M166" s="1117">
        <f>'Cap Table'!$CI$46</f>
        <v>0</v>
      </c>
      <c r="N166" s="1118">
        <f>'Cap Table'!$CK$46</f>
        <v>0</v>
      </c>
      <c r="R166" s="1137" t="str">
        <f>'Cap Table'!$D46</f>
        <v>Others 3</v>
      </c>
      <c r="S166" s="1111">
        <f>'Cap Table'!$CQ$46</f>
        <v>0</v>
      </c>
      <c r="T166" s="1113" t="e">
        <f t="shared" si="24"/>
        <v>#DIV/0!</v>
      </c>
      <c r="U166" s="1111">
        <f>'Cap Table'!$CO$46</f>
        <v>0</v>
      </c>
      <c r="V166" s="1138" t="e">
        <f t="shared" si="25"/>
        <v>#DIV/0!</v>
      </c>
      <c r="W166" s="1117">
        <f>'Cap Table'!$CI$46</f>
        <v>0</v>
      </c>
      <c r="X166" s="1118">
        <f>'Cap Table'!$CK$46</f>
        <v>0</v>
      </c>
      <c r="AD166" s="1137" t="str">
        <f>'Cap Table'!$D46</f>
        <v>Others 3</v>
      </c>
      <c r="AE166" s="1111">
        <f>'Cap Table'!$CQ$46</f>
        <v>0</v>
      </c>
      <c r="AF166" s="1113" t="e">
        <f t="shared" si="26"/>
        <v>#DIV/0!</v>
      </c>
      <c r="AG166" s="1111">
        <f>'Cap Table'!$CO$46</f>
        <v>0</v>
      </c>
      <c r="AH166" s="1138" t="e">
        <f t="shared" si="27"/>
        <v>#DIV/0!</v>
      </c>
      <c r="AI166" s="1117">
        <f>'Cap Table'!$CI$46</f>
        <v>0</v>
      </c>
      <c r="AJ166" s="1118">
        <f>'Cap Table'!$CK$46</f>
        <v>0</v>
      </c>
    </row>
    <row r="167" spans="8:36" ht="15" outlineLevel="1" thickBot="1" x14ac:dyDescent="0.4">
      <c r="H167" s="1137" t="str">
        <f>'Cap Table'!$D47</f>
        <v>Others 4</v>
      </c>
      <c r="I167" s="1111">
        <f>'Cap Table'!$CQ$47</f>
        <v>0</v>
      </c>
      <c r="J167" s="1113" t="e">
        <f t="shared" si="22"/>
        <v>#DIV/0!</v>
      </c>
      <c r="K167" s="1111">
        <f>'Cap Table'!$CO$47</f>
        <v>0</v>
      </c>
      <c r="L167" s="1138" t="e">
        <f t="shared" si="23"/>
        <v>#DIV/0!</v>
      </c>
      <c r="M167" s="1117">
        <f>'Cap Table'!$CI$47</f>
        <v>0</v>
      </c>
      <c r="N167" s="1118">
        <f>'Cap Table'!$CK$47</f>
        <v>0</v>
      </c>
      <c r="R167" s="1137" t="str">
        <f>'Cap Table'!$D47</f>
        <v>Others 4</v>
      </c>
      <c r="S167" s="1111">
        <f>'Cap Table'!$CQ$47</f>
        <v>0</v>
      </c>
      <c r="T167" s="1113" t="e">
        <f t="shared" si="24"/>
        <v>#DIV/0!</v>
      </c>
      <c r="U167" s="1111">
        <f>'Cap Table'!$CO$47</f>
        <v>0</v>
      </c>
      <c r="V167" s="1138" t="e">
        <f t="shared" si="25"/>
        <v>#DIV/0!</v>
      </c>
      <c r="W167" s="1117">
        <f>'Cap Table'!$CI$47</f>
        <v>0</v>
      </c>
      <c r="X167" s="1118">
        <f>'Cap Table'!$CK$47</f>
        <v>0</v>
      </c>
      <c r="AD167" s="1137" t="str">
        <f>'Cap Table'!$D47</f>
        <v>Others 4</v>
      </c>
      <c r="AE167" s="1111">
        <f>'Cap Table'!$CQ$47</f>
        <v>0</v>
      </c>
      <c r="AF167" s="1113" t="e">
        <f t="shared" si="26"/>
        <v>#DIV/0!</v>
      </c>
      <c r="AG167" s="1111">
        <f>'Cap Table'!$CO$47</f>
        <v>0</v>
      </c>
      <c r="AH167" s="1138" t="e">
        <f t="shared" si="27"/>
        <v>#DIV/0!</v>
      </c>
      <c r="AI167" s="1117">
        <f>'Cap Table'!$CI$47</f>
        <v>0</v>
      </c>
      <c r="AJ167" s="1118">
        <f>'Cap Table'!$CK$47</f>
        <v>0</v>
      </c>
    </row>
    <row r="168" spans="8:36" ht="15" outlineLevel="1" thickBot="1" x14ac:dyDescent="0.4">
      <c r="H168" s="1137" t="str">
        <f>'Cap Table'!$D48</f>
        <v>Others 1</v>
      </c>
      <c r="I168" s="1111">
        <f>'Cap Table'!$CQ$48</f>
        <v>0</v>
      </c>
      <c r="J168" s="1113" t="e">
        <f t="shared" si="22"/>
        <v>#DIV/0!</v>
      </c>
      <c r="K168" s="1111">
        <f>'Cap Table'!$CO$48</f>
        <v>0</v>
      </c>
      <c r="L168" s="1138" t="e">
        <f t="shared" si="23"/>
        <v>#DIV/0!</v>
      </c>
      <c r="M168" s="1117">
        <f>'Cap Table'!$CI$48</f>
        <v>0</v>
      </c>
      <c r="N168" s="1118">
        <f>'Cap Table'!$CK$48</f>
        <v>0</v>
      </c>
      <c r="P168" t="s">
        <v>286</v>
      </c>
      <c r="R168" s="1137" t="str">
        <f>'Cap Table'!$D48</f>
        <v>Others 1</v>
      </c>
      <c r="S168" s="1111">
        <f>'Cap Table'!$CQ$48</f>
        <v>0</v>
      </c>
      <c r="T168" s="1113" t="e">
        <f t="shared" si="24"/>
        <v>#DIV/0!</v>
      </c>
      <c r="U168" s="1111">
        <f>'Cap Table'!$CO$48</f>
        <v>0</v>
      </c>
      <c r="V168" s="1138" t="e">
        <f t="shared" si="25"/>
        <v>#DIV/0!</v>
      </c>
      <c r="W168" s="1117">
        <f>'Cap Table'!$CI$48</f>
        <v>0</v>
      </c>
      <c r="X168" s="1118">
        <f>'Cap Table'!$CK$48</f>
        <v>0</v>
      </c>
      <c r="AD168" s="1137" t="str">
        <f>'Cap Table'!$D48</f>
        <v>Others 1</v>
      </c>
      <c r="AE168" s="1111">
        <f>'Cap Table'!$CQ$48</f>
        <v>0</v>
      </c>
      <c r="AF168" s="1113" t="e">
        <f t="shared" si="26"/>
        <v>#DIV/0!</v>
      </c>
      <c r="AG168" s="1111">
        <f>'Cap Table'!$CO$48</f>
        <v>0</v>
      </c>
      <c r="AH168" s="1138" t="e">
        <f t="shared" si="27"/>
        <v>#DIV/0!</v>
      </c>
      <c r="AI168" s="1117">
        <f>'Cap Table'!$CI$48</f>
        <v>0</v>
      </c>
      <c r="AJ168" s="1118">
        <f>'Cap Table'!$CK$48</f>
        <v>0</v>
      </c>
    </row>
    <row r="169" spans="8:36" ht="15" outlineLevel="1" thickBot="1" x14ac:dyDescent="0.4">
      <c r="H169" s="1137">
        <f>'Cap Table'!$D49</f>
        <v>0</v>
      </c>
      <c r="I169" s="1111">
        <f>'Cap Table'!$CQ$49</f>
        <v>0</v>
      </c>
      <c r="J169" s="1113" t="e">
        <f t="shared" si="22"/>
        <v>#DIV/0!</v>
      </c>
      <c r="K169" s="1111">
        <f>'Cap Table'!$CO$49</f>
        <v>0</v>
      </c>
      <c r="L169" s="1138" t="e">
        <f t="shared" si="23"/>
        <v>#DIV/0!</v>
      </c>
      <c r="M169" s="1117">
        <f>'Cap Table'!$CI$49</f>
        <v>0</v>
      </c>
      <c r="N169" s="1118">
        <f>'Cap Table'!$CK$49</f>
        <v>0</v>
      </c>
      <c r="R169" s="1137">
        <f>'Cap Table'!$D49</f>
        <v>0</v>
      </c>
      <c r="S169" s="1111">
        <f>'Cap Table'!$CQ$49</f>
        <v>0</v>
      </c>
      <c r="T169" s="1113" t="e">
        <f t="shared" si="24"/>
        <v>#DIV/0!</v>
      </c>
      <c r="U169" s="1111">
        <f>'Cap Table'!$CO$49</f>
        <v>0</v>
      </c>
      <c r="V169" s="1138" t="e">
        <f t="shared" si="25"/>
        <v>#DIV/0!</v>
      </c>
      <c r="W169" s="1117">
        <f>'Cap Table'!$CI$49</f>
        <v>0</v>
      </c>
      <c r="X169" s="1118">
        <f>'Cap Table'!$CK$49</f>
        <v>0</v>
      </c>
      <c r="AD169" s="1137">
        <f>'Cap Table'!$D49</f>
        <v>0</v>
      </c>
      <c r="AE169" s="1111">
        <f>'Cap Table'!$CQ$49</f>
        <v>0</v>
      </c>
      <c r="AF169" s="1113" t="e">
        <f t="shared" si="26"/>
        <v>#DIV/0!</v>
      </c>
      <c r="AG169" s="1111">
        <f>'Cap Table'!$CO$49</f>
        <v>0</v>
      </c>
      <c r="AH169" s="1138" t="e">
        <f t="shared" si="27"/>
        <v>#DIV/0!</v>
      </c>
      <c r="AI169" s="1117">
        <f>'Cap Table'!$CI$49</f>
        <v>0</v>
      </c>
      <c r="AJ169" s="1118">
        <f>'Cap Table'!$CK$49</f>
        <v>0</v>
      </c>
    </row>
    <row r="170" spans="8:36" ht="15" outlineLevel="1" thickBot="1" x14ac:dyDescent="0.4">
      <c r="H170" s="1137">
        <f>'Cap Table'!$D50</f>
        <v>0</v>
      </c>
      <c r="I170" s="1111">
        <f>'Cap Table'!$CQ$50</f>
        <v>0</v>
      </c>
      <c r="J170" s="1113" t="e">
        <f t="shared" si="22"/>
        <v>#DIV/0!</v>
      </c>
      <c r="K170" s="1111">
        <f>'Cap Table'!$CO$50</f>
        <v>0</v>
      </c>
      <c r="L170" s="1138" t="e">
        <f t="shared" si="23"/>
        <v>#DIV/0!</v>
      </c>
      <c r="M170" s="1117">
        <f>'Cap Table'!$CI$50</f>
        <v>0</v>
      </c>
      <c r="N170" s="1118">
        <f>'Cap Table'!$CK$50</f>
        <v>0</v>
      </c>
      <c r="R170" s="1137">
        <f>'Cap Table'!$D50</f>
        <v>0</v>
      </c>
      <c r="S170" s="1111">
        <f>'Cap Table'!$CQ$50</f>
        <v>0</v>
      </c>
      <c r="T170" s="1113" t="e">
        <f t="shared" si="24"/>
        <v>#DIV/0!</v>
      </c>
      <c r="U170" s="1111">
        <f>'Cap Table'!$CO$50</f>
        <v>0</v>
      </c>
      <c r="V170" s="1138" t="e">
        <f t="shared" si="25"/>
        <v>#DIV/0!</v>
      </c>
      <c r="W170" s="1117">
        <f>'Cap Table'!$CI$50</f>
        <v>0</v>
      </c>
      <c r="X170" s="1118">
        <f>'Cap Table'!$CK$50</f>
        <v>0</v>
      </c>
      <c r="AD170" s="1137">
        <f>'Cap Table'!$D50</f>
        <v>0</v>
      </c>
      <c r="AE170" s="1111">
        <f>'Cap Table'!$CQ$50</f>
        <v>0</v>
      </c>
      <c r="AF170" s="1113" t="e">
        <f t="shared" si="26"/>
        <v>#DIV/0!</v>
      </c>
      <c r="AG170" s="1111">
        <f>'Cap Table'!$CO$50</f>
        <v>0</v>
      </c>
      <c r="AH170" s="1138" t="e">
        <f t="shared" si="27"/>
        <v>#DIV/0!</v>
      </c>
      <c r="AI170" s="1117">
        <f>'Cap Table'!$CI$50</f>
        <v>0</v>
      </c>
      <c r="AJ170" s="1118">
        <f>'Cap Table'!$CK$50</f>
        <v>0</v>
      </c>
    </row>
    <row r="171" spans="8:36" ht="15" outlineLevel="1" thickBot="1" x14ac:dyDescent="0.4">
      <c r="H171" s="1137" t="str">
        <f>'Cap Table'!$D51</f>
        <v>ESOP - allocated</v>
      </c>
      <c r="I171" s="1111">
        <f>'Cap Table'!$CQ$51</f>
        <v>0</v>
      </c>
      <c r="J171" s="1113" t="e">
        <f t="shared" si="22"/>
        <v>#DIV/0!</v>
      </c>
      <c r="K171" s="1111">
        <f>'Cap Table'!$CO$51</f>
        <v>0</v>
      </c>
      <c r="L171" s="1138" t="e">
        <f t="shared" si="23"/>
        <v>#DIV/0!</v>
      </c>
      <c r="M171" s="1117">
        <f>'Cap Table'!$CI$51</f>
        <v>0</v>
      </c>
      <c r="N171" s="1118">
        <f>'Cap Table'!$CK$51</f>
        <v>0</v>
      </c>
      <c r="R171" s="1137" t="str">
        <f>'Cap Table'!$D51</f>
        <v>ESOP - allocated</v>
      </c>
      <c r="S171" s="1111">
        <f>'Cap Table'!$CQ$51</f>
        <v>0</v>
      </c>
      <c r="T171" s="1113" t="e">
        <f t="shared" si="24"/>
        <v>#DIV/0!</v>
      </c>
      <c r="U171" s="1111">
        <f>'Cap Table'!$CO$51</f>
        <v>0</v>
      </c>
      <c r="V171" s="1138" t="e">
        <f t="shared" si="25"/>
        <v>#DIV/0!</v>
      </c>
      <c r="W171" s="1117">
        <f>'Cap Table'!$CI$51</f>
        <v>0</v>
      </c>
      <c r="X171" s="1118">
        <f>'Cap Table'!$CK$51</f>
        <v>0</v>
      </c>
      <c r="AD171" s="1137" t="str">
        <f>'Cap Table'!$D51</f>
        <v>ESOP - allocated</v>
      </c>
      <c r="AE171" s="1111">
        <f>'Cap Table'!$CQ$51</f>
        <v>0</v>
      </c>
      <c r="AF171" s="1113" t="e">
        <f t="shared" si="26"/>
        <v>#DIV/0!</v>
      </c>
      <c r="AG171" s="1111">
        <f>'Cap Table'!$CO$51</f>
        <v>0</v>
      </c>
      <c r="AH171" s="1138" t="e">
        <f t="shared" si="27"/>
        <v>#DIV/0!</v>
      </c>
      <c r="AI171" s="1117">
        <f>'Cap Table'!$CI$51</f>
        <v>0</v>
      </c>
      <c r="AJ171" s="1118">
        <f>'Cap Table'!$CK$51</f>
        <v>0</v>
      </c>
    </row>
    <row r="172" spans="8:36" ht="15" outlineLevel="1" thickBot="1" x14ac:dyDescent="0.4">
      <c r="H172" s="1137" t="str">
        <f>'Cap Table'!$D52</f>
        <v>Available ESOP</v>
      </c>
      <c r="I172" s="1111">
        <f>'Cap Table'!$CQ$52</f>
        <v>0</v>
      </c>
      <c r="J172" s="1113" t="e">
        <f t="shared" si="22"/>
        <v>#DIV/0!</v>
      </c>
      <c r="K172" s="1111">
        <f>'Cap Table'!$CO$52</f>
        <v>0</v>
      </c>
      <c r="L172" s="1138" t="e">
        <f t="shared" si="23"/>
        <v>#DIV/0!</v>
      </c>
      <c r="M172" s="1117">
        <f>'Cap Table'!$CI$52</f>
        <v>0</v>
      </c>
      <c r="N172" s="1118">
        <f>'Cap Table'!$CK$52</f>
        <v>0</v>
      </c>
      <c r="R172" s="1137" t="str">
        <f>'Cap Table'!$D52</f>
        <v>Available ESOP</v>
      </c>
      <c r="S172" s="1111">
        <f>'Cap Table'!$CQ$52</f>
        <v>0</v>
      </c>
      <c r="T172" s="1113" t="e">
        <f t="shared" si="24"/>
        <v>#DIV/0!</v>
      </c>
      <c r="U172" s="1111">
        <f>'Cap Table'!$CO$52</f>
        <v>0</v>
      </c>
      <c r="V172" s="1138" t="e">
        <f t="shared" si="25"/>
        <v>#DIV/0!</v>
      </c>
      <c r="W172" s="1117">
        <f>'Cap Table'!$CI$52</f>
        <v>0</v>
      </c>
      <c r="X172" s="1118">
        <f>'Cap Table'!$CK$52</f>
        <v>0</v>
      </c>
      <c r="AD172" s="1137" t="str">
        <f>'Cap Table'!$D52</f>
        <v>Available ESOP</v>
      </c>
      <c r="AE172" s="1111">
        <f>'Cap Table'!$CQ$52</f>
        <v>0</v>
      </c>
      <c r="AF172" s="1113" t="e">
        <f t="shared" si="26"/>
        <v>#DIV/0!</v>
      </c>
      <c r="AG172" s="1111">
        <f>'Cap Table'!$CO$52</f>
        <v>0</v>
      </c>
      <c r="AH172" s="1138" t="e">
        <f t="shared" si="27"/>
        <v>#DIV/0!</v>
      </c>
      <c r="AI172" s="1117">
        <f>'Cap Table'!$CI$52</f>
        <v>0</v>
      </c>
      <c r="AJ172" s="1118">
        <f>'Cap Table'!$CK$52</f>
        <v>0</v>
      </c>
    </row>
    <row r="173" spans="8:36" ht="15" outlineLevel="1" thickBot="1" x14ac:dyDescent="0.4">
      <c r="H173" s="1137" t="str">
        <f>'Cap Table'!$D53</f>
        <v>New ESOP</v>
      </c>
      <c r="I173" s="1111">
        <f>'Cap Table'!$CQ$53</f>
        <v>0</v>
      </c>
      <c r="J173" s="1113" t="e">
        <f t="shared" si="22"/>
        <v>#DIV/0!</v>
      </c>
      <c r="K173" s="1111">
        <f>'Cap Table'!$CO$53</f>
        <v>0</v>
      </c>
      <c r="L173" s="1138" t="e">
        <f t="shared" si="23"/>
        <v>#DIV/0!</v>
      </c>
      <c r="M173" s="1117">
        <f>'Cap Table'!$CI$53</f>
        <v>0</v>
      </c>
      <c r="N173" s="1118">
        <f>'Cap Table'!$CK$53</f>
        <v>0</v>
      </c>
      <c r="R173" s="1137" t="str">
        <f>'Cap Table'!$D53</f>
        <v>New ESOP</v>
      </c>
      <c r="S173" s="1111">
        <f>'Cap Table'!$CQ$53</f>
        <v>0</v>
      </c>
      <c r="T173" s="1113" t="e">
        <f t="shared" si="24"/>
        <v>#DIV/0!</v>
      </c>
      <c r="U173" s="1111">
        <f>'Cap Table'!$CO$53</f>
        <v>0</v>
      </c>
      <c r="V173" s="1138" t="e">
        <f t="shared" si="25"/>
        <v>#DIV/0!</v>
      </c>
      <c r="W173" s="1117">
        <f>'Cap Table'!$CI$53</f>
        <v>0</v>
      </c>
      <c r="X173" s="1118">
        <f>'Cap Table'!$CK$53</f>
        <v>0</v>
      </c>
      <c r="AD173" s="1137" t="str">
        <f>'Cap Table'!$D53</f>
        <v>New ESOP</v>
      </c>
      <c r="AE173" s="1111">
        <f>'Cap Table'!$CQ$53</f>
        <v>0</v>
      </c>
      <c r="AF173" s="1113" t="e">
        <f t="shared" si="26"/>
        <v>#DIV/0!</v>
      </c>
      <c r="AG173" s="1111">
        <f>'Cap Table'!$CO$53</f>
        <v>0</v>
      </c>
      <c r="AH173" s="1138" t="e">
        <f t="shared" si="27"/>
        <v>#DIV/0!</v>
      </c>
      <c r="AI173" s="1117">
        <f>'Cap Table'!$CI$53</f>
        <v>0</v>
      </c>
      <c r="AJ173" s="1118">
        <f>'Cap Table'!$CK$53</f>
        <v>0</v>
      </c>
    </row>
    <row r="174" spans="8:36" ht="15" outlineLevel="1" thickBot="1" x14ac:dyDescent="0.4">
      <c r="H174" s="1137">
        <f>'Cap Table'!$D54</f>
        <v>0</v>
      </c>
      <c r="I174" s="1111">
        <f>'Cap Table'!$CQ$54</f>
        <v>0</v>
      </c>
      <c r="J174" s="1113" t="e">
        <f t="shared" si="22"/>
        <v>#DIV/0!</v>
      </c>
      <c r="K174" s="1111">
        <f>'Cap Table'!$CO$54</f>
        <v>0</v>
      </c>
      <c r="L174" s="1138" t="e">
        <f t="shared" si="23"/>
        <v>#DIV/0!</v>
      </c>
      <c r="M174" s="1117">
        <f>'Cap Table'!$CI$54</f>
        <v>0</v>
      </c>
      <c r="N174" s="1118">
        <f>'Cap Table'!$CK$54</f>
        <v>0</v>
      </c>
      <c r="R174" s="1137">
        <f>'Cap Table'!$D54</f>
        <v>0</v>
      </c>
      <c r="S174" s="1111">
        <f>'Cap Table'!$CQ$54</f>
        <v>0</v>
      </c>
      <c r="T174" s="1113" t="e">
        <f t="shared" si="24"/>
        <v>#DIV/0!</v>
      </c>
      <c r="U174" s="1111">
        <f>'Cap Table'!$CO$54</f>
        <v>0</v>
      </c>
      <c r="V174" s="1138" t="e">
        <f t="shared" si="25"/>
        <v>#DIV/0!</v>
      </c>
      <c r="W174" s="1117">
        <f>'Cap Table'!$CI$54</f>
        <v>0</v>
      </c>
      <c r="X174" s="1118">
        <f>'Cap Table'!$CK$54</f>
        <v>0</v>
      </c>
      <c r="AD174" s="1137">
        <f>'Cap Table'!$D54</f>
        <v>0</v>
      </c>
      <c r="AE174" s="1111">
        <f>'Cap Table'!$CQ$54</f>
        <v>0</v>
      </c>
      <c r="AF174" s="1113" t="e">
        <f t="shared" si="26"/>
        <v>#DIV/0!</v>
      </c>
      <c r="AG174" s="1111">
        <f>'Cap Table'!$CO$54</f>
        <v>0</v>
      </c>
      <c r="AH174" s="1138" t="e">
        <f t="shared" si="27"/>
        <v>#DIV/0!</v>
      </c>
      <c r="AI174" s="1117">
        <f>'Cap Table'!$CI$54</f>
        <v>0</v>
      </c>
      <c r="AJ174" s="1118">
        <f>'Cap Table'!$CK$54</f>
        <v>0</v>
      </c>
    </row>
    <row r="175" spans="8:36" ht="15" outlineLevel="1" thickBot="1" x14ac:dyDescent="0.4">
      <c r="H175" s="1137" t="str">
        <f>'Cap Table'!$D55</f>
        <v>TOTAL</v>
      </c>
      <c r="I175" s="1111">
        <f>'Cap Table'!$CQ$55</f>
        <v>0</v>
      </c>
      <c r="J175" s="1113" t="e">
        <f t="shared" si="22"/>
        <v>#DIV/0!</v>
      </c>
      <c r="K175" s="1111">
        <f>'Cap Table'!$CO$55</f>
        <v>0</v>
      </c>
      <c r="L175" s="1138" t="e">
        <f t="shared" si="23"/>
        <v>#DIV/0!</v>
      </c>
      <c r="M175" s="1117">
        <f>'Cap Table'!$CI$55</f>
        <v>0</v>
      </c>
      <c r="N175" s="1118">
        <f>'Cap Table'!$CK$55</f>
        <v>0</v>
      </c>
      <c r="R175" s="1137" t="str">
        <f>'Cap Table'!$D55</f>
        <v>TOTAL</v>
      </c>
      <c r="S175" s="1111">
        <f>'Cap Table'!$CQ$55</f>
        <v>0</v>
      </c>
      <c r="T175" s="1113" t="e">
        <f t="shared" si="24"/>
        <v>#DIV/0!</v>
      </c>
      <c r="U175" s="1111">
        <f>'Cap Table'!$CO$55</f>
        <v>0</v>
      </c>
      <c r="V175" s="1138" t="e">
        <f t="shared" si="25"/>
        <v>#DIV/0!</v>
      </c>
      <c r="W175" s="1117">
        <f>'Cap Table'!$CI$55</f>
        <v>0</v>
      </c>
      <c r="X175" s="1118">
        <f>'Cap Table'!$CK$55</f>
        <v>0</v>
      </c>
      <c r="AD175" s="1137" t="str">
        <f>'Cap Table'!$D55</f>
        <v>TOTAL</v>
      </c>
      <c r="AE175" s="1111">
        <f>'Cap Table'!$CQ$55</f>
        <v>0</v>
      </c>
      <c r="AF175" s="1113" t="e">
        <f t="shared" si="26"/>
        <v>#DIV/0!</v>
      </c>
      <c r="AG175" s="1111">
        <f>'Cap Table'!$CO$55</f>
        <v>0</v>
      </c>
      <c r="AH175" s="1138" t="e">
        <f t="shared" si="27"/>
        <v>#DIV/0!</v>
      </c>
      <c r="AI175" s="1117">
        <f>'Cap Table'!$CI$55</f>
        <v>0</v>
      </c>
      <c r="AJ175" s="1118">
        <f>'Cap Table'!$CK$55</f>
        <v>0</v>
      </c>
    </row>
    <row r="176" spans="8:36" ht="15" outlineLevel="1" thickBot="1" x14ac:dyDescent="0.4">
      <c r="H176" s="1137" t="str">
        <f>'Cap Table'!$D56</f>
        <v>CHECK</v>
      </c>
      <c r="I176" s="1111">
        <f>'Cap Table'!$CQ$56</f>
        <v>0</v>
      </c>
      <c r="J176" s="1113" t="e">
        <f t="shared" si="22"/>
        <v>#DIV/0!</v>
      </c>
      <c r="K176" s="1111">
        <f>'Cap Table'!$CO$56</f>
        <v>0</v>
      </c>
      <c r="L176" s="1138" t="e">
        <f t="shared" si="23"/>
        <v>#DIV/0!</v>
      </c>
      <c r="M176" s="1117">
        <f>'Cap Table'!$CI$56</f>
        <v>0</v>
      </c>
      <c r="N176" s="1118">
        <f>'Cap Table'!$CK$56</f>
        <v>0</v>
      </c>
      <c r="R176" s="1137" t="str">
        <f>'Cap Table'!$D56</f>
        <v>CHECK</v>
      </c>
      <c r="S176" s="1111">
        <f>'Cap Table'!$CQ$56</f>
        <v>0</v>
      </c>
      <c r="T176" s="1113" t="e">
        <f t="shared" si="24"/>
        <v>#DIV/0!</v>
      </c>
      <c r="U176" s="1111">
        <f>'Cap Table'!$CO$56</f>
        <v>0</v>
      </c>
      <c r="V176" s="1138" t="e">
        <f t="shared" si="25"/>
        <v>#DIV/0!</v>
      </c>
      <c r="W176" s="1117">
        <f>'Cap Table'!$CI$56</f>
        <v>0</v>
      </c>
      <c r="X176" s="1118">
        <f>'Cap Table'!$CK$56</f>
        <v>0</v>
      </c>
      <c r="AD176" s="1137" t="str">
        <f>'Cap Table'!$D56</f>
        <v>CHECK</v>
      </c>
      <c r="AE176" s="1111">
        <f>'Cap Table'!$CQ$56</f>
        <v>0</v>
      </c>
      <c r="AF176" s="1113" t="e">
        <f t="shared" si="26"/>
        <v>#DIV/0!</v>
      </c>
      <c r="AG176" s="1111">
        <f>'Cap Table'!$CO$56</f>
        <v>0</v>
      </c>
      <c r="AH176" s="1138" t="e">
        <f t="shared" si="27"/>
        <v>#DIV/0!</v>
      </c>
      <c r="AI176" s="1117">
        <f>'Cap Table'!$CI$56</f>
        <v>0</v>
      </c>
      <c r="AJ176" s="1118">
        <f>'Cap Table'!$CK$56</f>
        <v>0</v>
      </c>
    </row>
    <row r="177" spans="1:36" ht="15" outlineLevel="1" thickBot="1" x14ac:dyDescent="0.4">
      <c r="H177" s="1137">
        <f>'Cap Table'!$D57</f>
        <v>0</v>
      </c>
      <c r="I177" s="1111">
        <f>'Cap Table'!$CQ$57</f>
        <v>0</v>
      </c>
      <c r="J177" s="1113" t="e">
        <f t="shared" si="22"/>
        <v>#DIV/0!</v>
      </c>
      <c r="K177" s="1111">
        <f>'Cap Table'!$CO$57</f>
        <v>0</v>
      </c>
      <c r="L177" s="1138" t="e">
        <f t="shared" si="23"/>
        <v>#DIV/0!</v>
      </c>
      <c r="M177" s="1117">
        <f>'Cap Table'!$CI$57</f>
        <v>0</v>
      </c>
      <c r="N177" s="1118">
        <f>'Cap Table'!$CK$57</f>
        <v>0</v>
      </c>
      <c r="R177" s="1137">
        <f>'Cap Table'!$D57</f>
        <v>0</v>
      </c>
      <c r="S177" s="1111">
        <f>'Cap Table'!$CQ$57</f>
        <v>0</v>
      </c>
      <c r="T177" s="1113" t="e">
        <f t="shared" si="24"/>
        <v>#DIV/0!</v>
      </c>
      <c r="U177" s="1111">
        <f>'Cap Table'!$CO$57</f>
        <v>0</v>
      </c>
      <c r="V177" s="1138" t="e">
        <f t="shared" si="25"/>
        <v>#DIV/0!</v>
      </c>
      <c r="W177" s="1117">
        <f>'Cap Table'!$CI$57</f>
        <v>0</v>
      </c>
      <c r="X177" s="1118">
        <f>'Cap Table'!$CK$57</f>
        <v>0</v>
      </c>
      <c r="AD177" s="1137">
        <f>'Cap Table'!$D57</f>
        <v>0</v>
      </c>
      <c r="AE177" s="1111">
        <f>'Cap Table'!$CQ$57</f>
        <v>0</v>
      </c>
      <c r="AF177" s="1113" t="e">
        <f t="shared" si="26"/>
        <v>#DIV/0!</v>
      </c>
      <c r="AG177" s="1111">
        <f>'Cap Table'!$CO$57</f>
        <v>0</v>
      </c>
      <c r="AH177" s="1138" t="e">
        <f t="shared" si="27"/>
        <v>#DIV/0!</v>
      </c>
      <c r="AI177" s="1117">
        <f>'Cap Table'!$CI$57</f>
        <v>0</v>
      </c>
      <c r="AJ177" s="1118">
        <f>'Cap Table'!$CK$57</f>
        <v>0</v>
      </c>
    </row>
    <row r="178" spans="1:36" ht="15" outlineLevel="1" thickBot="1" x14ac:dyDescent="0.4">
      <c r="H178" s="1137">
        <f>'Cap Table'!$D58</f>
        <v>0</v>
      </c>
      <c r="I178" s="1111">
        <f>'Cap Table'!$CQ$58</f>
        <v>0</v>
      </c>
      <c r="J178" s="1113" t="e">
        <f t="shared" si="22"/>
        <v>#DIV/0!</v>
      </c>
      <c r="K178" s="1111">
        <f>'Cap Table'!$CO$58</f>
        <v>0</v>
      </c>
      <c r="L178" s="1138" t="e">
        <f t="shared" si="23"/>
        <v>#DIV/0!</v>
      </c>
      <c r="M178" s="1117">
        <f>'Cap Table'!$CI$58</f>
        <v>0</v>
      </c>
      <c r="N178" s="1118">
        <f>'Cap Table'!$CK$58</f>
        <v>0</v>
      </c>
      <c r="R178" s="1137">
        <f>'Cap Table'!$D58</f>
        <v>0</v>
      </c>
      <c r="S178" s="1111">
        <f>'Cap Table'!$CQ$58</f>
        <v>0</v>
      </c>
      <c r="T178" s="1113" t="e">
        <f t="shared" si="24"/>
        <v>#DIV/0!</v>
      </c>
      <c r="U178" s="1111">
        <f>'Cap Table'!$CO$58</f>
        <v>0</v>
      </c>
      <c r="V178" s="1138" t="e">
        <f t="shared" si="25"/>
        <v>#DIV/0!</v>
      </c>
      <c r="W178" s="1117">
        <f>'Cap Table'!$CI$58</f>
        <v>0</v>
      </c>
      <c r="X178" s="1118">
        <f>'Cap Table'!$CK$58</f>
        <v>0</v>
      </c>
      <c r="AD178" s="1137">
        <f>'Cap Table'!$D58</f>
        <v>0</v>
      </c>
      <c r="AE178" s="1111">
        <f>'Cap Table'!$CQ$58</f>
        <v>0</v>
      </c>
      <c r="AF178" s="1113" t="e">
        <f t="shared" si="26"/>
        <v>#DIV/0!</v>
      </c>
      <c r="AG178" s="1111">
        <f>'Cap Table'!$CO$58</f>
        <v>0</v>
      </c>
      <c r="AH178" s="1138" t="e">
        <f t="shared" si="27"/>
        <v>#DIV/0!</v>
      </c>
      <c r="AI178" s="1117">
        <f>'Cap Table'!$CI$58</f>
        <v>0</v>
      </c>
      <c r="AJ178" s="1118">
        <f>'Cap Table'!$CK$58</f>
        <v>0</v>
      </c>
    </row>
    <row r="179" spans="1:36" ht="15" outlineLevel="1" thickBot="1" x14ac:dyDescent="0.4">
      <c r="H179" s="1137">
        <f>'Cap Table'!$D59</f>
        <v>0</v>
      </c>
      <c r="I179" s="1111">
        <f>'Cap Table'!$CQ$59</f>
        <v>0</v>
      </c>
      <c r="J179" s="1113" t="e">
        <f t="shared" si="22"/>
        <v>#DIV/0!</v>
      </c>
      <c r="K179" s="1111">
        <f>'Cap Table'!$CO$59</f>
        <v>0</v>
      </c>
      <c r="L179" s="1138" t="e">
        <f t="shared" si="23"/>
        <v>#DIV/0!</v>
      </c>
      <c r="M179" s="1117">
        <f>'Cap Table'!$CI$59</f>
        <v>0</v>
      </c>
      <c r="N179" s="1118">
        <f>'Cap Table'!$CK$59</f>
        <v>0</v>
      </c>
      <c r="R179" s="1137">
        <f>'Cap Table'!$D59</f>
        <v>0</v>
      </c>
      <c r="S179" s="1111">
        <f>'Cap Table'!$CQ$59</f>
        <v>0</v>
      </c>
      <c r="T179" s="1113" t="e">
        <f t="shared" si="24"/>
        <v>#DIV/0!</v>
      </c>
      <c r="U179" s="1111">
        <f>'Cap Table'!$CO$59</f>
        <v>0</v>
      </c>
      <c r="V179" s="1138" t="e">
        <f t="shared" si="25"/>
        <v>#DIV/0!</v>
      </c>
      <c r="W179" s="1117">
        <f>'Cap Table'!$CI$59</f>
        <v>0</v>
      </c>
      <c r="X179" s="1118">
        <f>'Cap Table'!$CK$59</f>
        <v>0</v>
      </c>
      <c r="AD179" s="1137">
        <f>'Cap Table'!$D59</f>
        <v>0</v>
      </c>
      <c r="AE179" s="1111">
        <f>'Cap Table'!$CQ$59</f>
        <v>0</v>
      </c>
      <c r="AF179" s="1113" t="e">
        <f t="shared" si="26"/>
        <v>#DIV/0!</v>
      </c>
      <c r="AG179" s="1111">
        <f>'Cap Table'!$CO$59</f>
        <v>0</v>
      </c>
      <c r="AH179" s="1138" t="e">
        <f t="shared" si="27"/>
        <v>#DIV/0!</v>
      </c>
      <c r="AI179" s="1117">
        <f>'Cap Table'!$CI$59</f>
        <v>0</v>
      </c>
      <c r="AJ179" s="1118">
        <f>'Cap Table'!$CK$59</f>
        <v>0</v>
      </c>
    </row>
    <row r="180" spans="1:36" ht="15" outlineLevel="1" thickBot="1" x14ac:dyDescent="0.4">
      <c r="H180" s="1137">
        <f>'Cap Table'!$D60</f>
        <v>0</v>
      </c>
      <c r="I180" s="1111">
        <f>'Cap Table'!$CQ$60</f>
        <v>0</v>
      </c>
      <c r="J180" s="1113" t="e">
        <f t="shared" si="22"/>
        <v>#DIV/0!</v>
      </c>
      <c r="K180" s="1111">
        <f>'Cap Table'!$CO$60</f>
        <v>0</v>
      </c>
      <c r="L180" s="1138" t="e">
        <f t="shared" si="23"/>
        <v>#DIV/0!</v>
      </c>
      <c r="M180" s="1117">
        <f>'Cap Table'!$CI$60</f>
        <v>0</v>
      </c>
      <c r="N180" s="1118">
        <f>'Cap Table'!$CK$60</f>
        <v>0</v>
      </c>
      <c r="R180" s="1137">
        <f>'Cap Table'!$D60</f>
        <v>0</v>
      </c>
      <c r="S180" s="1111">
        <f>'Cap Table'!$CQ$60</f>
        <v>0</v>
      </c>
      <c r="T180" s="1113" t="e">
        <f t="shared" si="24"/>
        <v>#DIV/0!</v>
      </c>
      <c r="U180" s="1111">
        <f>'Cap Table'!$CO$60</f>
        <v>0</v>
      </c>
      <c r="V180" s="1138" t="e">
        <f t="shared" si="25"/>
        <v>#DIV/0!</v>
      </c>
      <c r="W180" s="1117">
        <f>'Cap Table'!$CI$60</f>
        <v>0</v>
      </c>
      <c r="X180" s="1118">
        <f>'Cap Table'!$CK$60</f>
        <v>0</v>
      </c>
      <c r="AD180" s="1137">
        <f>'Cap Table'!$D60</f>
        <v>0</v>
      </c>
      <c r="AE180" s="1111">
        <f>'Cap Table'!$CQ$60</f>
        <v>0</v>
      </c>
      <c r="AF180" s="1113" t="e">
        <f t="shared" si="26"/>
        <v>#DIV/0!</v>
      </c>
      <c r="AG180" s="1111">
        <f>'Cap Table'!$CO$60</f>
        <v>0</v>
      </c>
      <c r="AH180" s="1138" t="e">
        <f t="shared" si="27"/>
        <v>#DIV/0!</v>
      </c>
      <c r="AI180" s="1117">
        <f>'Cap Table'!$CI$60</f>
        <v>0</v>
      </c>
      <c r="AJ180" s="1118">
        <f>'Cap Table'!$CK$60</f>
        <v>0</v>
      </c>
    </row>
    <row r="181" spans="1:36" ht="15" outlineLevel="1" thickBot="1" x14ac:dyDescent="0.4">
      <c r="H181" s="1137" t="s">
        <v>24</v>
      </c>
      <c r="I181" s="1111">
        <f>'Cap Table'!$CQ$92</f>
        <v>0</v>
      </c>
      <c r="J181" s="1113" t="e">
        <f t="shared" si="22"/>
        <v>#DIV/0!</v>
      </c>
      <c r="K181" s="1111">
        <f>'Cap Table'!$CO$92</f>
        <v>0</v>
      </c>
      <c r="L181" s="1138" t="e">
        <f t="shared" si="23"/>
        <v>#DIV/0!</v>
      </c>
      <c r="M181" s="1117">
        <f>'Cap Table'!$CI$92</f>
        <v>0</v>
      </c>
      <c r="N181" s="1118">
        <f>'Cap Table'!$CK$92</f>
        <v>0</v>
      </c>
      <c r="R181" s="1137" t="s">
        <v>24</v>
      </c>
      <c r="S181" s="1111">
        <f>'Cap Table'!$CQ$92</f>
        <v>0</v>
      </c>
      <c r="T181" s="1113" t="e">
        <f t="shared" si="24"/>
        <v>#DIV/0!</v>
      </c>
      <c r="U181" s="1111">
        <f>'Cap Table'!$CO$92</f>
        <v>0</v>
      </c>
      <c r="V181" s="1138" t="e">
        <f t="shared" si="25"/>
        <v>#DIV/0!</v>
      </c>
      <c r="W181" s="1117">
        <f>'Cap Table'!$CI$92</f>
        <v>0</v>
      </c>
      <c r="X181" s="1118">
        <f>'Cap Table'!$CK$92</f>
        <v>0</v>
      </c>
      <c r="AD181" s="1137" t="s">
        <v>24</v>
      </c>
      <c r="AE181" s="1111">
        <f>'Cap Table'!$CQ$92</f>
        <v>0</v>
      </c>
      <c r="AF181" s="1113" t="e">
        <f t="shared" si="26"/>
        <v>#DIV/0!</v>
      </c>
      <c r="AG181" s="1111">
        <f>'Cap Table'!$CO$92</f>
        <v>0</v>
      </c>
      <c r="AH181" s="1138" t="e">
        <f t="shared" si="27"/>
        <v>#DIV/0!</v>
      </c>
      <c r="AI181" s="1117">
        <f>'Cap Table'!$CI$92</f>
        <v>0</v>
      </c>
      <c r="AJ181" s="1118">
        <f>'Cap Table'!$CK$92</f>
        <v>0</v>
      </c>
    </row>
    <row r="182" spans="1:36" ht="15" outlineLevel="1" thickBot="1" x14ac:dyDescent="0.4">
      <c r="F182" s="1128" t="s">
        <v>336</v>
      </c>
      <c r="G182" s="949">
        <v>1</v>
      </c>
      <c r="H182" s="1137" t="s">
        <v>341</v>
      </c>
      <c r="I182" s="1111">
        <f>'Cap Table'!$CQ$97</f>
        <v>0</v>
      </c>
      <c r="J182" s="1113" t="e">
        <f t="shared" si="22"/>
        <v>#DIV/0!</v>
      </c>
      <c r="K182" s="1111">
        <f>'Cap Table'!$CO$97</f>
        <v>0</v>
      </c>
      <c r="L182" s="1138" t="e">
        <f t="shared" si="23"/>
        <v>#DIV/0!</v>
      </c>
      <c r="M182" s="1117">
        <f>'Cap Table'!$CI$97</f>
        <v>0</v>
      </c>
      <c r="N182" s="1118">
        <f>'Cap Table'!$CK$97</f>
        <v>0</v>
      </c>
      <c r="P182" s="1128" t="s">
        <v>336</v>
      </c>
      <c r="Q182" s="949">
        <v>1</v>
      </c>
      <c r="R182" s="1137" t="s">
        <v>341</v>
      </c>
      <c r="S182" s="1111">
        <f>'Cap Table'!$CQ$97</f>
        <v>0</v>
      </c>
      <c r="T182" s="1113" t="e">
        <f t="shared" si="24"/>
        <v>#DIV/0!</v>
      </c>
      <c r="U182" s="1111">
        <f>'Cap Table'!$CO$97</f>
        <v>0</v>
      </c>
      <c r="V182" s="1138" t="e">
        <f t="shared" si="25"/>
        <v>#DIV/0!</v>
      </c>
      <c r="W182" s="1117">
        <f>'Cap Table'!$CI$97</f>
        <v>0</v>
      </c>
      <c r="X182" s="1118">
        <f>'Cap Table'!$CK$97</f>
        <v>0</v>
      </c>
      <c r="AB182" s="1128" t="s">
        <v>336</v>
      </c>
      <c r="AC182" s="949">
        <v>1</v>
      </c>
      <c r="AD182" s="1137" t="s">
        <v>341</v>
      </c>
      <c r="AE182" s="1111">
        <f>'Cap Table'!$CQ$97</f>
        <v>0</v>
      </c>
      <c r="AF182" s="1113" t="e">
        <f t="shared" si="26"/>
        <v>#DIV/0!</v>
      </c>
      <c r="AG182" s="1111">
        <f>'Cap Table'!$CO$97</f>
        <v>0</v>
      </c>
      <c r="AH182" s="1138" t="e">
        <f t="shared" si="27"/>
        <v>#DIV/0!</v>
      </c>
      <c r="AI182" s="1117">
        <f>'Cap Table'!$CI$97</f>
        <v>0</v>
      </c>
      <c r="AJ182" s="1118">
        <f>'Cap Table'!$CK$97</f>
        <v>0</v>
      </c>
    </row>
    <row r="183" spans="1:36" ht="15" outlineLevel="1" thickBot="1" x14ac:dyDescent="0.4">
      <c r="F183" s="1128" t="s">
        <v>336</v>
      </c>
      <c r="G183" s="949">
        <f>$D$6</f>
        <v>0</v>
      </c>
      <c r="H183" s="1137" t="s">
        <v>75</v>
      </c>
      <c r="I183" s="1111">
        <f>'Cap Table'!$CQ$98*G183</f>
        <v>0</v>
      </c>
      <c r="J183" s="1113" t="e">
        <f t="shared" si="22"/>
        <v>#DIV/0!</v>
      </c>
      <c r="K183" s="1111">
        <f>'Cap Table'!$CO$98</f>
        <v>0</v>
      </c>
      <c r="L183" s="1138" t="e">
        <f t="shared" si="23"/>
        <v>#DIV/0!</v>
      </c>
      <c r="M183" s="1117">
        <f>'Cap Table'!$CI$98</f>
        <v>0</v>
      </c>
      <c r="N183" s="1118">
        <f>'Cap Table'!$CK$98</f>
        <v>0</v>
      </c>
      <c r="P183" s="1128" t="s">
        <v>336</v>
      </c>
      <c r="Q183" s="949">
        <f>$D$6</f>
        <v>0</v>
      </c>
      <c r="R183" s="1137" t="s">
        <v>75</v>
      </c>
      <c r="S183" s="1111">
        <f>'Cap Table'!$CQ$98*Q183</f>
        <v>0</v>
      </c>
      <c r="T183" s="1113" t="e">
        <f t="shared" si="24"/>
        <v>#DIV/0!</v>
      </c>
      <c r="U183" s="1111">
        <f>'Cap Table'!$CO$98</f>
        <v>0</v>
      </c>
      <c r="V183" s="1138" t="e">
        <f t="shared" si="25"/>
        <v>#DIV/0!</v>
      </c>
      <c r="W183" s="1117">
        <f>'Cap Table'!$CI$98</f>
        <v>0</v>
      </c>
      <c r="X183" s="1118">
        <f>'Cap Table'!$CK$98</f>
        <v>0</v>
      </c>
      <c r="AB183" s="1128" t="s">
        <v>336</v>
      </c>
      <c r="AC183" s="949">
        <f>$D$6</f>
        <v>0</v>
      </c>
      <c r="AD183" s="1137" t="s">
        <v>75</v>
      </c>
      <c r="AE183" s="1111">
        <f>'Cap Table'!$CQ$98*AC183</f>
        <v>0</v>
      </c>
      <c r="AF183" s="1113" t="e">
        <f t="shared" si="26"/>
        <v>#DIV/0!</v>
      </c>
      <c r="AG183" s="1111">
        <f>'Cap Table'!$CO$98</f>
        <v>0</v>
      </c>
      <c r="AH183" s="1138" t="e">
        <f t="shared" si="27"/>
        <v>#DIV/0!</v>
      </c>
      <c r="AI183" s="1117">
        <f>'Cap Table'!$CI$98</f>
        <v>0</v>
      </c>
      <c r="AJ183" s="1118">
        <f>'Cap Table'!$CK$98</f>
        <v>0</v>
      </c>
    </row>
    <row r="184" spans="1:36" ht="15" outlineLevel="1" thickBot="1" x14ac:dyDescent="0.4">
      <c r="F184" s="1128" t="s">
        <v>336</v>
      </c>
      <c r="G184" s="949">
        <f>$D$6</f>
        <v>0</v>
      </c>
      <c r="H184" s="1137" t="s">
        <v>77</v>
      </c>
      <c r="I184" s="1111">
        <f>'Cap Table'!$CQ$99</f>
        <v>0</v>
      </c>
      <c r="J184" s="1113" t="e">
        <f t="shared" si="22"/>
        <v>#DIV/0!</v>
      </c>
      <c r="K184" s="1111">
        <f>'Cap Table'!$CO$99</f>
        <v>0</v>
      </c>
      <c r="L184" s="1138" t="e">
        <f t="shared" si="23"/>
        <v>#DIV/0!</v>
      </c>
      <c r="M184" s="1117">
        <f>'Cap Table'!$CI$99</f>
        <v>0</v>
      </c>
      <c r="N184" s="1118">
        <f>'Cap Table'!$CK$99</f>
        <v>0</v>
      </c>
      <c r="P184" s="1128" t="s">
        <v>336</v>
      </c>
      <c r="Q184" s="949">
        <f>$D$6</f>
        <v>0</v>
      </c>
      <c r="R184" s="1137" t="s">
        <v>77</v>
      </c>
      <c r="S184" s="1111">
        <f>'Cap Table'!$CQ$99</f>
        <v>0</v>
      </c>
      <c r="T184" s="1113" t="e">
        <f t="shared" si="24"/>
        <v>#DIV/0!</v>
      </c>
      <c r="U184" s="1111">
        <f>'Cap Table'!$CO$99</f>
        <v>0</v>
      </c>
      <c r="V184" s="1138" t="e">
        <f t="shared" si="25"/>
        <v>#DIV/0!</v>
      </c>
      <c r="W184" s="1117">
        <f>'Cap Table'!$CI$99</f>
        <v>0</v>
      </c>
      <c r="X184" s="1118">
        <f>'Cap Table'!$CK$99</f>
        <v>0</v>
      </c>
      <c r="AB184" s="1128" t="s">
        <v>336</v>
      </c>
      <c r="AC184" s="949">
        <f>$D$6</f>
        <v>0</v>
      </c>
      <c r="AD184" s="1137" t="s">
        <v>77</v>
      </c>
      <c r="AE184" s="1111">
        <f>'Cap Table'!$CQ$99</f>
        <v>0</v>
      </c>
      <c r="AF184" s="1113" t="e">
        <f t="shared" si="26"/>
        <v>#DIV/0!</v>
      </c>
      <c r="AG184" s="1111">
        <f>'Cap Table'!$CO$99</f>
        <v>0</v>
      </c>
      <c r="AH184" s="1138" t="e">
        <f t="shared" si="27"/>
        <v>#DIV/0!</v>
      </c>
      <c r="AI184" s="1117">
        <f>'Cap Table'!$CI$99</f>
        <v>0</v>
      </c>
      <c r="AJ184" s="1118">
        <f>'Cap Table'!$CK$99</f>
        <v>0</v>
      </c>
    </row>
    <row r="185" spans="1:36" outlineLevel="1" x14ac:dyDescent="0.35">
      <c r="H185" s="1139" t="s">
        <v>78</v>
      </c>
      <c r="I185" s="1140">
        <f>SUM(I157:I184)</f>
        <v>0</v>
      </c>
      <c r="J185" s="1141" t="e">
        <f>SUM(J157:J184)</f>
        <v>#DIV/0!</v>
      </c>
      <c r="K185" s="1140">
        <f>SUM(K157:K184)</f>
        <v>0</v>
      </c>
      <c r="L185" s="1142"/>
      <c r="M185" s="1143">
        <f>SUM(M157:M184)</f>
        <v>0</v>
      </c>
      <c r="N185" s="1144">
        <f>SUM(N157:N184)</f>
        <v>0</v>
      </c>
      <c r="R185" s="1139" t="s">
        <v>78</v>
      </c>
      <c r="S185" s="1140">
        <f>SUM(S157:S184)</f>
        <v>0</v>
      </c>
      <c r="T185" s="1141" t="e">
        <f>SUM(T157:T184)</f>
        <v>#DIV/0!</v>
      </c>
      <c r="U185" s="1145">
        <f>SUM(U157:U183)</f>
        <v>0</v>
      </c>
      <c r="V185" s="1142"/>
      <c r="W185" s="1143">
        <f>SUM(W157:W184)</f>
        <v>0</v>
      </c>
      <c r="X185" s="1144">
        <f>SUM(X157:X184)</f>
        <v>0</v>
      </c>
      <c r="AD185" s="1139" t="s">
        <v>78</v>
      </c>
      <c r="AE185" s="1140">
        <f>SUM(AE157:AE184)</f>
        <v>0</v>
      </c>
      <c r="AF185" s="1141" t="e">
        <f>SUM(AF157:AF184)</f>
        <v>#DIV/0!</v>
      </c>
      <c r="AG185" s="1145">
        <f>SUM(AG157:AG184)</f>
        <v>0</v>
      </c>
      <c r="AH185" s="1142"/>
      <c r="AI185" s="1143">
        <f>SUM(AI157:AI184)</f>
        <v>0</v>
      </c>
      <c r="AJ185" s="1144">
        <f>SUM(AJ157:AJ184)</f>
        <v>0</v>
      </c>
    </row>
    <row r="186" spans="1:36" ht="15" thickBot="1" x14ac:dyDescent="0.4"/>
    <row r="187" spans="1:36" ht="16" outlineLevel="1" thickBot="1" x14ac:dyDescent="0.4">
      <c r="A187" t="s">
        <v>342</v>
      </c>
      <c r="B187" s="1373" t="s">
        <v>343</v>
      </c>
      <c r="C187" s="1374"/>
      <c r="D187" s="1375"/>
      <c r="E187" s="1375"/>
      <c r="F187" s="1375"/>
      <c r="G187" s="1376"/>
      <c r="H187" s="1146">
        <v>2</v>
      </c>
      <c r="I187" s="1146">
        <v>3</v>
      </c>
      <c r="J187" s="1146">
        <v>4</v>
      </c>
      <c r="K187" s="1146">
        <v>5</v>
      </c>
      <c r="L187" s="1146">
        <v>6</v>
      </c>
      <c r="M187" s="1146">
        <v>7</v>
      </c>
      <c r="N187" s="1146">
        <v>8</v>
      </c>
      <c r="O187" s="1146">
        <v>9</v>
      </c>
      <c r="P187" s="1146">
        <v>10</v>
      </c>
      <c r="Q187" s="1146">
        <v>11</v>
      </c>
      <c r="R187" s="1146">
        <v>12</v>
      </c>
      <c r="S187" s="1146">
        <v>13</v>
      </c>
      <c r="T187" s="1146">
        <v>14</v>
      </c>
      <c r="U187" s="1146">
        <v>15</v>
      </c>
      <c r="V187" s="1146">
        <v>16</v>
      </c>
      <c r="W187" s="1146">
        <v>17</v>
      </c>
      <c r="X187" s="1146">
        <v>18</v>
      </c>
      <c r="Y187" s="1146">
        <v>19</v>
      </c>
      <c r="Z187" s="1146">
        <v>20</v>
      </c>
      <c r="AA187" s="1146">
        <v>21</v>
      </c>
      <c r="AB187" s="1146">
        <v>22</v>
      </c>
      <c r="AC187" s="1146">
        <v>23</v>
      </c>
      <c r="AD187" s="1147">
        <v>24</v>
      </c>
    </row>
    <row r="188" spans="1:36" ht="15.5" outlineLevel="1" x14ac:dyDescent="0.35">
      <c r="B188" s="394" t="s">
        <v>90</v>
      </c>
      <c r="C188" s="395" t="s">
        <v>93</v>
      </c>
      <c r="D188" s="395" t="s">
        <v>94</v>
      </c>
      <c r="E188" s="1148" t="s">
        <v>344</v>
      </c>
      <c r="F188" s="396" t="s">
        <v>95</v>
      </c>
      <c r="G188" s="1149" t="str">
        <f>$H$157 &amp; " Investment"</f>
        <v>Investor 2 Investment</v>
      </c>
      <c r="H188" s="1149" t="str">
        <f>$H$158 &amp; " Investment"</f>
        <v>Investor 3 Investment</v>
      </c>
      <c r="I188" s="1150" t="str">
        <f>H159 &amp; " Investment"</f>
        <v>Investor 4 Investment</v>
      </c>
      <c r="J188" s="1150" t="str">
        <f>H160 &amp; " Investment"</f>
        <v>Investor 5 Investment</v>
      </c>
      <c r="K188" s="1150" t="str">
        <f>H161 &amp; " Investment"</f>
        <v>Investor 6 Investment</v>
      </c>
      <c r="L188" s="1150" t="str">
        <f>H162 &amp; " Investment"</f>
        <v>0 Investment</v>
      </c>
      <c r="M188" s="1150" t="str">
        <f>H163 &amp; " Investment"</f>
        <v>Founders/Leadership Investment</v>
      </c>
      <c r="N188" s="1150" t="str">
        <f>H164 &amp; " Investment"</f>
        <v>Others 1 Investment</v>
      </c>
      <c r="O188" s="1150" t="str">
        <f>H165 &amp; " Investment"</f>
        <v>Others 2 Investment</v>
      </c>
      <c r="P188" s="1150" t="str">
        <f>H166 &amp; " Investment"</f>
        <v>Others 3 Investment</v>
      </c>
      <c r="Q188" s="1150" t="str">
        <f>H167 &amp; " Investment"</f>
        <v>Others 4 Investment</v>
      </c>
      <c r="R188" s="1150" t="str">
        <f>H168 &amp; " Investment"</f>
        <v>Others 1 Investment</v>
      </c>
      <c r="S188" s="1150" t="str">
        <f>$H169 &amp; " Investment"</f>
        <v>0 Investment</v>
      </c>
      <c r="T188" s="1150" t="str">
        <f>$H170 &amp; " Investment"</f>
        <v>0 Investment</v>
      </c>
      <c r="U188" s="1150" t="str">
        <f>$H171 &amp; " Investment"</f>
        <v>ESOP - allocated Investment</v>
      </c>
      <c r="V188" s="1150" t="str">
        <f>$H172 &amp; " Investment"</f>
        <v>Available ESOP Investment</v>
      </c>
      <c r="W188" s="1150" t="str">
        <f>$H173 &amp; " Investment"</f>
        <v>New ESOP Investment</v>
      </c>
      <c r="X188" s="1150" t="str">
        <f>$H174 &amp; " Investment"</f>
        <v>0 Investment</v>
      </c>
      <c r="Y188" s="1150" t="str">
        <f>$H175 &amp; " Investment"</f>
        <v>TOTAL Investment</v>
      </c>
      <c r="Z188" s="1150" t="str">
        <f>$H176 &amp; " Investment"</f>
        <v>CHECK Investment</v>
      </c>
      <c r="AA188" s="1150" t="str">
        <f>$H177 &amp; " Investment"</f>
        <v>0 Investment</v>
      </c>
      <c r="AB188" s="1150" t="str">
        <f>$H178 &amp; " Investment"</f>
        <v>0 Investment</v>
      </c>
      <c r="AC188" s="1150" t="str">
        <f>$H179 &amp; " Investment"</f>
        <v>0 Investment</v>
      </c>
      <c r="AD188" s="1150" t="str">
        <f>$H180 &amp; " Investment"</f>
        <v>0 Investment</v>
      </c>
    </row>
    <row r="189" spans="1:36" ht="15.5" outlineLevel="1" x14ac:dyDescent="0.35">
      <c r="B189" s="1151" t="str">
        <f>'Cap Table'!$H$15</f>
        <v>Seed Prfrd</v>
      </c>
      <c r="C189" s="403">
        <f>'Exit &amp; Liquidation Analysis'!P6</f>
        <v>0</v>
      </c>
      <c r="D189" s="279">
        <f>'Exit &amp; Liquidation Analysis'!Q6</f>
        <v>0</v>
      </c>
      <c r="E189" s="1114" t="e">
        <f>'Cap Table'!$H$16</f>
        <v>#DIV/0!</v>
      </c>
      <c r="F189" s="1152">
        <f ca="1">'Exit &amp; Liquidation Analysis'!R6</f>
        <v>0</v>
      </c>
      <c r="G189" s="403" t="e">
        <f>-'Cap Table'!$J$22/1000000</f>
        <v>#DIV/0!</v>
      </c>
      <c r="H189" s="403" t="e">
        <f>-'Cap Table'!$J$23/1000000</f>
        <v>#DIV/0!</v>
      </c>
      <c r="I189" s="403" t="e">
        <f>-'Cap Table'!$J$24/1000000</f>
        <v>#DIV/0!</v>
      </c>
      <c r="J189" s="403" t="e">
        <f>-'Cap Table'!$J$25/1000000</f>
        <v>#DIV/0!</v>
      </c>
      <c r="K189" s="403" t="e">
        <f>-'Cap Table'!$J$41/1000000</f>
        <v>#DIV/0!</v>
      </c>
      <c r="L189" s="403" t="e">
        <f>-'Cap Table'!$J$42/1000000</f>
        <v>#DIV/0!</v>
      </c>
      <c r="M189" s="403" t="e">
        <f>-'Cap Table'!$J$43/1000000</f>
        <v>#DIV/0!</v>
      </c>
      <c r="N189" s="403" t="e">
        <f>-'Cap Table'!$J$43/1000000</f>
        <v>#DIV/0!</v>
      </c>
      <c r="O189" s="403" t="e">
        <f>-'Cap Table'!$J$45/1000000</f>
        <v>#DIV/0!</v>
      </c>
      <c r="P189" s="403" t="e">
        <f>-'Cap Table'!$J$46/1000000</f>
        <v>#DIV/0!</v>
      </c>
      <c r="Q189" s="1153" t="e">
        <f>-'Cap Table'!$J$47/1000000</f>
        <v>#DIV/0!</v>
      </c>
      <c r="R189" s="1153" t="e">
        <f>-'Cap Table'!$J$48/1000000</f>
        <v>#DIV/0!</v>
      </c>
      <c r="S189" s="1153" t="e">
        <f>-'Cap Table'!$J$49/1000000</f>
        <v>#DIV/0!</v>
      </c>
      <c r="T189" s="1153">
        <f>-'Cap Table'!$J$50/1000000</f>
        <v>0</v>
      </c>
      <c r="U189" s="1153">
        <f>-'Cap Table'!$J$51/1000000</f>
        <v>0</v>
      </c>
      <c r="V189" s="1153">
        <f>-'Cap Table'!$J$52/1000000</f>
        <v>0</v>
      </c>
      <c r="W189" s="1153">
        <f>-'Cap Table'!$J$53/1000000</f>
        <v>0</v>
      </c>
      <c r="X189" s="1153">
        <f>-'Cap Table'!$J$54/1000000</f>
        <v>0</v>
      </c>
      <c r="Y189" s="1153" t="e">
        <f>-'Cap Table'!$J$55/1000000</f>
        <v>#DIV/0!</v>
      </c>
      <c r="Z189" s="1153">
        <f>-'Cap Table'!$J$56/1000000</f>
        <v>0</v>
      </c>
      <c r="AA189" s="1153">
        <f>-'Cap Table'!$J$57/1000000</f>
        <v>0</v>
      </c>
      <c r="AB189" s="1153">
        <f>-'Cap Table'!$J$58/1000000</f>
        <v>0</v>
      </c>
      <c r="AC189" s="1153">
        <f>-'Cap Table'!$J$59/1000000</f>
        <v>0</v>
      </c>
      <c r="AD189" s="1153">
        <f>-'Cap Table'!$J$60/1000000</f>
        <v>0</v>
      </c>
    </row>
    <row r="190" spans="1:36" ht="15.5" outlineLevel="1" x14ac:dyDescent="0.35">
      <c r="B190" s="1151" t="str">
        <f>'Cap Table'!$P$15</f>
        <v>Series A Prfrd</v>
      </c>
      <c r="C190" s="403">
        <f>'Exit &amp; Liquidation Analysis'!P7</f>
        <v>0</v>
      </c>
      <c r="D190" s="279">
        <f>'Exit &amp; Liquidation Analysis'!Q7</f>
        <v>0</v>
      </c>
      <c r="E190" s="1114">
        <f>'Cap Table'!$P$16</f>
        <v>0</v>
      </c>
      <c r="F190" s="403">
        <f ca="1">'Exit &amp; Liquidation Analysis'!R7</f>
        <v>0</v>
      </c>
      <c r="G190" s="1153">
        <f>-'Cap Table'!$R$22/1000000</f>
        <v>0</v>
      </c>
      <c r="H190" s="1153">
        <f>-'Cap Table'!$R$23/1000000</f>
        <v>0</v>
      </c>
      <c r="I190" s="1153">
        <f>-'Cap Table'!$R$24/1000000</f>
        <v>0</v>
      </c>
      <c r="J190" s="1153">
        <f>-'Cap Table'!$R$25/1000000</f>
        <v>0</v>
      </c>
      <c r="K190" s="1153">
        <f>-'Cap Table'!$R$41/1000000</f>
        <v>0</v>
      </c>
      <c r="L190" s="1153">
        <f>-'Cap Table'!$R$42/1000000</f>
        <v>0</v>
      </c>
      <c r="M190" s="1153">
        <f>-'Cap Table'!$R$43/1000000</f>
        <v>0</v>
      </c>
      <c r="N190" s="1153">
        <f>-'Cap Table'!$R$43/1000000</f>
        <v>0</v>
      </c>
      <c r="O190" s="1153">
        <f>-'Cap Table'!$R$45/1000000</f>
        <v>0</v>
      </c>
      <c r="P190" s="1153">
        <f>-'Cap Table'!$R$46/1000000</f>
        <v>0</v>
      </c>
      <c r="Q190" s="1153">
        <f>-'Cap Table'!$R$47/1000000</f>
        <v>0</v>
      </c>
      <c r="R190" s="1153">
        <f>-'Cap Table'!$R$48/1000000</f>
        <v>0</v>
      </c>
      <c r="S190" s="1153">
        <f>-'Cap Table'!$R$49/1000000</f>
        <v>0</v>
      </c>
      <c r="T190" s="1153">
        <f>-'Cap Table'!$R$50/1000000</f>
        <v>0</v>
      </c>
      <c r="U190" s="1153">
        <f>-'Cap Table'!$R$51/1000000</f>
        <v>0</v>
      </c>
      <c r="V190" s="1153">
        <f>-'Cap Table'!$R$52/1000000</f>
        <v>0</v>
      </c>
      <c r="W190" s="1153">
        <f>-'Cap Table'!$R$53/1000000</f>
        <v>0</v>
      </c>
      <c r="X190" s="1153">
        <f>-'Cap Table'!$R$54/1000000</f>
        <v>0</v>
      </c>
      <c r="Y190" s="1153">
        <f>-'Cap Table'!$R$55/1000000</f>
        <v>0</v>
      </c>
      <c r="Z190" s="1153">
        <f>-'Cap Table'!$R$56/1000000</f>
        <v>0</v>
      </c>
      <c r="AA190" s="1153">
        <f>-'Cap Table'!$R$57/1000000</f>
        <v>0</v>
      </c>
      <c r="AB190" s="1153">
        <f>-'Cap Table'!$R$58/1000000</f>
        <v>0</v>
      </c>
      <c r="AC190" s="1153">
        <f>-'Cap Table'!$R$59/1000000</f>
        <v>0</v>
      </c>
      <c r="AD190" s="1153">
        <f>-'Cap Table'!$R$60/1000000</f>
        <v>0</v>
      </c>
    </row>
    <row r="191" spans="1:36" ht="15.5" outlineLevel="1" x14ac:dyDescent="0.35">
      <c r="B191" s="1151" t="str">
        <f>'Cap Table'!$X$15</f>
        <v>Series B Prfrd</v>
      </c>
      <c r="C191" s="403">
        <f>'Exit &amp; Liquidation Analysis'!P9</f>
        <v>0</v>
      </c>
      <c r="D191" s="279">
        <f>'Exit &amp; Liquidation Analysis'!Q9</f>
        <v>0</v>
      </c>
      <c r="E191" s="1114">
        <f>'Cap Table'!$X$16</f>
        <v>0</v>
      </c>
      <c r="F191" s="1152">
        <f ca="1">'Exit &amp; Liquidation Analysis'!R9</f>
        <v>0</v>
      </c>
      <c r="G191" s="1153">
        <f>-'Cap Table'!$Z$22/1000000</f>
        <v>0</v>
      </c>
      <c r="H191" s="1153">
        <f>-'Cap Table'!$Z$23/1000000</f>
        <v>0</v>
      </c>
      <c r="I191" s="1153">
        <f>-'Cap Table'!$Z$24/1000000</f>
        <v>0</v>
      </c>
      <c r="J191" s="1153">
        <f>-'Cap Table'!$Z$25/1000000</f>
        <v>0</v>
      </c>
      <c r="K191" s="1153">
        <f>-'Cap Table'!$Z$41/1000000</f>
        <v>0</v>
      </c>
      <c r="L191" s="1153">
        <f>-'Cap Table'!$Z$42/1000000</f>
        <v>0</v>
      </c>
      <c r="M191" s="1153">
        <f>-'Cap Table'!$Z$43/1000000</f>
        <v>0</v>
      </c>
      <c r="N191" s="1153">
        <f>-'Cap Table'!$Z$43/1000000</f>
        <v>0</v>
      </c>
      <c r="O191" s="1153">
        <f>-'Cap Table'!$Z$45/1000000</f>
        <v>0</v>
      </c>
      <c r="P191" s="1153">
        <f>-'Cap Table'!$Z$46/1000000</f>
        <v>0</v>
      </c>
      <c r="Q191" s="1153">
        <f>-'Cap Table'!$Z$47/1000000</f>
        <v>0</v>
      </c>
      <c r="R191" s="1153">
        <f>-'Cap Table'!$Z$48/1000000</f>
        <v>0</v>
      </c>
      <c r="S191" s="1153">
        <f>-'Cap Table'!$Z$49/1000000</f>
        <v>0</v>
      </c>
      <c r="T191" s="1153">
        <f>-'Cap Table'!$Z$50/1000000</f>
        <v>0</v>
      </c>
      <c r="U191" s="1153">
        <f>-'Cap Table'!$Z$51/1000000</f>
        <v>0</v>
      </c>
      <c r="V191" s="1153">
        <f>-'Cap Table'!$Z$52/1000000</f>
        <v>0</v>
      </c>
      <c r="W191" s="1153">
        <f>-'Cap Table'!$Z$53/1000000</f>
        <v>0</v>
      </c>
      <c r="X191" s="1153">
        <f>-'Cap Table'!$Z$54/1000000</f>
        <v>0</v>
      </c>
      <c r="Y191" s="1153">
        <f>-'Cap Table'!$Z$55/1000000</f>
        <v>0</v>
      </c>
      <c r="Z191" s="1153">
        <f>-'Cap Table'!$Z$56/1000000</f>
        <v>0</v>
      </c>
      <c r="AA191" s="1153">
        <f>-'Cap Table'!$Z$57/1000000</f>
        <v>0</v>
      </c>
      <c r="AB191" s="1153">
        <f>-'Cap Table'!$Z$58/1000000</f>
        <v>0</v>
      </c>
      <c r="AC191" s="1153">
        <f>-'Cap Table'!$Z$59/1000000</f>
        <v>0</v>
      </c>
      <c r="AD191" s="1153">
        <f>-'Cap Table'!$Z$60/1000000</f>
        <v>0</v>
      </c>
    </row>
    <row r="192" spans="1:36" ht="15.5" outlineLevel="1" x14ac:dyDescent="0.35">
      <c r="B192" s="1151" t="str">
        <f>'Cap Table'!$AF$15</f>
        <v>Series C Prfrd</v>
      </c>
      <c r="C192" s="403">
        <f>'Exit &amp; Liquidation Analysis'!P10</f>
        <v>0</v>
      </c>
      <c r="D192" s="279">
        <f>'Exit &amp; Liquidation Analysis'!Q10</f>
        <v>0</v>
      </c>
      <c r="E192" s="1114">
        <f>'Cap Table'!$AF$16</f>
        <v>0</v>
      </c>
      <c r="F192" s="403">
        <f ca="1">'Exit &amp; Liquidation Analysis'!R10</f>
        <v>0</v>
      </c>
      <c r="G192" s="1153">
        <f>-'Cap Table'!$AH$22/1000000</f>
        <v>0</v>
      </c>
      <c r="H192" s="1153">
        <f>-'Cap Table'!$AH$23/1000000</f>
        <v>0</v>
      </c>
      <c r="I192" s="1153">
        <f>-'Cap Table'!$AH$24/1000000</f>
        <v>0</v>
      </c>
      <c r="J192" s="1153">
        <f>-'Cap Table'!$AH$25/1000000</f>
        <v>0</v>
      </c>
      <c r="K192" s="1153">
        <f>-'Cap Table'!$AH$41/1000000</f>
        <v>0</v>
      </c>
      <c r="L192" s="1153">
        <f>-'Cap Table'!$AH$42/1000000</f>
        <v>0</v>
      </c>
      <c r="M192" s="1153">
        <f>-'Cap Table'!$AH$43/1000000</f>
        <v>0</v>
      </c>
      <c r="N192" s="1153">
        <f>-'Cap Table'!$AH$43/1000000</f>
        <v>0</v>
      </c>
      <c r="O192" s="1153">
        <f>-'Cap Table'!$AH$45/1000000</f>
        <v>0</v>
      </c>
      <c r="P192" s="1153">
        <f>-'Cap Table'!$AH$46/1000000</f>
        <v>0</v>
      </c>
      <c r="Q192" s="1153">
        <f>-'Cap Table'!$AH$47/1000000</f>
        <v>0</v>
      </c>
      <c r="R192" s="1153">
        <f>-'Cap Table'!$AH$48/1000000</f>
        <v>0</v>
      </c>
      <c r="S192" s="1153">
        <f>-'Cap Table'!$AH$49/1000000</f>
        <v>0</v>
      </c>
      <c r="T192" s="1153">
        <f>-'Cap Table'!$AH$50/1000000</f>
        <v>0</v>
      </c>
      <c r="U192" s="1153">
        <f>-'Cap Table'!$AH$51/1000000</f>
        <v>0</v>
      </c>
      <c r="V192" s="1153">
        <f>-'Cap Table'!$AH$52/1000000</f>
        <v>0</v>
      </c>
      <c r="W192" s="1153">
        <f>-'Cap Table'!$AH$53/1000000</f>
        <v>0</v>
      </c>
      <c r="X192" s="1153">
        <f>-'Cap Table'!$AH$54/1000000</f>
        <v>0</v>
      </c>
      <c r="Y192" s="1153">
        <f>-'Cap Table'!$AH$55/1000000</f>
        <v>0</v>
      </c>
      <c r="Z192" s="1153">
        <f>-'Cap Table'!$AH$56/1000000</f>
        <v>0</v>
      </c>
      <c r="AA192" s="1153">
        <f>-'Cap Table'!$AH$57/1000000</f>
        <v>0</v>
      </c>
      <c r="AB192" s="1153">
        <f>-'Cap Table'!$AH$58/1000000</f>
        <v>0</v>
      </c>
      <c r="AC192" s="1153">
        <f>-'Cap Table'!$AH$59/1000000</f>
        <v>0</v>
      </c>
      <c r="AD192" s="1153">
        <f>-'Cap Table'!$AH$60/1000000</f>
        <v>0</v>
      </c>
    </row>
    <row r="193" spans="2:32" ht="15.5" outlineLevel="1" x14ac:dyDescent="0.35">
      <c r="B193" s="1151" t="str">
        <f>'Cap Table'!$AN$15</f>
        <v>Series D Prfrd</v>
      </c>
      <c r="C193" s="403">
        <f>'Exit &amp; Liquidation Analysis'!P11</f>
        <v>0</v>
      </c>
      <c r="D193" s="279">
        <f>'Exit &amp; Liquidation Analysis'!Q11</f>
        <v>0</v>
      </c>
      <c r="E193" s="1114">
        <f>'Cap Table'!$AN$16</f>
        <v>0</v>
      </c>
      <c r="F193" s="403">
        <f ca="1">'Exit &amp; Liquidation Analysis'!R11</f>
        <v>0</v>
      </c>
      <c r="G193" s="1153">
        <f>-'Cap Table'!$AP$22/1000000</f>
        <v>0</v>
      </c>
      <c r="H193" s="1153">
        <f>-'Cap Table'!$AP$23/1000000</f>
        <v>0</v>
      </c>
      <c r="I193" s="1153">
        <f>-'Cap Table'!$AP$24/1000000</f>
        <v>0</v>
      </c>
      <c r="J193" s="1153">
        <f>-'Cap Table'!$AP$25/1000000</f>
        <v>0</v>
      </c>
      <c r="K193" s="1153">
        <f>-'Cap Table'!$AP$41/1000000</f>
        <v>0</v>
      </c>
      <c r="L193" s="1153">
        <f>-'Cap Table'!$AP$42/1000000</f>
        <v>0</v>
      </c>
      <c r="M193" s="1153">
        <f>-'Cap Table'!$AP$43/1000000</f>
        <v>0</v>
      </c>
      <c r="N193" s="1153">
        <f>-'Cap Table'!$AP$43/1000000</f>
        <v>0</v>
      </c>
      <c r="O193" s="1153">
        <f>-'Cap Table'!$AP$45/1000000</f>
        <v>0</v>
      </c>
      <c r="P193" s="1153">
        <f>-'Cap Table'!$AP$46/1000000</f>
        <v>0</v>
      </c>
      <c r="Q193" s="1153">
        <f>-'Cap Table'!$AP$47/1000000</f>
        <v>0</v>
      </c>
      <c r="R193" s="1153">
        <f>-'Cap Table'!$AP$48/1000000</f>
        <v>0</v>
      </c>
      <c r="S193" s="1153">
        <f>-'Cap Table'!$AP$49/1000000</f>
        <v>0</v>
      </c>
      <c r="T193" s="1153">
        <f>-'Cap Table'!$AP$50/1000000</f>
        <v>0</v>
      </c>
      <c r="U193" s="1153">
        <f>-'Cap Table'!$AP$51/1000000</f>
        <v>0</v>
      </c>
      <c r="V193" s="1153">
        <f>-'Cap Table'!$AP$52/1000000</f>
        <v>0</v>
      </c>
      <c r="W193" s="1153">
        <f>-'Cap Table'!$AP$53/1000000</f>
        <v>0</v>
      </c>
      <c r="X193" s="1153">
        <f>-'Cap Table'!$AP$54/1000000</f>
        <v>0</v>
      </c>
      <c r="Y193" s="1153">
        <f>-'Cap Table'!$AP$55/1000000</f>
        <v>0</v>
      </c>
      <c r="Z193" s="1153">
        <f>-'Cap Table'!$AP$56/1000000</f>
        <v>0</v>
      </c>
      <c r="AA193" s="1153">
        <f>-'Cap Table'!$AP$57/1000000</f>
        <v>0</v>
      </c>
      <c r="AB193" s="1153">
        <f>-'Cap Table'!$AP$58/1000000</f>
        <v>0</v>
      </c>
      <c r="AC193" s="1153">
        <f>-'Cap Table'!$AP$59/1000000</f>
        <v>0</v>
      </c>
      <c r="AD193" s="1153">
        <f>-'Cap Table'!$AP$60/1000000</f>
        <v>0</v>
      </c>
    </row>
    <row r="194" spans="2:32" ht="15.5" outlineLevel="1" x14ac:dyDescent="0.35">
      <c r="B194" s="1151" t="str">
        <f>'Cap Table'!$AV$15</f>
        <v>Series E Prfrd</v>
      </c>
      <c r="C194" s="403">
        <f>'Exit &amp; Liquidation Analysis'!P12</f>
        <v>0</v>
      </c>
      <c r="D194" s="279">
        <f>'Exit &amp; Liquidation Analysis'!Q12</f>
        <v>0</v>
      </c>
      <c r="E194" s="1114">
        <f>'Cap Table'!$AV$16</f>
        <v>0</v>
      </c>
      <c r="F194" s="403">
        <f ca="1">'Exit &amp; Liquidation Analysis'!R12</f>
        <v>0</v>
      </c>
      <c r="G194" s="1153">
        <f>-'Cap Table'!$AX$22/1000000</f>
        <v>0</v>
      </c>
      <c r="H194" s="1153">
        <f>-'Cap Table'!$AX$23/1000000</f>
        <v>0</v>
      </c>
      <c r="I194" s="1153">
        <f>-'Cap Table'!$AX$24/1000000</f>
        <v>0</v>
      </c>
      <c r="J194" s="1153">
        <f>-'Cap Table'!$AX$25/1000000</f>
        <v>0</v>
      </c>
      <c r="K194" s="1153">
        <f>-'Cap Table'!$AX$41/1000000</f>
        <v>0</v>
      </c>
      <c r="L194" s="1153">
        <f>-'Cap Table'!$AX$42/1000000</f>
        <v>0</v>
      </c>
      <c r="M194" s="1153">
        <f>-'Cap Table'!$AX$43/1000000</f>
        <v>0</v>
      </c>
      <c r="N194" s="1153">
        <f>-'Cap Table'!$AX$43/1000000</f>
        <v>0</v>
      </c>
      <c r="O194" s="1153">
        <f>-'Cap Table'!$AX$45/1000000</f>
        <v>0</v>
      </c>
      <c r="P194" s="1153">
        <f>-'Cap Table'!$AX$46/1000000</f>
        <v>0</v>
      </c>
      <c r="Q194" s="1153">
        <f>-'Cap Table'!$AX$47/1000000</f>
        <v>0</v>
      </c>
      <c r="R194" s="1153">
        <f>-'Cap Table'!$AX$48/1000000</f>
        <v>0</v>
      </c>
      <c r="S194" s="1153">
        <f>-'Cap Table'!$AX$49/1000000</f>
        <v>0</v>
      </c>
      <c r="T194" s="1153">
        <f>-'Cap Table'!$AX$50/1000000</f>
        <v>0</v>
      </c>
      <c r="U194" s="1153">
        <f>-'Cap Table'!$AX$51/1000000</f>
        <v>0</v>
      </c>
      <c r="V194" s="1153">
        <f>-'Cap Table'!$AX$52/1000000</f>
        <v>0</v>
      </c>
      <c r="W194" s="1153">
        <f>-'Cap Table'!$AX$53/1000000</f>
        <v>0</v>
      </c>
      <c r="X194" s="1153">
        <f>-'Cap Table'!$AX$54/1000000</f>
        <v>0</v>
      </c>
      <c r="Y194" s="1153">
        <f>-'Cap Table'!$AX$55/1000000</f>
        <v>0</v>
      </c>
      <c r="Z194" s="1153">
        <f>-'Cap Table'!$AX$56/1000000</f>
        <v>0</v>
      </c>
      <c r="AA194" s="1153">
        <f>-'Cap Table'!$AX$57/1000000</f>
        <v>0</v>
      </c>
      <c r="AB194" s="1153">
        <f>-'Cap Table'!$AX$58/1000000</f>
        <v>0</v>
      </c>
      <c r="AC194" s="1153">
        <f>-'Cap Table'!$AX$59/1000000</f>
        <v>0</v>
      </c>
      <c r="AD194" s="1153">
        <f>-'Cap Table'!$AX$60/1000000</f>
        <v>0</v>
      </c>
    </row>
    <row r="195" spans="2:32" ht="15.5" outlineLevel="1" x14ac:dyDescent="0.35">
      <c r="B195" s="1151" t="str">
        <f>'Cap Table'!$BG$15</f>
        <v>Series E-1 Prfrd  %</v>
      </c>
      <c r="C195" s="403">
        <f>'Exit &amp; Liquidation Analysis'!P13</f>
        <v>0</v>
      </c>
      <c r="D195" s="279">
        <f>'Exit &amp; Liquidation Analysis'!Q13</f>
        <v>0</v>
      </c>
      <c r="E195" s="1114">
        <f>'Cap Table'!$BG$16</f>
        <v>0</v>
      </c>
      <c r="F195" s="403">
        <f ca="1">'Exit &amp; Liquidation Analysis'!R13</f>
        <v>0</v>
      </c>
      <c r="G195" s="1153">
        <f>-'Cap Table'!$BI$22/1000000</f>
        <v>0</v>
      </c>
      <c r="H195" s="1153">
        <f>-'Cap Table'!$BI$23/1000000</f>
        <v>0</v>
      </c>
      <c r="I195" s="1153">
        <f>-'Cap Table'!$BI$24/1000000</f>
        <v>0</v>
      </c>
      <c r="J195" s="1153">
        <f>-'Cap Table'!$BI$25/1000000</f>
        <v>0</v>
      </c>
      <c r="K195" s="1153">
        <f>-'Cap Table'!$BI$41/1000000</f>
        <v>0</v>
      </c>
      <c r="L195" s="1153">
        <f>-'Cap Table'!$BI$42/1000000</f>
        <v>0</v>
      </c>
      <c r="M195" s="1153">
        <f>-'Cap Table'!$BI$43/1000000</f>
        <v>0</v>
      </c>
      <c r="N195" s="1153">
        <f>-'Cap Table'!$BI$43/1000000</f>
        <v>0</v>
      </c>
      <c r="O195" s="1153">
        <f>-'Cap Table'!$BI$45/1000000</f>
        <v>0</v>
      </c>
      <c r="P195" s="1153">
        <f>-'Cap Table'!$BI$46/1000000</f>
        <v>0</v>
      </c>
      <c r="Q195" s="1153">
        <f>-'Cap Table'!$BI$47/1000000</f>
        <v>0</v>
      </c>
      <c r="R195" s="1153">
        <f>-'Cap Table'!$BI$48/1000000</f>
        <v>0</v>
      </c>
      <c r="S195" s="1153">
        <f>-'Cap Table'!$BI$49/1000000</f>
        <v>0</v>
      </c>
      <c r="T195" s="1153">
        <f>-'Cap Table'!$BI$50/1000000</f>
        <v>0</v>
      </c>
      <c r="U195" s="1153">
        <f>-'Cap Table'!$BI$51/1000000</f>
        <v>0</v>
      </c>
      <c r="V195" s="1153">
        <f>-'Cap Table'!$BI$52/1000000</f>
        <v>0</v>
      </c>
      <c r="W195" s="1153">
        <f>-'Cap Table'!$BI$53/1000000</f>
        <v>0</v>
      </c>
      <c r="X195" s="1153">
        <f>-'Cap Table'!$BI$54/1000000</f>
        <v>0</v>
      </c>
      <c r="Y195" s="1153">
        <f>-'Cap Table'!$BI$55/1000000</f>
        <v>0</v>
      </c>
      <c r="Z195" s="1153">
        <f>-'Cap Table'!$BI$56/1000000</f>
        <v>0</v>
      </c>
      <c r="AA195" s="1153">
        <f>-'Cap Table'!$BI$57/1000000</f>
        <v>0</v>
      </c>
      <c r="AB195" s="1153">
        <f>-'Cap Table'!$BI$58/1000000</f>
        <v>0</v>
      </c>
      <c r="AC195" s="1153">
        <f>-'Cap Table'!$BI$59/1000000</f>
        <v>0</v>
      </c>
      <c r="AD195" s="1153">
        <f>-'Cap Table'!$BI$60/1000000</f>
        <v>0</v>
      </c>
    </row>
    <row r="196" spans="2:32" ht="15.5" outlineLevel="1" x14ac:dyDescent="0.35">
      <c r="B196" s="1151" t="str">
        <f>'Cap Table'!$BQ$15</f>
        <v>Fully Diluted Shares</v>
      </c>
      <c r="C196" s="403" t="e">
        <f>'Exit &amp; Liquidation Analysis'!#REF!</f>
        <v>#REF!</v>
      </c>
      <c r="D196" s="279" t="e">
        <f>'Exit &amp; Liquidation Analysis'!#REF!</f>
        <v>#REF!</v>
      </c>
      <c r="E196" s="1114">
        <f>'Cap Table'!$BQ$16</f>
        <v>0</v>
      </c>
      <c r="F196" s="403" t="e">
        <f>'Exit &amp; Liquidation Analysis'!#REF!</f>
        <v>#REF!</v>
      </c>
      <c r="G196" s="1153" t="e">
        <f>-'Cap Table'!$BS$22/1000000</f>
        <v>#DIV/0!</v>
      </c>
      <c r="H196" s="1153" t="e">
        <f>-'Cap Table'!$BS$23/1000000</f>
        <v>#DIV/0!</v>
      </c>
      <c r="I196" s="1153" t="e">
        <f>-'Cap Table'!$BS$24/1000000</f>
        <v>#DIV/0!</v>
      </c>
      <c r="J196" s="1153" t="e">
        <f>-'Cap Table'!$BS$25/1000000</f>
        <v>#DIV/0!</v>
      </c>
      <c r="K196" s="1153" t="e">
        <f>-'Cap Table'!$BS$41/1000000</f>
        <v>#DIV/0!</v>
      </c>
      <c r="L196" s="1153" t="e">
        <f>-'Cap Table'!$BS$42/1000000</f>
        <v>#DIV/0!</v>
      </c>
      <c r="M196" s="1153" t="e">
        <f>-'Cap Table'!$BS$43/1000000</f>
        <v>#DIV/0!</v>
      </c>
      <c r="N196" s="1153" t="e">
        <f>-'Cap Table'!$BS$43/1000000</f>
        <v>#DIV/0!</v>
      </c>
      <c r="O196" s="1153" t="e">
        <f>-'Cap Table'!$BS$45/1000000</f>
        <v>#DIV/0!</v>
      </c>
      <c r="P196" s="1153" t="e">
        <f>-'Cap Table'!$BS$46/1000000</f>
        <v>#DIV/0!</v>
      </c>
      <c r="Q196" s="1153" t="e">
        <f>-'Cap Table'!$BS$47/1000000</f>
        <v>#DIV/0!</v>
      </c>
      <c r="R196" s="1153" t="e">
        <f>-'Cap Table'!$BS$48/1000000</f>
        <v>#DIV/0!</v>
      </c>
      <c r="S196" s="1153" t="e">
        <f>-'Cap Table'!$BS$49/1000000</f>
        <v>#DIV/0!</v>
      </c>
      <c r="T196" s="1153">
        <f>-'Cap Table'!$BS$50/1000000</f>
        <v>0</v>
      </c>
      <c r="U196" s="1153" t="e">
        <f>-'Cap Table'!$BS$51/1000000</f>
        <v>#DIV/0!</v>
      </c>
      <c r="V196" s="1153" t="e">
        <f>-'Cap Table'!$BS$52/1000000</f>
        <v>#DIV/0!</v>
      </c>
      <c r="W196" s="1153" t="e">
        <f>-'Cap Table'!$BS$53/1000000</f>
        <v>#DIV/0!</v>
      </c>
      <c r="X196" s="1153">
        <f>-'Cap Table'!$BS$54/1000000</f>
        <v>0</v>
      </c>
      <c r="Y196" s="1153" t="e">
        <f>-'Cap Table'!$BS$55/1000000</f>
        <v>#DIV/0!</v>
      </c>
      <c r="Z196" s="1153">
        <f>-'Cap Table'!$BS$56/1000000</f>
        <v>0</v>
      </c>
      <c r="AA196" s="1153">
        <f>-'Cap Table'!$BS$57/1000000</f>
        <v>0</v>
      </c>
      <c r="AB196" s="1153">
        <f>-'Cap Table'!$BS$58/1000000</f>
        <v>0</v>
      </c>
      <c r="AC196" s="1153">
        <f>-'Cap Table'!$BS$59/1000000</f>
        <v>0</v>
      </c>
      <c r="AD196" s="1153">
        <f>-'Cap Table'!$BS$60/1000000</f>
        <v>0</v>
      </c>
    </row>
    <row r="197" spans="2:32" ht="16" outlineLevel="1" thickBot="1" x14ac:dyDescent="0.4">
      <c r="B197" s="1151" t="str">
        <f>'Cap Table'!$BY$15</f>
        <v>Fully Diluted Shares</v>
      </c>
      <c r="C197" s="403">
        <f>'Exit &amp; Liquidation Analysis'!P14</f>
        <v>0</v>
      </c>
      <c r="D197" s="279">
        <f>'Exit &amp; Liquidation Analysis'!Q14</f>
        <v>0</v>
      </c>
      <c r="E197" s="1114">
        <f>'Cap Table'!$BY$16</f>
        <v>0</v>
      </c>
      <c r="F197" s="403">
        <f ca="1">'Exit &amp; Liquidation Analysis'!R14</f>
        <v>0</v>
      </c>
      <c r="G197" s="1154" t="e">
        <f>-'Cap Table'!$CA$22/1000000</f>
        <v>#DIV/0!</v>
      </c>
      <c r="H197" s="1154" t="e">
        <f>-'Cap Table'!$CA$23/1000000</f>
        <v>#DIV/0!</v>
      </c>
      <c r="I197" s="1154" t="e">
        <f>-'Cap Table'!$CA$24/1000000</f>
        <v>#DIV/0!</v>
      </c>
      <c r="J197" s="1154" t="e">
        <f>-'Cap Table'!$CA$25/1000000</f>
        <v>#DIV/0!</v>
      </c>
      <c r="K197" s="1154" t="e">
        <f>-'Cap Table'!$CA$41/1000000</f>
        <v>#DIV/0!</v>
      </c>
      <c r="L197" s="1154" t="e">
        <f>-'Cap Table'!$CA$42/1000000</f>
        <v>#DIV/0!</v>
      </c>
      <c r="M197" s="1154" t="e">
        <f>-'Cap Table'!$CA$43/1000000</f>
        <v>#DIV/0!</v>
      </c>
      <c r="N197" s="1154" t="e">
        <f>-'Cap Table'!$CA$43/1000000</f>
        <v>#DIV/0!</v>
      </c>
      <c r="O197" s="1154" t="e">
        <f>-'Cap Table'!$CA$45/1000000</f>
        <v>#DIV/0!</v>
      </c>
      <c r="P197" s="1154" t="e">
        <f>-'Cap Table'!$CA$46/1000000</f>
        <v>#DIV/0!</v>
      </c>
      <c r="Q197" s="1154" t="e">
        <f>-'Cap Table'!$CA$47/1000000</f>
        <v>#DIV/0!</v>
      </c>
      <c r="R197" s="1154" t="e">
        <f>-'Cap Table'!$CA$48/1000000</f>
        <v>#DIV/0!</v>
      </c>
      <c r="S197" s="1154" t="e">
        <f>-'Cap Table'!$CA$49/1000000</f>
        <v>#DIV/0!</v>
      </c>
      <c r="T197" s="1154">
        <f>-'Cap Table'!$CA$50/1000000</f>
        <v>0</v>
      </c>
      <c r="U197" s="1154" t="e">
        <f>-'Cap Table'!$CA$51/1000000</f>
        <v>#DIV/0!</v>
      </c>
      <c r="V197" s="1154" t="e">
        <f>-'Cap Table'!$CA$52/1000000</f>
        <v>#DIV/0!</v>
      </c>
      <c r="W197" s="1154" t="e">
        <f>-'Cap Table'!$CA$53/1000000</f>
        <v>#DIV/0!</v>
      </c>
      <c r="X197" s="1154">
        <f>-'Cap Table'!$CA$54/1000000</f>
        <v>0</v>
      </c>
      <c r="Y197" s="1154" t="e">
        <f>-'Cap Table'!$CA$55/1000000</f>
        <v>#DIV/0!</v>
      </c>
      <c r="Z197" s="1154">
        <f>-'Cap Table'!$CA$56/1000000</f>
        <v>0</v>
      </c>
      <c r="AA197" s="1154">
        <f>-'Cap Table'!$CA$57/1000000</f>
        <v>0</v>
      </c>
      <c r="AB197" s="1154">
        <f>-'Cap Table'!$CA$58/1000000</f>
        <v>0</v>
      </c>
      <c r="AC197" s="1154">
        <f>-'Cap Table'!$CA$59/1000000</f>
        <v>0</v>
      </c>
      <c r="AD197" s="1154">
        <f>-'Cap Table'!$CA$60/1000000</f>
        <v>0</v>
      </c>
    </row>
    <row r="198" spans="2:32" ht="16" outlineLevel="1" thickBot="1" x14ac:dyDescent="0.4">
      <c r="B198" s="1155" t="s">
        <v>345</v>
      </c>
      <c r="C198" s="1156"/>
      <c r="D198" s="1156"/>
      <c r="E198" s="1157">
        <f>C8</f>
        <v>44561</v>
      </c>
      <c r="F198" s="1158">
        <f>C26</f>
        <v>60</v>
      </c>
      <c r="G198" s="1159" t="e">
        <f>$C$77</f>
        <v>#DIV/0!</v>
      </c>
      <c r="H198" s="1159" t="e">
        <f>$C$78</f>
        <v>#DIV/0!</v>
      </c>
      <c r="I198" s="1159" t="e">
        <f>$C$79</f>
        <v>#DIV/0!</v>
      </c>
      <c r="J198" s="1159" t="e">
        <f>$C$80</f>
        <v>#DIV/0!</v>
      </c>
      <c r="K198" s="1159" t="e">
        <f>$C$81</f>
        <v>#DIV/0!</v>
      </c>
      <c r="L198" s="1159" t="str">
        <f>$C$82</f>
        <v>-</v>
      </c>
      <c r="M198" s="1159" t="e">
        <f>$C$83</f>
        <v>#DIV/0!</v>
      </c>
      <c r="N198" s="1159" t="e">
        <f>$C$84</f>
        <v>#DIV/0!</v>
      </c>
      <c r="O198" s="1159" t="e">
        <f>$C$85</f>
        <v>#DIV/0!</v>
      </c>
      <c r="P198" s="1159" t="e">
        <f>$C$86</f>
        <v>#DIV/0!</v>
      </c>
      <c r="Q198" s="1159" t="str">
        <f>$C$87</f>
        <v>-</v>
      </c>
      <c r="R198" s="1159" t="e">
        <f>$C$88</f>
        <v>#DIV/0!</v>
      </c>
      <c r="S198" s="1159" t="e">
        <f>$C$89</f>
        <v>#DIV/0!</v>
      </c>
      <c r="T198" s="1159" t="e">
        <f>$C$90</f>
        <v>#DIV/0!</v>
      </c>
      <c r="U198" s="1159" t="e">
        <f>$C$91</f>
        <v>#DIV/0!</v>
      </c>
      <c r="V198" s="1159" t="e">
        <f>$C$92</f>
        <v>#DIV/0!</v>
      </c>
      <c r="W198" s="1159" t="str">
        <f>$C$93</f>
        <v>-</v>
      </c>
      <c r="X198" s="1159" t="e">
        <f>$C$94</f>
        <v>#DIV/0!</v>
      </c>
      <c r="Y198" s="1159" t="e">
        <f>$C$95</f>
        <v>#DIV/0!</v>
      </c>
      <c r="Z198" s="1159" t="e">
        <f>$C$96</f>
        <v>#DIV/0!</v>
      </c>
      <c r="AA198" s="1159" t="e">
        <f>$C$97</f>
        <v>#DIV/0!</v>
      </c>
      <c r="AB198" s="1159" t="e">
        <f>$C$98</f>
        <v>#DIV/0!</v>
      </c>
      <c r="AC198" s="1159" t="e">
        <f>$C$99</f>
        <v>#DIV/0!</v>
      </c>
      <c r="AD198" s="1159" t="e">
        <f>$C$100</f>
        <v>#DIV/0!</v>
      </c>
    </row>
    <row r="199" spans="2:32" outlineLevel="1" x14ac:dyDescent="0.35"/>
    <row r="200" spans="2:32" ht="15" outlineLevel="1" thickBot="1" x14ac:dyDescent="0.4">
      <c r="AF200" t="s">
        <v>346</v>
      </c>
    </row>
    <row r="201" spans="2:32" ht="15" outlineLevel="1" thickBot="1" x14ac:dyDescent="0.4">
      <c r="F201" s="1160" t="s">
        <v>347</v>
      </c>
      <c r="G201" s="1146"/>
      <c r="H201" s="1146"/>
      <c r="I201" s="1146"/>
      <c r="J201" s="1146"/>
      <c r="K201" s="1146"/>
      <c r="L201" s="1146"/>
      <c r="M201" s="1147"/>
      <c r="N201" s="1160"/>
      <c r="O201" s="1146"/>
      <c r="P201" s="1146"/>
      <c r="Q201" s="1146"/>
      <c r="R201" s="1146"/>
      <c r="S201" s="1146"/>
      <c r="T201" s="1146"/>
      <c r="U201" s="1147"/>
      <c r="V201" s="1160"/>
      <c r="W201" s="1146"/>
      <c r="X201" s="1146"/>
      <c r="Y201" s="1146"/>
      <c r="Z201" s="1146"/>
      <c r="AA201" s="1146"/>
      <c r="AB201" s="1146"/>
      <c r="AC201" s="1147"/>
      <c r="AD201" s="1161"/>
    </row>
    <row r="202" spans="2:32" ht="15.5" outlineLevel="1" x14ac:dyDescent="0.35">
      <c r="F202" s="1149" t="s">
        <v>95</v>
      </c>
      <c r="G202" s="1149" t="str">
        <f>G188</f>
        <v>Investor 2 Investment</v>
      </c>
      <c r="H202" s="1149" t="str">
        <f t="shared" ref="H202:AD202" si="28">H188</f>
        <v>Investor 3 Investment</v>
      </c>
      <c r="I202" s="1149" t="str">
        <f t="shared" si="28"/>
        <v>Investor 4 Investment</v>
      </c>
      <c r="J202" s="1149" t="str">
        <f t="shared" si="28"/>
        <v>Investor 5 Investment</v>
      </c>
      <c r="K202" s="1149" t="str">
        <f t="shared" si="28"/>
        <v>Investor 6 Investment</v>
      </c>
      <c r="L202" s="1149" t="str">
        <f t="shared" si="28"/>
        <v>0 Investment</v>
      </c>
      <c r="M202" s="1149" t="str">
        <f t="shared" si="28"/>
        <v>Founders/Leadership Investment</v>
      </c>
      <c r="N202" s="1149" t="str">
        <f t="shared" si="28"/>
        <v>Others 1 Investment</v>
      </c>
      <c r="O202" s="1149" t="str">
        <f t="shared" si="28"/>
        <v>Others 2 Investment</v>
      </c>
      <c r="P202" s="1149" t="str">
        <f t="shared" si="28"/>
        <v>Others 3 Investment</v>
      </c>
      <c r="Q202" s="1149" t="str">
        <f t="shared" si="28"/>
        <v>Others 4 Investment</v>
      </c>
      <c r="R202" s="1149" t="str">
        <f t="shared" si="28"/>
        <v>Others 1 Investment</v>
      </c>
      <c r="S202" s="1149" t="str">
        <f t="shared" si="28"/>
        <v>0 Investment</v>
      </c>
      <c r="T202" s="1149" t="str">
        <f t="shared" si="28"/>
        <v>0 Investment</v>
      </c>
      <c r="U202" s="1149" t="str">
        <f t="shared" si="28"/>
        <v>ESOP - allocated Investment</v>
      </c>
      <c r="V202" s="1149" t="str">
        <f t="shared" si="28"/>
        <v>Available ESOP Investment</v>
      </c>
      <c r="W202" s="1149" t="str">
        <f t="shared" si="28"/>
        <v>New ESOP Investment</v>
      </c>
      <c r="X202" s="1149" t="str">
        <f t="shared" si="28"/>
        <v>0 Investment</v>
      </c>
      <c r="Y202" s="1149" t="str">
        <f t="shared" si="28"/>
        <v>TOTAL Investment</v>
      </c>
      <c r="Z202" s="1149" t="str">
        <f t="shared" si="28"/>
        <v>CHECK Investment</v>
      </c>
      <c r="AA202" s="1149" t="str">
        <f t="shared" si="28"/>
        <v>0 Investment</v>
      </c>
      <c r="AB202" s="1149" t="str">
        <f t="shared" si="28"/>
        <v>0 Investment</v>
      </c>
      <c r="AC202" s="1149" t="str">
        <f t="shared" si="28"/>
        <v>0 Investment</v>
      </c>
      <c r="AD202" s="1149" t="str">
        <f t="shared" si="28"/>
        <v>0 Investment</v>
      </c>
    </row>
    <row r="203" spans="2:32" ht="15.5" outlineLevel="1" x14ac:dyDescent="0.35">
      <c r="F203" s="1162">
        <f t="shared" ref="F203:F211" ca="1" si="29">F189</f>
        <v>0</v>
      </c>
      <c r="G203" s="403" t="e">
        <f>-'Cap Table'!$J$22/1000000</f>
        <v>#DIV/0!</v>
      </c>
      <c r="H203" s="403" t="e">
        <f>-'Cap Table'!$J$23/1000000</f>
        <v>#DIV/0!</v>
      </c>
      <c r="I203" s="403" t="e">
        <f>-'Cap Table'!$J$24/1000000</f>
        <v>#DIV/0!</v>
      </c>
      <c r="J203" s="403" t="e">
        <f>-'Cap Table'!$J$25/1000000</f>
        <v>#DIV/0!</v>
      </c>
      <c r="K203" s="403" t="e">
        <f>-'Cap Table'!$J$41/1000000</f>
        <v>#DIV/0!</v>
      </c>
      <c r="L203" s="403" t="e">
        <f>-'Cap Table'!$J$42/1000000</f>
        <v>#DIV/0!</v>
      </c>
      <c r="M203" s="403" t="e">
        <f>-'Cap Table'!$J$43/1000000</f>
        <v>#DIV/0!</v>
      </c>
      <c r="N203" s="403" t="e">
        <f>-'Cap Table'!$J$43/1000000</f>
        <v>#DIV/0!</v>
      </c>
      <c r="O203" s="403" t="e">
        <f>-'Cap Table'!$J$45/1000000</f>
        <v>#DIV/0!</v>
      </c>
      <c r="P203" s="403" t="e">
        <f>-'Cap Table'!$J$46/1000000</f>
        <v>#DIV/0!</v>
      </c>
      <c r="Q203" s="1153" t="e">
        <f>-'Cap Table'!$J$47/1000000</f>
        <v>#DIV/0!</v>
      </c>
      <c r="R203" s="1153" t="e">
        <f>-'Cap Table'!$J$48/1000000</f>
        <v>#DIV/0!</v>
      </c>
      <c r="S203" s="1153" t="e">
        <f>-'Cap Table'!$J$49/1000000</f>
        <v>#DIV/0!</v>
      </c>
      <c r="T203" s="1153">
        <f>-'Cap Table'!$J$50/1000000</f>
        <v>0</v>
      </c>
      <c r="U203" s="1153">
        <f>-'Cap Table'!$J$51/1000000</f>
        <v>0</v>
      </c>
      <c r="V203" s="1153">
        <f>-'Cap Table'!$J$52/1000000</f>
        <v>0</v>
      </c>
      <c r="W203" s="1153">
        <f>-'Cap Table'!$J$53/1000000</f>
        <v>0</v>
      </c>
      <c r="X203" s="1153">
        <f>-'Cap Table'!$J$54/1000000</f>
        <v>0</v>
      </c>
      <c r="Y203" s="1153" t="e">
        <f>-'Cap Table'!$J$55/1000000</f>
        <v>#DIV/0!</v>
      </c>
      <c r="Z203" s="1153">
        <f>-'Cap Table'!$J$56/1000000</f>
        <v>0</v>
      </c>
      <c r="AA203" s="1153">
        <f>-'Cap Table'!$J$57/1000000</f>
        <v>0</v>
      </c>
      <c r="AB203" s="1153">
        <f>-'Cap Table'!$J$58/1000000</f>
        <v>0</v>
      </c>
      <c r="AC203" s="1153">
        <f>-'Cap Table'!$J$59/1000000</f>
        <v>0</v>
      </c>
      <c r="AD203" s="1153">
        <f>-'Cap Table'!$J$60/1000000</f>
        <v>0</v>
      </c>
    </row>
    <row r="204" spans="2:32" ht="15.5" outlineLevel="1" x14ac:dyDescent="0.35">
      <c r="F204" s="1162">
        <f t="shared" ca="1" si="29"/>
        <v>0</v>
      </c>
      <c r="G204" s="1153">
        <f>-'Cap Table'!$R$22/1000000</f>
        <v>0</v>
      </c>
      <c r="H204" s="1153">
        <f>-'Cap Table'!$R$23/1000000</f>
        <v>0</v>
      </c>
      <c r="I204" s="1153">
        <f>-'Cap Table'!$R$24/1000000</f>
        <v>0</v>
      </c>
      <c r="J204" s="1153">
        <f>-'Cap Table'!$R$25/1000000</f>
        <v>0</v>
      </c>
      <c r="K204" s="1153">
        <f>-'Cap Table'!$R$41/1000000</f>
        <v>0</v>
      </c>
      <c r="L204" s="1153">
        <f>-'Cap Table'!$R$42/1000000</f>
        <v>0</v>
      </c>
      <c r="M204" s="1153">
        <f>-'Cap Table'!$R$43/1000000</f>
        <v>0</v>
      </c>
      <c r="N204" s="1153">
        <f>-'Cap Table'!$R$43/1000000</f>
        <v>0</v>
      </c>
      <c r="O204" s="1153">
        <f>-'Cap Table'!$R$45/1000000</f>
        <v>0</v>
      </c>
      <c r="P204" s="1153">
        <f>-'Cap Table'!$R$46/1000000</f>
        <v>0</v>
      </c>
      <c r="Q204" s="1153">
        <f>-'Cap Table'!$R$47/1000000</f>
        <v>0</v>
      </c>
      <c r="R204" s="1153">
        <f>-'Cap Table'!$R$48/1000000</f>
        <v>0</v>
      </c>
      <c r="S204" s="1153">
        <f>-'Cap Table'!$R$49/1000000</f>
        <v>0</v>
      </c>
      <c r="T204" s="1153">
        <f>-'Cap Table'!$R$50/1000000</f>
        <v>0</v>
      </c>
      <c r="U204" s="1153">
        <f>-'Cap Table'!$R$51/1000000</f>
        <v>0</v>
      </c>
      <c r="V204" s="1153">
        <f>-'Cap Table'!$R$52/1000000</f>
        <v>0</v>
      </c>
      <c r="W204" s="1153">
        <f>-'Cap Table'!$R$53/1000000</f>
        <v>0</v>
      </c>
      <c r="X204" s="1153">
        <f>-'Cap Table'!$R$54/1000000</f>
        <v>0</v>
      </c>
      <c r="Y204" s="1153">
        <f>-'Cap Table'!$R$55/1000000</f>
        <v>0</v>
      </c>
      <c r="Z204" s="1153">
        <f>-'Cap Table'!$R$56/1000000</f>
        <v>0</v>
      </c>
      <c r="AA204" s="1153">
        <f>-'Cap Table'!$R$57/1000000</f>
        <v>0</v>
      </c>
      <c r="AB204" s="1153">
        <f>-'Cap Table'!$R$58/1000000</f>
        <v>0</v>
      </c>
      <c r="AC204" s="1153">
        <f>-'Cap Table'!$R$59/1000000</f>
        <v>0</v>
      </c>
      <c r="AD204" s="1153">
        <f>-'Cap Table'!$R$60/1000000</f>
        <v>0</v>
      </c>
    </row>
    <row r="205" spans="2:32" ht="15.5" outlineLevel="1" x14ac:dyDescent="0.35">
      <c r="F205" s="1162">
        <f t="shared" ca="1" si="29"/>
        <v>0</v>
      </c>
      <c r="G205" s="1153">
        <f>-'Cap Table'!$Z$22/1000000</f>
        <v>0</v>
      </c>
      <c r="H205" s="1153">
        <f>-'Cap Table'!$Z$23/1000000</f>
        <v>0</v>
      </c>
      <c r="I205" s="1153">
        <f>-'Cap Table'!$Z$24/1000000</f>
        <v>0</v>
      </c>
      <c r="J205" s="1153">
        <f>-'Cap Table'!$Z$25/1000000</f>
        <v>0</v>
      </c>
      <c r="K205" s="1153">
        <f>-'Cap Table'!$Z$41/1000000</f>
        <v>0</v>
      </c>
      <c r="L205" s="1153">
        <f>-'Cap Table'!$Z$42/1000000</f>
        <v>0</v>
      </c>
      <c r="M205" s="1153">
        <f>-'Cap Table'!$Z$43/1000000</f>
        <v>0</v>
      </c>
      <c r="N205" s="1153">
        <f>-'Cap Table'!$Z$43/1000000</f>
        <v>0</v>
      </c>
      <c r="O205" s="1153">
        <f>-'Cap Table'!$Z$45/1000000</f>
        <v>0</v>
      </c>
      <c r="P205" s="1153">
        <f>-'Cap Table'!$Z$46/1000000</f>
        <v>0</v>
      </c>
      <c r="Q205" s="1153">
        <f>-'Cap Table'!$Z$47/1000000</f>
        <v>0</v>
      </c>
      <c r="R205" s="1153">
        <f>-'Cap Table'!$Z$48/1000000</f>
        <v>0</v>
      </c>
      <c r="S205" s="1153">
        <f>-'Cap Table'!$Z$49/1000000</f>
        <v>0</v>
      </c>
      <c r="T205" s="1153">
        <f>-'Cap Table'!$Z$50/1000000</f>
        <v>0</v>
      </c>
      <c r="U205" s="1153">
        <f>-'Cap Table'!$Z$51/1000000</f>
        <v>0</v>
      </c>
      <c r="V205" s="1153">
        <f>-'Cap Table'!$Z$52/1000000</f>
        <v>0</v>
      </c>
      <c r="W205" s="1153">
        <f>-'Cap Table'!$Z$53/1000000</f>
        <v>0</v>
      </c>
      <c r="X205" s="1153">
        <f>-'Cap Table'!$Z$54/1000000</f>
        <v>0</v>
      </c>
      <c r="Y205" s="1153">
        <f>-'Cap Table'!$Z$55/1000000</f>
        <v>0</v>
      </c>
      <c r="Z205" s="1153">
        <f>-'Cap Table'!$Z$56/1000000</f>
        <v>0</v>
      </c>
      <c r="AA205" s="1153">
        <f>-'Cap Table'!$Z$57/1000000</f>
        <v>0</v>
      </c>
      <c r="AB205" s="1153">
        <f>-'Cap Table'!$Z$58/1000000</f>
        <v>0</v>
      </c>
      <c r="AC205" s="1153">
        <f>-'Cap Table'!$Z$59/1000000</f>
        <v>0</v>
      </c>
      <c r="AD205" s="1153">
        <f>-'Cap Table'!$Z$60/1000000</f>
        <v>0</v>
      </c>
    </row>
    <row r="206" spans="2:32" ht="15.5" outlineLevel="1" x14ac:dyDescent="0.35">
      <c r="F206" s="1162">
        <f t="shared" ca="1" si="29"/>
        <v>0</v>
      </c>
      <c r="G206" s="1153">
        <f>-'Cap Table'!$AH$22/1000000</f>
        <v>0</v>
      </c>
      <c r="H206" s="1153">
        <f>-'Cap Table'!$AH$23/1000000</f>
        <v>0</v>
      </c>
      <c r="I206" s="1153">
        <f>-'Cap Table'!$AH$24/1000000</f>
        <v>0</v>
      </c>
      <c r="J206" s="1153">
        <f>-'Cap Table'!$AH$25/1000000</f>
        <v>0</v>
      </c>
      <c r="K206" s="1153">
        <f>-'Cap Table'!$AH$41/1000000</f>
        <v>0</v>
      </c>
      <c r="L206" s="1153">
        <f>-'Cap Table'!$AH$42/1000000</f>
        <v>0</v>
      </c>
      <c r="M206" s="1153">
        <f>-'Cap Table'!$AH$43/1000000</f>
        <v>0</v>
      </c>
      <c r="N206" s="1153">
        <f>-'Cap Table'!$AH$43/1000000</f>
        <v>0</v>
      </c>
      <c r="O206" s="1153">
        <f>-'Cap Table'!$AH$45/1000000</f>
        <v>0</v>
      </c>
      <c r="P206" s="1153">
        <f>-'Cap Table'!$AH$46/1000000</f>
        <v>0</v>
      </c>
      <c r="Q206" s="1153">
        <f>-'Cap Table'!$AH$47/1000000</f>
        <v>0</v>
      </c>
      <c r="R206" s="1153">
        <f>-'Cap Table'!$AH$48/1000000</f>
        <v>0</v>
      </c>
      <c r="S206" s="1153">
        <f>-'Cap Table'!$AH$49/1000000</f>
        <v>0</v>
      </c>
      <c r="T206" s="1153">
        <f>-'Cap Table'!$AH$50/1000000</f>
        <v>0</v>
      </c>
      <c r="U206" s="1153">
        <f>-'Cap Table'!$AH$51/1000000</f>
        <v>0</v>
      </c>
      <c r="V206" s="1153">
        <f>-'Cap Table'!$AH$52/1000000</f>
        <v>0</v>
      </c>
      <c r="W206" s="1153">
        <f>-'Cap Table'!$AH$53/1000000</f>
        <v>0</v>
      </c>
      <c r="X206" s="1153">
        <f>-'Cap Table'!$AH$54/1000000</f>
        <v>0</v>
      </c>
      <c r="Y206" s="1153">
        <f>-'Cap Table'!$AH$55/1000000</f>
        <v>0</v>
      </c>
      <c r="Z206" s="1153">
        <f>-'Cap Table'!$AH$56/1000000</f>
        <v>0</v>
      </c>
      <c r="AA206" s="1153">
        <f>-'Cap Table'!$AH$57/1000000</f>
        <v>0</v>
      </c>
      <c r="AB206" s="1153">
        <f>-'Cap Table'!$AH$58/1000000</f>
        <v>0</v>
      </c>
      <c r="AC206" s="1153">
        <f>-'Cap Table'!$AH$59/1000000</f>
        <v>0</v>
      </c>
      <c r="AD206" s="1153">
        <f>-'Cap Table'!$AH$60/1000000</f>
        <v>0</v>
      </c>
    </row>
    <row r="207" spans="2:32" ht="15.5" outlineLevel="1" x14ac:dyDescent="0.35">
      <c r="F207" s="1162">
        <f t="shared" ca="1" si="29"/>
        <v>0</v>
      </c>
      <c r="G207" s="1153">
        <f>-'Cap Table'!$AP$22/1000000</f>
        <v>0</v>
      </c>
      <c r="H207" s="1153">
        <f>-'Cap Table'!$AP$23/1000000</f>
        <v>0</v>
      </c>
      <c r="I207" s="1153">
        <f>-'Cap Table'!$AP$24/1000000</f>
        <v>0</v>
      </c>
      <c r="J207" s="1153">
        <f>-'Cap Table'!$AP$25/1000000</f>
        <v>0</v>
      </c>
      <c r="K207" s="1153">
        <f>-'Cap Table'!$AP$41/1000000</f>
        <v>0</v>
      </c>
      <c r="L207" s="1153">
        <f>-'Cap Table'!$AP$42/1000000</f>
        <v>0</v>
      </c>
      <c r="M207" s="1153">
        <f>-'Cap Table'!$AP$43/1000000</f>
        <v>0</v>
      </c>
      <c r="N207" s="1153">
        <f>-'Cap Table'!$AP$43/1000000</f>
        <v>0</v>
      </c>
      <c r="O207" s="1153">
        <f>-'Cap Table'!$AP$45/1000000</f>
        <v>0</v>
      </c>
      <c r="P207" s="1153">
        <f>-'Cap Table'!$AP$46/1000000</f>
        <v>0</v>
      </c>
      <c r="Q207" s="1153">
        <f>-'Cap Table'!$AP$47/1000000</f>
        <v>0</v>
      </c>
      <c r="R207" s="1153">
        <f>-'Cap Table'!$AP$48/1000000</f>
        <v>0</v>
      </c>
      <c r="S207" s="1153">
        <f>-'Cap Table'!$AP$49/1000000</f>
        <v>0</v>
      </c>
      <c r="T207" s="1153">
        <f>-'Cap Table'!$AP$50/1000000</f>
        <v>0</v>
      </c>
      <c r="U207" s="1153">
        <f>-'Cap Table'!$AP$51/1000000</f>
        <v>0</v>
      </c>
      <c r="V207" s="1153">
        <f>-'Cap Table'!$AP$52/1000000</f>
        <v>0</v>
      </c>
      <c r="W207" s="1153">
        <f>-'Cap Table'!$AP$53/1000000</f>
        <v>0</v>
      </c>
      <c r="X207" s="1153">
        <f>-'Cap Table'!$AP$54/1000000</f>
        <v>0</v>
      </c>
      <c r="Y207" s="1153">
        <f>-'Cap Table'!$AP$55/1000000</f>
        <v>0</v>
      </c>
      <c r="Z207" s="1153">
        <f>-'Cap Table'!$AP$56/1000000</f>
        <v>0</v>
      </c>
      <c r="AA207" s="1153">
        <f>-'Cap Table'!$AP$57/1000000</f>
        <v>0</v>
      </c>
      <c r="AB207" s="1153">
        <f>-'Cap Table'!$AP$58/1000000</f>
        <v>0</v>
      </c>
      <c r="AC207" s="1153">
        <f>-'Cap Table'!$AP$59/1000000</f>
        <v>0</v>
      </c>
      <c r="AD207" s="1153">
        <f>-'Cap Table'!$AP$60/1000000</f>
        <v>0</v>
      </c>
    </row>
    <row r="208" spans="2:32" ht="15.5" outlineLevel="1" x14ac:dyDescent="0.35">
      <c r="F208" s="1162">
        <f t="shared" ca="1" si="29"/>
        <v>0</v>
      </c>
      <c r="G208" s="1153">
        <f>-'Cap Table'!$AX$22/1000000</f>
        <v>0</v>
      </c>
      <c r="H208" s="1153">
        <f>-'Cap Table'!$AX$23/1000000</f>
        <v>0</v>
      </c>
      <c r="I208" s="1153">
        <f>-'Cap Table'!$AX$24/1000000</f>
        <v>0</v>
      </c>
      <c r="J208" s="1153">
        <f>-'Cap Table'!$AX$25/1000000</f>
        <v>0</v>
      </c>
      <c r="K208" s="1153">
        <f>-'Cap Table'!$AX$41/1000000</f>
        <v>0</v>
      </c>
      <c r="L208" s="1153">
        <f>-'Cap Table'!$AX$42/1000000</f>
        <v>0</v>
      </c>
      <c r="M208" s="1153">
        <f>-'Cap Table'!$AX$43/1000000</f>
        <v>0</v>
      </c>
      <c r="N208" s="1153">
        <f>-'Cap Table'!$AX$43/1000000</f>
        <v>0</v>
      </c>
      <c r="O208" s="1153">
        <f>-'Cap Table'!$AX$45/1000000</f>
        <v>0</v>
      </c>
      <c r="P208" s="1153">
        <f>-'Cap Table'!$AX$46/1000000</f>
        <v>0</v>
      </c>
      <c r="Q208" s="1153">
        <f>-'Cap Table'!$AX$47/1000000</f>
        <v>0</v>
      </c>
      <c r="R208" s="1153">
        <f>-'Cap Table'!$AX$48/1000000</f>
        <v>0</v>
      </c>
      <c r="S208" s="1153">
        <f>-'Cap Table'!$AX$49/1000000</f>
        <v>0</v>
      </c>
      <c r="T208" s="1153">
        <f>-'Cap Table'!$AX$50/1000000</f>
        <v>0</v>
      </c>
      <c r="U208" s="1153">
        <f>-'Cap Table'!$AX$51/1000000</f>
        <v>0</v>
      </c>
      <c r="V208" s="1153">
        <f>-'Cap Table'!$AX$52/1000000</f>
        <v>0</v>
      </c>
      <c r="W208" s="1153">
        <f>-'Cap Table'!$AX$53/1000000</f>
        <v>0</v>
      </c>
      <c r="X208" s="1153">
        <f>-'Cap Table'!$AX$54/1000000</f>
        <v>0</v>
      </c>
      <c r="Y208" s="1153">
        <f>-'Cap Table'!$AX$55/1000000</f>
        <v>0</v>
      </c>
      <c r="Z208" s="1153">
        <f>-'Cap Table'!$AX$56/1000000</f>
        <v>0</v>
      </c>
      <c r="AA208" s="1153">
        <f>-'Cap Table'!$AX$57/1000000</f>
        <v>0</v>
      </c>
      <c r="AB208" s="1153">
        <f>-'Cap Table'!$AX$58/1000000</f>
        <v>0</v>
      </c>
      <c r="AC208" s="1153">
        <f>-'Cap Table'!$AX$59/1000000</f>
        <v>0</v>
      </c>
      <c r="AD208" s="1153">
        <f>-'Cap Table'!$AX$60/1000000</f>
        <v>0</v>
      </c>
    </row>
    <row r="209" spans="6:31" ht="15.5" outlineLevel="1" x14ac:dyDescent="0.35">
      <c r="F209" s="1162">
        <f t="shared" ca="1" si="29"/>
        <v>0</v>
      </c>
      <c r="G209" s="1153">
        <f>-'Cap Table'!$BI$22/1000000</f>
        <v>0</v>
      </c>
      <c r="H209" s="1153">
        <f>-'Cap Table'!$BI$23/1000000</f>
        <v>0</v>
      </c>
      <c r="I209" s="1153">
        <f>-'Cap Table'!$BI$24/1000000</f>
        <v>0</v>
      </c>
      <c r="J209" s="1153">
        <f>-'Cap Table'!$BI$25/1000000</f>
        <v>0</v>
      </c>
      <c r="K209" s="1153">
        <f>-'Cap Table'!$BI$41/1000000</f>
        <v>0</v>
      </c>
      <c r="L209" s="1153">
        <f>-'Cap Table'!$BI$42/1000000</f>
        <v>0</v>
      </c>
      <c r="M209" s="1153">
        <f>-'Cap Table'!$BI$43/1000000</f>
        <v>0</v>
      </c>
      <c r="N209" s="1153">
        <f>-'Cap Table'!$BI$43/1000000</f>
        <v>0</v>
      </c>
      <c r="O209" s="1153">
        <f>-'Cap Table'!$BI$45/1000000</f>
        <v>0</v>
      </c>
      <c r="P209" s="1153">
        <f>-'Cap Table'!$BI$46/1000000</f>
        <v>0</v>
      </c>
      <c r="Q209" s="1153">
        <f>-'Cap Table'!$BI$47/1000000</f>
        <v>0</v>
      </c>
      <c r="R209" s="1153">
        <f>-'Cap Table'!$BI$48/1000000</f>
        <v>0</v>
      </c>
      <c r="S209" s="1153">
        <f>-'Cap Table'!$BI$49/1000000</f>
        <v>0</v>
      </c>
      <c r="T209" s="1153">
        <f>-'Cap Table'!$BI$50/1000000</f>
        <v>0</v>
      </c>
      <c r="U209" s="1153">
        <f>-'Cap Table'!$BI$51/1000000</f>
        <v>0</v>
      </c>
      <c r="V209" s="1153">
        <f>-'Cap Table'!$BI$52/1000000</f>
        <v>0</v>
      </c>
      <c r="W209" s="1153">
        <f>-'Cap Table'!$BI$53/1000000</f>
        <v>0</v>
      </c>
      <c r="X209" s="1153">
        <f>-'Cap Table'!$BI$54/1000000</f>
        <v>0</v>
      </c>
      <c r="Y209" s="1153">
        <f>-'Cap Table'!$BI$55/1000000</f>
        <v>0</v>
      </c>
      <c r="Z209" s="1153">
        <f>-'Cap Table'!$BI$56/1000000</f>
        <v>0</v>
      </c>
      <c r="AA209" s="1153">
        <f>-'Cap Table'!$BI$57/1000000</f>
        <v>0</v>
      </c>
      <c r="AB209" s="1153">
        <f>-'Cap Table'!$BI$58/1000000</f>
        <v>0</v>
      </c>
      <c r="AC209" s="1153">
        <f>-'Cap Table'!$BI$59/1000000</f>
        <v>0</v>
      </c>
      <c r="AD209" s="1153">
        <f>-'Cap Table'!$BI$60/1000000</f>
        <v>0</v>
      </c>
    </row>
    <row r="210" spans="6:31" ht="15.5" outlineLevel="1" x14ac:dyDescent="0.35">
      <c r="F210" s="1162" t="e">
        <f t="shared" si="29"/>
        <v>#REF!</v>
      </c>
      <c r="G210" s="1153" t="e">
        <f>-'Cap Table'!$BS$22/1000000</f>
        <v>#DIV/0!</v>
      </c>
      <c r="H210" s="1153" t="e">
        <f>-'Cap Table'!$BS$23/1000000</f>
        <v>#DIV/0!</v>
      </c>
      <c r="I210" s="1153" t="e">
        <f>-'Cap Table'!$BS$24/1000000</f>
        <v>#DIV/0!</v>
      </c>
      <c r="J210" s="1153" t="e">
        <f>-'Cap Table'!$BS$25/1000000</f>
        <v>#DIV/0!</v>
      </c>
      <c r="K210" s="1153" t="e">
        <f>-'Cap Table'!$BS$41/1000000</f>
        <v>#DIV/0!</v>
      </c>
      <c r="L210" s="1153" t="e">
        <f>-'Cap Table'!$BS$42/1000000</f>
        <v>#DIV/0!</v>
      </c>
      <c r="M210" s="1153" t="e">
        <f>-'Cap Table'!$BS$43/1000000</f>
        <v>#DIV/0!</v>
      </c>
      <c r="N210" s="1153" t="e">
        <f>-'Cap Table'!$BS$43/1000000</f>
        <v>#DIV/0!</v>
      </c>
      <c r="O210" s="1153" t="e">
        <f>-'Cap Table'!$BS$45/1000000</f>
        <v>#DIV/0!</v>
      </c>
      <c r="P210" s="1153" t="e">
        <f>-'Cap Table'!$BS$46/1000000</f>
        <v>#DIV/0!</v>
      </c>
      <c r="Q210" s="1153" t="e">
        <f>-'Cap Table'!$BS$47/1000000</f>
        <v>#DIV/0!</v>
      </c>
      <c r="R210" s="1153" t="e">
        <f>-'Cap Table'!$BS$48/1000000</f>
        <v>#DIV/0!</v>
      </c>
      <c r="S210" s="1153" t="e">
        <f>-'Cap Table'!$BS$49/1000000</f>
        <v>#DIV/0!</v>
      </c>
      <c r="T210" s="1153">
        <f>-'Cap Table'!$BS$50/1000000</f>
        <v>0</v>
      </c>
      <c r="U210" s="1153" t="e">
        <f>-'Cap Table'!$BS$51/1000000</f>
        <v>#DIV/0!</v>
      </c>
      <c r="V210" s="1153" t="e">
        <f>-'Cap Table'!$BS$52/1000000</f>
        <v>#DIV/0!</v>
      </c>
      <c r="W210" s="1153" t="e">
        <f>-'Cap Table'!$BS$53/1000000</f>
        <v>#DIV/0!</v>
      </c>
      <c r="X210" s="1153">
        <f>-'Cap Table'!$BS$54/1000000</f>
        <v>0</v>
      </c>
      <c r="Y210" s="1153" t="e">
        <f>-'Cap Table'!$BS$55/1000000</f>
        <v>#DIV/0!</v>
      </c>
      <c r="Z210" s="1153">
        <f>-'Cap Table'!$BS$56/1000000</f>
        <v>0</v>
      </c>
      <c r="AA210" s="1153">
        <f>-'Cap Table'!$BS$57/1000000</f>
        <v>0</v>
      </c>
      <c r="AB210" s="1153">
        <f>-'Cap Table'!$BS$58/1000000</f>
        <v>0</v>
      </c>
      <c r="AC210" s="1153">
        <f>-'Cap Table'!$BS$59/1000000</f>
        <v>0</v>
      </c>
      <c r="AD210" s="1153">
        <f>-'Cap Table'!$BS$60/1000000</f>
        <v>0</v>
      </c>
    </row>
    <row r="211" spans="6:31" ht="16" outlineLevel="1" thickBot="1" x14ac:dyDescent="0.4">
      <c r="F211" s="1162">
        <f t="shared" ca="1" si="29"/>
        <v>0</v>
      </c>
      <c r="G211" s="1154" t="e">
        <f>-'Cap Table'!$CA$22/1000000</f>
        <v>#DIV/0!</v>
      </c>
      <c r="H211" s="1154" t="e">
        <f>-'Cap Table'!$CA$23/1000000</f>
        <v>#DIV/0!</v>
      </c>
      <c r="I211" s="1154" t="e">
        <f>-'Cap Table'!$CA$24/1000000</f>
        <v>#DIV/0!</v>
      </c>
      <c r="J211" s="1154" t="e">
        <f>-'Cap Table'!$CA$25/1000000</f>
        <v>#DIV/0!</v>
      </c>
      <c r="K211" s="1154" t="e">
        <f>-'Cap Table'!$CA$41/1000000</f>
        <v>#DIV/0!</v>
      </c>
      <c r="L211" s="1154" t="e">
        <f>-'Cap Table'!$CA$42/1000000</f>
        <v>#DIV/0!</v>
      </c>
      <c r="M211" s="1154" t="e">
        <f>-'Cap Table'!$CA$43/1000000</f>
        <v>#DIV/0!</v>
      </c>
      <c r="N211" s="1154" t="e">
        <f>-'Cap Table'!$CA$43/1000000</f>
        <v>#DIV/0!</v>
      </c>
      <c r="O211" s="1154" t="e">
        <f>-'Cap Table'!$CA$45/1000000</f>
        <v>#DIV/0!</v>
      </c>
      <c r="P211" s="1154" t="e">
        <f>-'Cap Table'!$CA$46/1000000</f>
        <v>#DIV/0!</v>
      </c>
      <c r="Q211" s="1154" t="e">
        <f>-'Cap Table'!$CA$47/1000000</f>
        <v>#DIV/0!</v>
      </c>
      <c r="R211" s="1154" t="e">
        <f>-'Cap Table'!$CA$48/1000000</f>
        <v>#DIV/0!</v>
      </c>
      <c r="S211" s="1154" t="e">
        <f>-'Cap Table'!$CA$49/1000000</f>
        <v>#DIV/0!</v>
      </c>
      <c r="T211" s="1154">
        <f>-'Cap Table'!$CA$50/1000000</f>
        <v>0</v>
      </c>
      <c r="U211" s="1154" t="e">
        <f>-'Cap Table'!$CA$51/1000000</f>
        <v>#DIV/0!</v>
      </c>
      <c r="V211" s="1154" t="e">
        <f>-'Cap Table'!$CA$52/1000000</f>
        <v>#DIV/0!</v>
      </c>
      <c r="W211" s="1154" t="e">
        <f>-'Cap Table'!$CA$53/1000000</f>
        <v>#DIV/0!</v>
      </c>
      <c r="X211" s="1154">
        <f>-'Cap Table'!$CA$54/1000000</f>
        <v>0</v>
      </c>
      <c r="Y211" s="1154" t="e">
        <f>-'Cap Table'!$CA$55/1000000</f>
        <v>#DIV/0!</v>
      </c>
      <c r="Z211" s="1154">
        <f>-'Cap Table'!$CA$56/1000000</f>
        <v>0</v>
      </c>
      <c r="AA211" s="1154">
        <f>-'Cap Table'!$CA$57/1000000</f>
        <v>0</v>
      </c>
      <c r="AB211" s="1154">
        <f>-'Cap Table'!$CA$58/1000000</f>
        <v>0</v>
      </c>
      <c r="AC211" s="1154">
        <f>-'Cap Table'!$CA$59/1000000</f>
        <v>0</v>
      </c>
      <c r="AD211" s="1154">
        <f>-'Cap Table'!$CA$60/1000000</f>
        <v>0</v>
      </c>
    </row>
    <row r="212" spans="6:31" ht="16" outlineLevel="1" thickBot="1" x14ac:dyDescent="0.4">
      <c r="F212" s="1163">
        <f>$F$25</f>
        <v>100</v>
      </c>
      <c r="G212" s="1159" t="e">
        <f>$F$77</f>
        <v>#DIV/0!</v>
      </c>
      <c r="H212" s="1159" t="e">
        <f>$F$78</f>
        <v>#DIV/0!</v>
      </c>
      <c r="I212" s="1159" t="e">
        <f>$F$79</f>
        <v>#DIV/0!</v>
      </c>
      <c r="J212" s="1159" t="e">
        <f>$F$80</f>
        <v>#DIV/0!</v>
      </c>
      <c r="K212" s="1159" t="e">
        <f>$F$81</f>
        <v>#DIV/0!</v>
      </c>
      <c r="L212" s="1159" t="str">
        <f>$F$82</f>
        <v>-</v>
      </c>
      <c r="M212" s="1159" t="e">
        <f>$F$83</f>
        <v>#DIV/0!</v>
      </c>
      <c r="N212" s="1159" t="e">
        <f>$F$84</f>
        <v>#DIV/0!</v>
      </c>
      <c r="O212" s="1159" t="e">
        <f>$F$85</f>
        <v>#DIV/0!</v>
      </c>
      <c r="P212" s="1159" t="e">
        <f>$F$86</f>
        <v>#DIV/0!</v>
      </c>
      <c r="Q212" s="1159" t="str">
        <f>$F$87</f>
        <v>-</v>
      </c>
      <c r="R212" s="1159" t="e">
        <f>$F$88</f>
        <v>#DIV/0!</v>
      </c>
      <c r="S212" s="1159" t="e">
        <f>$F$89</f>
        <v>#DIV/0!</v>
      </c>
      <c r="T212" s="1159" t="e">
        <f>$F$90</f>
        <v>#DIV/0!</v>
      </c>
      <c r="U212" s="1159" t="e">
        <f>$F$91</f>
        <v>#DIV/0!</v>
      </c>
      <c r="V212" s="1159" t="e">
        <f>$F$92</f>
        <v>#DIV/0!</v>
      </c>
      <c r="W212" s="1159" t="str">
        <f>$F$93</f>
        <v>-</v>
      </c>
      <c r="X212" s="1159" t="e">
        <f>$F$94</f>
        <v>#DIV/0!</v>
      </c>
      <c r="Y212" s="1159" t="e">
        <f>$F$95</f>
        <v>#DIV/0!</v>
      </c>
      <c r="Z212" s="1159" t="e">
        <f>$F$96</f>
        <v>#DIV/0!</v>
      </c>
      <c r="AA212" s="1159" t="e">
        <f>$F$97</f>
        <v>#DIV/0!</v>
      </c>
      <c r="AB212" s="1159" t="e">
        <f>$F$98</f>
        <v>#DIV/0!</v>
      </c>
      <c r="AC212" s="1159" t="e">
        <f>$F$99</f>
        <v>#DIV/0!</v>
      </c>
      <c r="AD212" s="1159" t="e">
        <f>$F$100</f>
        <v>#DIV/0!</v>
      </c>
    </row>
    <row r="213" spans="6:31" outlineLevel="1" x14ac:dyDescent="0.35"/>
    <row r="214" spans="6:31" ht="15" outlineLevel="1" thickBot="1" x14ac:dyDescent="0.4"/>
    <row r="215" spans="6:31" ht="15" outlineLevel="1" thickBot="1" x14ac:dyDescent="0.4">
      <c r="F215" s="1160" t="s">
        <v>347</v>
      </c>
      <c r="G215" s="1146"/>
      <c r="H215" s="1146"/>
      <c r="I215" s="1146"/>
      <c r="J215" s="1146"/>
      <c r="K215" s="1146"/>
      <c r="L215" s="1146"/>
      <c r="M215" s="1147"/>
      <c r="N215" s="1160"/>
      <c r="O215" s="1146"/>
      <c r="P215" s="1146"/>
      <c r="Q215" s="1146"/>
      <c r="R215" s="1146"/>
      <c r="S215" s="1146"/>
      <c r="T215" s="1146"/>
      <c r="U215" s="1147"/>
      <c r="V215" s="1160"/>
      <c r="W215" s="1146"/>
      <c r="X215" s="1146"/>
      <c r="Y215" s="1146"/>
      <c r="Z215" s="1146"/>
      <c r="AA215" s="1146"/>
      <c r="AB215" s="1146"/>
      <c r="AC215" s="1147"/>
      <c r="AD215" s="1161"/>
    </row>
    <row r="216" spans="6:31" ht="15.5" outlineLevel="1" x14ac:dyDescent="0.35">
      <c r="F216" s="1164" t="s">
        <v>95</v>
      </c>
      <c r="G216" s="1149" t="str">
        <f>G188</f>
        <v>Investor 2 Investment</v>
      </c>
      <c r="H216" s="1149" t="str">
        <f t="shared" ref="H216:AD216" si="30">H188</f>
        <v>Investor 3 Investment</v>
      </c>
      <c r="I216" s="1149" t="str">
        <f t="shared" si="30"/>
        <v>Investor 4 Investment</v>
      </c>
      <c r="J216" s="1149" t="str">
        <f t="shared" si="30"/>
        <v>Investor 5 Investment</v>
      </c>
      <c r="K216" s="1149" t="str">
        <f t="shared" si="30"/>
        <v>Investor 6 Investment</v>
      </c>
      <c r="L216" s="1149" t="str">
        <f t="shared" si="30"/>
        <v>0 Investment</v>
      </c>
      <c r="M216" s="1149" t="str">
        <f t="shared" si="30"/>
        <v>Founders/Leadership Investment</v>
      </c>
      <c r="N216" s="1149" t="str">
        <f t="shared" si="30"/>
        <v>Others 1 Investment</v>
      </c>
      <c r="O216" s="1149" t="str">
        <f t="shared" si="30"/>
        <v>Others 2 Investment</v>
      </c>
      <c r="P216" s="1149" t="str">
        <f t="shared" si="30"/>
        <v>Others 3 Investment</v>
      </c>
      <c r="Q216" s="1149" t="str">
        <f t="shared" si="30"/>
        <v>Others 4 Investment</v>
      </c>
      <c r="R216" s="1149" t="str">
        <f t="shared" si="30"/>
        <v>Others 1 Investment</v>
      </c>
      <c r="S216" s="1149" t="str">
        <f t="shared" si="30"/>
        <v>0 Investment</v>
      </c>
      <c r="T216" s="1149" t="str">
        <f t="shared" si="30"/>
        <v>0 Investment</v>
      </c>
      <c r="U216" s="1149" t="str">
        <f t="shared" si="30"/>
        <v>ESOP - allocated Investment</v>
      </c>
      <c r="V216" s="1149" t="str">
        <f t="shared" si="30"/>
        <v>Available ESOP Investment</v>
      </c>
      <c r="W216" s="1149" t="str">
        <f t="shared" si="30"/>
        <v>New ESOP Investment</v>
      </c>
      <c r="X216" s="1149" t="str">
        <f t="shared" si="30"/>
        <v>0 Investment</v>
      </c>
      <c r="Y216" s="1149" t="str">
        <f t="shared" si="30"/>
        <v>TOTAL Investment</v>
      </c>
      <c r="Z216" s="1149" t="str">
        <f t="shared" si="30"/>
        <v>CHECK Investment</v>
      </c>
      <c r="AA216" s="1149" t="str">
        <f t="shared" si="30"/>
        <v>0 Investment</v>
      </c>
      <c r="AB216" s="1149" t="str">
        <f t="shared" si="30"/>
        <v>0 Investment</v>
      </c>
      <c r="AC216" s="1149" t="str">
        <f t="shared" si="30"/>
        <v>0 Investment</v>
      </c>
      <c r="AD216" s="1149" t="str">
        <f t="shared" si="30"/>
        <v>0 Investment</v>
      </c>
    </row>
    <row r="217" spans="6:31" ht="15.5" outlineLevel="1" x14ac:dyDescent="0.35">
      <c r="F217" s="1162">
        <f t="shared" ref="F217:F225" ca="1" si="31">F189</f>
        <v>0</v>
      </c>
      <c r="G217" s="403" t="e">
        <f>-'Cap Table'!$J$22/1000000</f>
        <v>#DIV/0!</v>
      </c>
      <c r="H217" s="403" t="e">
        <f>-'Cap Table'!$J$23/1000000</f>
        <v>#DIV/0!</v>
      </c>
      <c r="I217" s="403" t="e">
        <f>-'Cap Table'!$J$24/1000000</f>
        <v>#DIV/0!</v>
      </c>
      <c r="J217" s="403" t="e">
        <f>-'Cap Table'!$J$25/1000000</f>
        <v>#DIV/0!</v>
      </c>
      <c r="K217" s="403" t="e">
        <f>-'Cap Table'!$J$41/1000000</f>
        <v>#DIV/0!</v>
      </c>
      <c r="L217" s="403" t="e">
        <f>-'Cap Table'!$J$42/1000000</f>
        <v>#DIV/0!</v>
      </c>
      <c r="M217" s="403" t="e">
        <f>-'Cap Table'!$J$43/1000000</f>
        <v>#DIV/0!</v>
      </c>
      <c r="N217" s="403" t="e">
        <f>-'Cap Table'!$J$43/1000000</f>
        <v>#DIV/0!</v>
      </c>
      <c r="O217" s="403" t="e">
        <f>-'Cap Table'!$J$45/1000000</f>
        <v>#DIV/0!</v>
      </c>
      <c r="P217" s="403" t="e">
        <f>-'Cap Table'!$J$46/1000000</f>
        <v>#DIV/0!</v>
      </c>
      <c r="Q217" s="1153" t="e">
        <f>-'Cap Table'!$J$47/1000000</f>
        <v>#DIV/0!</v>
      </c>
      <c r="R217" s="1153" t="e">
        <f>-'Cap Table'!$J$48/1000000</f>
        <v>#DIV/0!</v>
      </c>
      <c r="S217" s="1153" t="e">
        <f>-'Cap Table'!$J$49/1000000</f>
        <v>#DIV/0!</v>
      </c>
      <c r="T217" s="1153">
        <f>-'Cap Table'!$J$50/1000000</f>
        <v>0</v>
      </c>
      <c r="U217" s="1153">
        <f>-'Cap Table'!$J$51/1000000</f>
        <v>0</v>
      </c>
      <c r="V217" s="1153">
        <f>-'Cap Table'!$J$52/1000000</f>
        <v>0</v>
      </c>
      <c r="W217" s="1153">
        <f>-'Cap Table'!$J$53/1000000</f>
        <v>0</v>
      </c>
      <c r="X217" s="1153">
        <f>-'Cap Table'!$J$54/1000000</f>
        <v>0</v>
      </c>
      <c r="Y217" s="1153" t="e">
        <f>-'Cap Table'!$J$55/1000000</f>
        <v>#DIV/0!</v>
      </c>
      <c r="Z217" s="1153">
        <f>-'Cap Table'!$J$56/1000000</f>
        <v>0</v>
      </c>
      <c r="AA217" s="1153">
        <f>-'Cap Table'!$J$57/1000000</f>
        <v>0</v>
      </c>
      <c r="AB217" s="1153">
        <f>-'Cap Table'!$J$58/1000000</f>
        <v>0</v>
      </c>
      <c r="AC217" s="1153">
        <f>-'Cap Table'!$J$59/1000000</f>
        <v>0</v>
      </c>
      <c r="AD217" s="1153">
        <f>-'Cap Table'!$J$60/1000000</f>
        <v>0</v>
      </c>
    </row>
    <row r="218" spans="6:31" ht="15.5" outlineLevel="1" x14ac:dyDescent="0.35">
      <c r="F218" s="1162">
        <f t="shared" ca="1" si="31"/>
        <v>0</v>
      </c>
      <c r="G218" s="1153">
        <f>-'Cap Table'!$R$22/1000000</f>
        <v>0</v>
      </c>
      <c r="H218" s="1153">
        <f>-'Cap Table'!$R$23/1000000</f>
        <v>0</v>
      </c>
      <c r="I218" s="1153">
        <f>-'Cap Table'!$R$24/1000000</f>
        <v>0</v>
      </c>
      <c r="J218" s="1153">
        <f>-'Cap Table'!$R$25/1000000</f>
        <v>0</v>
      </c>
      <c r="K218" s="1153">
        <f>-'Cap Table'!$R$41/1000000</f>
        <v>0</v>
      </c>
      <c r="L218" s="1153">
        <f>-'Cap Table'!$R$42/1000000</f>
        <v>0</v>
      </c>
      <c r="M218" s="1153">
        <f>-'Cap Table'!$R$43/1000000</f>
        <v>0</v>
      </c>
      <c r="N218" s="1153">
        <f>-'Cap Table'!$R$43/1000000</f>
        <v>0</v>
      </c>
      <c r="O218" s="1153">
        <f>-'Cap Table'!$R$45/1000000</f>
        <v>0</v>
      </c>
      <c r="P218" s="1153">
        <f>-'Cap Table'!$R$46/1000000</f>
        <v>0</v>
      </c>
      <c r="Q218" s="1153">
        <f>-'Cap Table'!$R$47/1000000</f>
        <v>0</v>
      </c>
      <c r="R218" s="1153">
        <f>-'Cap Table'!$R$48/1000000</f>
        <v>0</v>
      </c>
      <c r="S218" s="1153">
        <f>-'Cap Table'!$R$49/1000000</f>
        <v>0</v>
      </c>
      <c r="T218" s="1153">
        <f>-'Cap Table'!$R$50/1000000</f>
        <v>0</v>
      </c>
      <c r="U218" s="1153">
        <f>-'Cap Table'!$R$51/1000000</f>
        <v>0</v>
      </c>
      <c r="V218" s="1153">
        <f>-'Cap Table'!$R$52/1000000</f>
        <v>0</v>
      </c>
      <c r="W218" s="1153">
        <f>-'Cap Table'!$R$53/1000000</f>
        <v>0</v>
      </c>
      <c r="X218" s="1153">
        <f>-'Cap Table'!$R$54/1000000</f>
        <v>0</v>
      </c>
      <c r="Y218" s="1153">
        <f>-'Cap Table'!$R$55/1000000</f>
        <v>0</v>
      </c>
      <c r="Z218" s="1153">
        <f>-'Cap Table'!$R$56/1000000</f>
        <v>0</v>
      </c>
      <c r="AA218" s="1153">
        <f>-'Cap Table'!$R$57/1000000</f>
        <v>0</v>
      </c>
      <c r="AB218" s="1153">
        <f>-'Cap Table'!$R$58/1000000</f>
        <v>0</v>
      </c>
      <c r="AC218" s="1153">
        <f>-'Cap Table'!$R$59/1000000</f>
        <v>0</v>
      </c>
      <c r="AD218" s="1153">
        <f>-'Cap Table'!$R$60/1000000</f>
        <v>0</v>
      </c>
    </row>
    <row r="219" spans="6:31" ht="15.5" outlineLevel="1" x14ac:dyDescent="0.35">
      <c r="F219" s="1162">
        <f t="shared" ca="1" si="31"/>
        <v>0</v>
      </c>
      <c r="G219" s="1153">
        <f>-'Cap Table'!$Z$22/1000000</f>
        <v>0</v>
      </c>
      <c r="H219" s="1153">
        <f>-'Cap Table'!$Z$23/1000000</f>
        <v>0</v>
      </c>
      <c r="I219" s="1153">
        <f>-'Cap Table'!$Z$24/1000000</f>
        <v>0</v>
      </c>
      <c r="J219" s="1153">
        <f>-'Cap Table'!$Z$25/1000000</f>
        <v>0</v>
      </c>
      <c r="K219" s="1153">
        <f>-'Cap Table'!$Z$41/1000000</f>
        <v>0</v>
      </c>
      <c r="L219" s="1153">
        <f>-'Cap Table'!$Z$42/1000000</f>
        <v>0</v>
      </c>
      <c r="M219" s="1153">
        <f>-'Cap Table'!$Z$43/1000000</f>
        <v>0</v>
      </c>
      <c r="N219" s="1153">
        <f>-'Cap Table'!$Z$43/1000000</f>
        <v>0</v>
      </c>
      <c r="O219" s="1153">
        <f>-'Cap Table'!$Z$45/1000000</f>
        <v>0</v>
      </c>
      <c r="P219" s="1153">
        <f>-'Cap Table'!$Z$46/1000000</f>
        <v>0</v>
      </c>
      <c r="Q219" s="1153">
        <f>-'Cap Table'!$Z$47/1000000</f>
        <v>0</v>
      </c>
      <c r="R219" s="1153">
        <f>-'Cap Table'!$Z$48/1000000</f>
        <v>0</v>
      </c>
      <c r="S219" s="1153">
        <f>-'Cap Table'!$Z$49/1000000</f>
        <v>0</v>
      </c>
      <c r="T219" s="1153">
        <f>-'Cap Table'!$Z$50/1000000</f>
        <v>0</v>
      </c>
      <c r="U219" s="1153">
        <f>-'Cap Table'!$Z$51/1000000</f>
        <v>0</v>
      </c>
      <c r="V219" s="1153">
        <f>-'Cap Table'!$Z$52/1000000</f>
        <v>0</v>
      </c>
      <c r="W219" s="1153">
        <f>-'Cap Table'!$Z$53/1000000</f>
        <v>0</v>
      </c>
      <c r="X219" s="1153">
        <f>-'Cap Table'!$Z$54/1000000</f>
        <v>0</v>
      </c>
      <c r="Y219" s="1153">
        <f>-'Cap Table'!$Z$55/1000000</f>
        <v>0</v>
      </c>
      <c r="Z219" s="1153">
        <f>-'Cap Table'!$Z$56/1000000</f>
        <v>0</v>
      </c>
      <c r="AA219" s="1153">
        <f>-'Cap Table'!$Z$57/1000000</f>
        <v>0</v>
      </c>
      <c r="AB219" s="1153">
        <f>-'Cap Table'!$Z$58/1000000</f>
        <v>0</v>
      </c>
      <c r="AC219" s="1153">
        <f>-'Cap Table'!$Z$59/1000000</f>
        <v>0</v>
      </c>
      <c r="AD219" s="1153">
        <f>-'Cap Table'!$Z$60/1000000</f>
        <v>0</v>
      </c>
    </row>
    <row r="220" spans="6:31" ht="15.5" outlineLevel="1" x14ac:dyDescent="0.35">
      <c r="F220" s="1162">
        <f t="shared" ca="1" si="31"/>
        <v>0</v>
      </c>
      <c r="G220" s="1153">
        <f>-'Cap Table'!$AH$22/1000000</f>
        <v>0</v>
      </c>
      <c r="H220" s="1153">
        <f>-'Cap Table'!$AH$23/1000000</f>
        <v>0</v>
      </c>
      <c r="I220" s="1153">
        <f>-'Cap Table'!$AH$24/1000000</f>
        <v>0</v>
      </c>
      <c r="J220" s="1153">
        <f>-'Cap Table'!$AH$25/1000000</f>
        <v>0</v>
      </c>
      <c r="K220" s="1153">
        <f>-'Cap Table'!$AH$41/1000000</f>
        <v>0</v>
      </c>
      <c r="L220" s="1153">
        <f>-'Cap Table'!$AH$42/1000000</f>
        <v>0</v>
      </c>
      <c r="M220" s="1153">
        <f>-'Cap Table'!$AH$43/1000000</f>
        <v>0</v>
      </c>
      <c r="N220" s="1153">
        <f>-'Cap Table'!$AH$43/1000000</f>
        <v>0</v>
      </c>
      <c r="O220" s="1153">
        <f>-'Cap Table'!$AH$45/1000000</f>
        <v>0</v>
      </c>
      <c r="P220" s="1153">
        <f>-'Cap Table'!$AH$46/1000000</f>
        <v>0</v>
      </c>
      <c r="Q220" s="1153">
        <f>-'Cap Table'!$AH$47/1000000</f>
        <v>0</v>
      </c>
      <c r="R220" s="1153">
        <f>-'Cap Table'!$AH$48/1000000</f>
        <v>0</v>
      </c>
      <c r="S220" s="1153">
        <f>-'Cap Table'!$AH$49/1000000</f>
        <v>0</v>
      </c>
      <c r="T220" s="1153">
        <f>-'Cap Table'!$AH$50/1000000</f>
        <v>0</v>
      </c>
      <c r="U220" s="1153">
        <f>-'Cap Table'!$AH$51/1000000</f>
        <v>0</v>
      </c>
      <c r="V220" s="1153">
        <f>-'Cap Table'!$AH$52/1000000</f>
        <v>0</v>
      </c>
      <c r="W220" s="1153">
        <f>-'Cap Table'!$AH$53/1000000</f>
        <v>0</v>
      </c>
      <c r="X220" s="1153">
        <f>-'Cap Table'!$AH$54/1000000</f>
        <v>0</v>
      </c>
      <c r="Y220" s="1153">
        <f>-'Cap Table'!$AH$55/1000000</f>
        <v>0</v>
      </c>
      <c r="Z220" s="1153">
        <f>-'Cap Table'!$AH$56/1000000</f>
        <v>0</v>
      </c>
      <c r="AA220" s="1153">
        <f>-'Cap Table'!$AH$57/1000000</f>
        <v>0</v>
      </c>
      <c r="AB220" s="1153">
        <f>-'Cap Table'!$AH$58/1000000</f>
        <v>0</v>
      </c>
      <c r="AC220" s="1153">
        <f>-'Cap Table'!$AH$59/1000000</f>
        <v>0</v>
      </c>
      <c r="AD220" s="1153">
        <f>-'Cap Table'!$AH$60/1000000</f>
        <v>0</v>
      </c>
    </row>
    <row r="221" spans="6:31" ht="15.5" outlineLevel="1" x14ac:dyDescent="0.35">
      <c r="F221" s="1162">
        <f t="shared" ca="1" si="31"/>
        <v>0</v>
      </c>
      <c r="G221" s="1153">
        <f>-'Cap Table'!$AP$22/1000000</f>
        <v>0</v>
      </c>
      <c r="H221" s="1153">
        <f>-'Cap Table'!$AP$23/1000000</f>
        <v>0</v>
      </c>
      <c r="I221" s="1153">
        <f>-'Cap Table'!$AP$24/1000000</f>
        <v>0</v>
      </c>
      <c r="J221" s="1153">
        <f>-'Cap Table'!$AP$25/1000000</f>
        <v>0</v>
      </c>
      <c r="K221" s="1153">
        <f>-'Cap Table'!$AP$41/1000000</f>
        <v>0</v>
      </c>
      <c r="L221" s="1153">
        <f>-'Cap Table'!$AP$42/1000000</f>
        <v>0</v>
      </c>
      <c r="M221" s="1153">
        <f>-'Cap Table'!$AP$43/1000000</f>
        <v>0</v>
      </c>
      <c r="N221" s="1153">
        <f>-'Cap Table'!$AP$43/1000000</f>
        <v>0</v>
      </c>
      <c r="O221" s="1153">
        <f>-'Cap Table'!$AP$45/1000000</f>
        <v>0</v>
      </c>
      <c r="P221" s="1153">
        <f>-'Cap Table'!$AP$46/1000000</f>
        <v>0</v>
      </c>
      <c r="Q221" s="1153">
        <f>-'Cap Table'!$AP$47/1000000</f>
        <v>0</v>
      </c>
      <c r="R221" s="1153">
        <f>-'Cap Table'!$AP$48/1000000</f>
        <v>0</v>
      </c>
      <c r="S221" s="1153">
        <f>-'Cap Table'!$AP$49/1000000</f>
        <v>0</v>
      </c>
      <c r="T221" s="1153">
        <f>-'Cap Table'!$AP$50/1000000</f>
        <v>0</v>
      </c>
      <c r="U221" s="1153">
        <f>-'Cap Table'!$AP$51/1000000</f>
        <v>0</v>
      </c>
      <c r="V221" s="1153">
        <f>-'Cap Table'!$AP$52/1000000</f>
        <v>0</v>
      </c>
      <c r="W221" s="1153">
        <f>-'Cap Table'!$AP$53/1000000</f>
        <v>0</v>
      </c>
      <c r="X221" s="1153">
        <f>-'Cap Table'!$AP$54/1000000</f>
        <v>0</v>
      </c>
      <c r="Y221" s="1153">
        <f>-'Cap Table'!$AP$55/1000000</f>
        <v>0</v>
      </c>
      <c r="Z221" s="1153">
        <f>-'Cap Table'!$AP$56/1000000</f>
        <v>0</v>
      </c>
      <c r="AA221" s="1153">
        <f>-'Cap Table'!$AP$57/1000000</f>
        <v>0</v>
      </c>
      <c r="AB221" s="1153">
        <f>-'Cap Table'!$AP$58/1000000</f>
        <v>0</v>
      </c>
      <c r="AC221" s="1153">
        <f>-'Cap Table'!$AP$59/1000000</f>
        <v>0</v>
      </c>
      <c r="AD221" s="1153">
        <f>-'Cap Table'!$AP$60/1000000</f>
        <v>0</v>
      </c>
      <c r="AE221" t="s">
        <v>286</v>
      </c>
    </row>
    <row r="222" spans="6:31" ht="15.5" outlineLevel="1" x14ac:dyDescent="0.35">
      <c r="F222" s="1162">
        <f t="shared" ca="1" si="31"/>
        <v>0</v>
      </c>
      <c r="G222" s="1153">
        <f>-'Cap Table'!$AX$22/1000000</f>
        <v>0</v>
      </c>
      <c r="H222" s="1153">
        <f>-'Cap Table'!$AX$23/1000000</f>
        <v>0</v>
      </c>
      <c r="I222" s="1153">
        <f>-'Cap Table'!$AX$24/1000000</f>
        <v>0</v>
      </c>
      <c r="J222" s="1153">
        <f>-'Cap Table'!$AX$25/1000000</f>
        <v>0</v>
      </c>
      <c r="K222" s="1153">
        <f>-'Cap Table'!$AX$41/1000000</f>
        <v>0</v>
      </c>
      <c r="L222" s="1153">
        <f>-'Cap Table'!$AX$42/1000000</f>
        <v>0</v>
      </c>
      <c r="M222" s="1153">
        <f>-'Cap Table'!$AX$43/1000000</f>
        <v>0</v>
      </c>
      <c r="N222" s="1153">
        <f>-'Cap Table'!$AX$43/1000000</f>
        <v>0</v>
      </c>
      <c r="O222" s="1153">
        <f>-'Cap Table'!$AX$45/1000000</f>
        <v>0</v>
      </c>
      <c r="P222" s="1153">
        <f>-'Cap Table'!$AX$46/1000000</f>
        <v>0</v>
      </c>
      <c r="Q222" s="1153">
        <f>-'Cap Table'!$AX$47/1000000</f>
        <v>0</v>
      </c>
      <c r="R222" s="1153">
        <f>-'Cap Table'!$AX$48/1000000</f>
        <v>0</v>
      </c>
      <c r="S222" s="1153">
        <f>-'Cap Table'!$AX$49/1000000</f>
        <v>0</v>
      </c>
      <c r="T222" s="1153">
        <f>-'Cap Table'!$AX$50/1000000</f>
        <v>0</v>
      </c>
      <c r="U222" s="1153">
        <f>-'Cap Table'!$AX$51/1000000</f>
        <v>0</v>
      </c>
      <c r="V222" s="1153">
        <f>-'Cap Table'!$AX$52/1000000</f>
        <v>0</v>
      </c>
      <c r="W222" s="1153">
        <f>-'Cap Table'!$AX$53/1000000</f>
        <v>0</v>
      </c>
      <c r="X222" s="1153">
        <f>-'Cap Table'!$AX$54/1000000</f>
        <v>0</v>
      </c>
      <c r="Y222" s="1153">
        <f>-'Cap Table'!$AX$55/1000000</f>
        <v>0</v>
      </c>
      <c r="Z222" s="1153">
        <f>-'Cap Table'!$AX$56/1000000</f>
        <v>0</v>
      </c>
      <c r="AA222" s="1153">
        <f>-'Cap Table'!$AX$57/1000000</f>
        <v>0</v>
      </c>
      <c r="AB222" s="1153">
        <f>-'Cap Table'!$AX$58/1000000</f>
        <v>0</v>
      </c>
      <c r="AC222" s="1153">
        <f>-'Cap Table'!$AX$59/1000000</f>
        <v>0</v>
      </c>
      <c r="AD222" s="1153">
        <f>-'Cap Table'!$AX$60/1000000</f>
        <v>0</v>
      </c>
    </row>
    <row r="223" spans="6:31" ht="15.5" outlineLevel="1" x14ac:dyDescent="0.35">
      <c r="F223" s="1162">
        <f t="shared" ca="1" si="31"/>
        <v>0</v>
      </c>
      <c r="G223" s="1153">
        <f>-'Cap Table'!$BI$22/1000000</f>
        <v>0</v>
      </c>
      <c r="H223" s="1153">
        <f>-'Cap Table'!$BI$23/1000000</f>
        <v>0</v>
      </c>
      <c r="I223" s="1153">
        <f>-'Cap Table'!$BI$24/1000000</f>
        <v>0</v>
      </c>
      <c r="J223" s="1153">
        <f>-'Cap Table'!$BI$25/1000000</f>
        <v>0</v>
      </c>
      <c r="K223" s="1153">
        <f>-'Cap Table'!$BI$41/1000000</f>
        <v>0</v>
      </c>
      <c r="L223" s="1153">
        <f>-'Cap Table'!$BI$42/1000000</f>
        <v>0</v>
      </c>
      <c r="M223" s="1153">
        <f>-'Cap Table'!$BI$43/1000000</f>
        <v>0</v>
      </c>
      <c r="N223" s="1153">
        <f>-'Cap Table'!$BI$43/1000000</f>
        <v>0</v>
      </c>
      <c r="O223" s="1153">
        <f>-'Cap Table'!$BI$45/1000000</f>
        <v>0</v>
      </c>
      <c r="P223" s="1153">
        <f>-'Cap Table'!$BI$46/1000000</f>
        <v>0</v>
      </c>
      <c r="Q223" s="1153">
        <f>-'Cap Table'!$BI$47/1000000</f>
        <v>0</v>
      </c>
      <c r="R223" s="1153">
        <f>-'Cap Table'!$BI$48/1000000</f>
        <v>0</v>
      </c>
      <c r="S223" s="1153">
        <f>-'Cap Table'!$BI$49/1000000</f>
        <v>0</v>
      </c>
      <c r="T223" s="1153">
        <f>-'Cap Table'!$BI$50/1000000</f>
        <v>0</v>
      </c>
      <c r="U223" s="1153">
        <f>-'Cap Table'!$BI$51/1000000</f>
        <v>0</v>
      </c>
      <c r="V223" s="1153">
        <f>-'Cap Table'!$BI$52/1000000</f>
        <v>0</v>
      </c>
      <c r="W223" s="1153">
        <f>-'Cap Table'!$BI$53/1000000</f>
        <v>0</v>
      </c>
      <c r="X223" s="1153">
        <f>-'Cap Table'!$BI$54/1000000</f>
        <v>0</v>
      </c>
      <c r="Y223" s="1153">
        <f>-'Cap Table'!$BI$55/1000000</f>
        <v>0</v>
      </c>
      <c r="Z223" s="1153">
        <f>-'Cap Table'!$BI$56/1000000</f>
        <v>0</v>
      </c>
      <c r="AA223" s="1153">
        <f>-'Cap Table'!$BI$57/1000000</f>
        <v>0</v>
      </c>
      <c r="AB223" s="1153">
        <f>-'Cap Table'!$BI$58/1000000</f>
        <v>0</v>
      </c>
      <c r="AC223" s="1153">
        <f>-'Cap Table'!$BI$59/1000000</f>
        <v>0</v>
      </c>
      <c r="AD223" s="1153">
        <f>-'Cap Table'!$BI$60/1000000</f>
        <v>0</v>
      </c>
    </row>
    <row r="224" spans="6:31" ht="15.5" outlineLevel="1" x14ac:dyDescent="0.35">
      <c r="F224" s="1162" t="e">
        <f t="shared" si="31"/>
        <v>#REF!</v>
      </c>
      <c r="G224" s="1153" t="e">
        <f>-'Cap Table'!$BS$22/1000000</f>
        <v>#DIV/0!</v>
      </c>
      <c r="H224" s="1153" t="e">
        <f>-'Cap Table'!$BS$23/1000000</f>
        <v>#DIV/0!</v>
      </c>
      <c r="I224" s="1153" t="e">
        <f>-'Cap Table'!$BS$24/1000000</f>
        <v>#DIV/0!</v>
      </c>
      <c r="J224" s="1153" t="e">
        <f>-'Cap Table'!$BS$25/1000000</f>
        <v>#DIV/0!</v>
      </c>
      <c r="K224" s="1153" t="e">
        <f>-'Cap Table'!$BS$41/1000000</f>
        <v>#DIV/0!</v>
      </c>
      <c r="L224" s="1153" t="e">
        <f>-'Cap Table'!$BS$42/1000000</f>
        <v>#DIV/0!</v>
      </c>
      <c r="M224" s="1153" t="e">
        <f>-'Cap Table'!$BS$43/1000000</f>
        <v>#DIV/0!</v>
      </c>
      <c r="N224" s="1153" t="e">
        <f>-'Cap Table'!$BS$43/1000000</f>
        <v>#DIV/0!</v>
      </c>
      <c r="O224" s="1153" t="e">
        <f>-'Cap Table'!$BS$45/1000000</f>
        <v>#DIV/0!</v>
      </c>
      <c r="P224" s="1153" t="e">
        <f>-'Cap Table'!$BS$46/1000000</f>
        <v>#DIV/0!</v>
      </c>
      <c r="Q224" s="1153" t="e">
        <f>-'Cap Table'!$BS$47/1000000</f>
        <v>#DIV/0!</v>
      </c>
      <c r="R224" s="1153" t="e">
        <f>-'Cap Table'!$BS$48/1000000</f>
        <v>#DIV/0!</v>
      </c>
      <c r="S224" s="1153" t="e">
        <f>-'Cap Table'!$BS$49/1000000</f>
        <v>#DIV/0!</v>
      </c>
      <c r="T224" s="1153">
        <f>-'Cap Table'!$BS$50/1000000</f>
        <v>0</v>
      </c>
      <c r="U224" s="1153" t="e">
        <f>-'Cap Table'!$BS$51/1000000</f>
        <v>#DIV/0!</v>
      </c>
      <c r="V224" s="1153" t="e">
        <f>-'Cap Table'!$BS$52/1000000</f>
        <v>#DIV/0!</v>
      </c>
      <c r="W224" s="1153" t="e">
        <f>-'Cap Table'!$BS$53/1000000</f>
        <v>#DIV/0!</v>
      </c>
      <c r="X224" s="1153">
        <f>-'Cap Table'!$BS$54/1000000</f>
        <v>0</v>
      </c>
      <c r="Y224" s="1153" t="e">
        <f>-'Cap Table'!$BS$55/1000000</f>
        <v>#DIV/0!</v>
      </c>
      <c r="Z224" s="1153">
        <f>-'Cap Table'!$BS$56/1000000</f>
        <v>0</v>
      </c>
      <c r="AA224" s="1153">
        <f>-'Cap Table'!$BS$57/1000000</f>
        <v>0</v>
      </c>
      <c r="AB224" s="1153">
        <f>-'Cap Table'!$BS$58/1000000</f>
        <v>0</v>
      </c>
      <c r="AC224" s="1153">
        <f>-'Cap Table'!$BS$59/1000000</f>
        <v>0</v>
      </c>
      <c r="AD224" s="1153">
        <f>-'Cap Table'!$BS$60/1000000</f>
        <v>0</v>
      </c>
    </row>
    <row r="225" spans="2:30" ht="16" outlineLevel="1" thickBot="1" x14ac:dyDescent="0.4">
      <c r="F225" s="1162">
        <f t="shared" ca="1" si="31"/>
        <v>0</v>
      </c>
      <c r="G225" s="1154" t="e">
        <f>-'Cap Table'!$CA$22/1000000</f>
        <v>#DIV/0!</v>
      </c>
      <c r="H225" s="1154" t="e">
        <f>-'Cap Table'!$CA$23/1000000</f>
        <v>#DIV/0!</v>
      </c>
      <c r="I225" s="1154" t="e">
        <f>-'Cap Table'!$CA$24/1000000</f>
        <v>#DIV/0!</v>
      </c>
      <c r="J225" s="1154" t="e">
        <f>-'Cap Table'!$CA$25/1000000</f>
        <v>#DIV/0!</v>
      </c>
      <c r="K225" s="1154" t="e">
        <f>-'Cap Table'!$CA$41/1000000</f>
        <v>#DIV/0!</v>
      </c>
      <c r="L225" s="1154" t="e">
        <f>-'Cap Table'!$CA$42/1000000</f>
        <v>#DIV/0!</v>
      </c>
      <c r="M225" s="1154" t="e">
        <f>-'Cap Table'!$CA$43/1000000</f>
        <v>#DIV/0!</v>
      </c>
      <c r="N225" s="1154" t="e">
        <f>-'Cap Table'!$CA$43/1000000</f>
        <v>#DIV/0!</v>
      </c>
      <c r="O225" s="1154" t="e">
        <f>-'Cap Table'!$CA$45/1000000</f>
        <v>#DIV/0!</v>
      </c>
      <c r="P225" s="1154" t="e">
        <f>-'Cap Table'!$CA$46/1000000</f>
        <v>#DIV/0!</v>
      </c>
      <c r="Q225" s="1154" t="e">
        <f>-'Cap Table'!$CA$47/1000000</f>
        <v>#DIV/0!</v>
      </c>
      <c r="R225" s="1154" t="e">
        <f>-'Cap Table'!$CA$48/1000000</f>
        <v>#DIV/0!</v>
      </c>
      <c r="S225" s="1154" t="e">
        <f>-'Cap Table'!$CA$49/1000000</f>
        <v>#DIV/0!</v>
      </c>
      <c r="T225" s="1154">
        <f>-'Cap Table'!$CA$50/1000000</f>
        <v>0</v>
      </c>
      <c r="U225" s="1154" t="e">
        <f>-'Cap Table'!$CA$51/1000000</f>
        <v>#DIV/0!</v>
      </c>
      <c r="V225" s="1154" t="e">
        <f>-'Cap Table'!$CA$52/1000000</f>
        <v>#DIV/0!</v>
      </c>
      <c r="W225" s="1154" t="e">
        <f>-'Cap Table'!$CA$53/1000000</f>
        <v>#DIV/0!</v>
      </c>
      <c r="X225" s="1154">
        <f>-'Cap Table'!$CA$54/1000000</f>
        <v>0</v>
      </c>
      <c r="Y225" s="1154" t="e">
        <f>-'Cap Table'!$CA$55/1000000</f>
        <v>#DIV/0!</v>
      </c>
      <c r="Z225" s="1154">
        <f>-'Cap Table'!$CA$56/1000000</f>
        <v>0</v>
      </c>
      <c r="AA225" s="1154">
        <f>-'Cap Table'!$CA$57/1000000</f>
        <v>0</v>
      </c>
      <c r="AB225" s="1154">
        <f>-'Cap Table'!$CA$58/1000000</f>
        <v>0</v>
      </c>
      <c r="AC225" s="1154">
        <f>-'Cap Table'!$CA$59/1000000</f>
        <v>0</v>
      </c>
      <c r="AD225" s="1154">
        <f>-'Cap Table'!$CA$60/1000000</f>
        <v>0</v>
      </c>
    </row>
    <row r="226" spans="2:30" ht="16" outlineLevel="1" thickBot="1" x14ac:dyDescent="0.4">
      <c r="F226" s="1163">
        <f>$I$26</f>
        <v>200</v>
      </c>
      <c r="G226" s="1159" t="e">
        <f>$I$77</f>
        <v>#DIV/0!</v>
      </c>
      <c r="H226" s="1159" t="e">
        <f>$I$78</f>
        <v>#DIV/0!</v>
      </c>
      <c r="I226" s="1159" t="e">
        <f>$I$79</f>
        <v>#DIV/0!</v>
      </c>
      <c r="J226" s="1159" t="e">
        <f>$I$80</f>
        <v>#DIV/0!</v>
      </c>
      <c r="K226" s="1159" t="e">
        <f>$I$81</f>
        <v>#DIV/0!</v>
      </c>
      <c r="L226" s="1159" t="e">
        <f>$I$82</f>
        <v>#DIV/0!</v>
      </c>
      <c r="M226" s="1159" t="e">
        <f>$I$83</f>
        <v>#DIV/0!</v>
      </c>
      <c r="N226" s="1159" t="e">
        <f>$I$84</f>
        <v>#DIV/0!</v>
      </c>
      <c r="O226" s="1159" t="e">
        <f>$I$85</f>
        <v>#DIV/0!</v>
      </c>
      <c r="P226" s="1159" t="e">
        <f>$I$86</f>
        <v>#DIV/0!</v>
      </c>
      <c r="Q226" s="1159" t="e">
        <f>$I$87</f>
        <v>#DIV/0!</v>
      </c>
      <c r="R226" s="1159" t="e">
        <f>$I$88</f>
        <v>#DIV/0!</v>
      </c>
      <c r="S226" s="1159" t="e">
        <f>$I$89</f>
        <v>#DIV/0!</v>
      </c>
      <c r="T226" s="1159" t="e">
        <f>$I$90</f>
        <v>#DIV/0!</v>
      </c>
      <c r="U226" s="1159" t="e">
        <f>$I$91</f>
        <v>#DIV/0!</v>
      </c>
      <c r="V226" s="1159" t="e">
        <f>$I$92</f>
        <v>#DIV/0!</v>
      </c>
      <c r="W226" s="1159" t="e">
        <f>$I$93</f>
        <v>#DIV/0!</v>
      </c>
      <c r="X226" s="1159" t="e">
        <f>$I$94</f>
        <v>#DIV/0!</v>
      </c>
      <c r="Y226" s="1159" t="e">
        <f>$I$95</f>
        <v>#DIV/0!</v>
      </c>
      <c r="Z226" s="1159" t="e">
        <f>$I$96</f>
        <v>#DIV/0!</v>
      </c>
      <c r="AA226" s="1159" t="e">
        <f>$I$97</f>
        <v>#DIV/0!</v>
      </c>
      <c r="AB226" s="1159" t="e">
        <f>$I$98</f>
        <v>#DIV/0!</v>
      </c>
      <c r="AC226" s="1159" t="e">
        <f>$I$99</f>
        <v>#DIV/0!</v>
      </c>
      <c r="AD226" s="1159" t="e">
        <f>$I$100</f>
        <v>#DIV/0!</v>
      </c>
    </row>
    <row r="227" spans="2:30" outlineLevel="1" x14ac:dyDescent="0.35"/>
    <row r="228" spans="2:30" outlineLevel="1" x14ac:dyDescent="0.35"/>
    <row r="229" spans="2:30" outlineLevel="1" x14ac:dyDescent="0.35"/>
    <row r="230" spans="2:30" ht="15.5" outlineLevel="1" x14ac:dyDescent="0.35">
      <c r="B230" s="1165" t="s">
        <v>348</v>
      </c>
      <c r="C230" s="1166"/>
      <c r="D230" s="1166"/>
      <c r="E230" s="1166"/>
      <c r="F230" s="1166"/>
      <c r="G230" s="1166"/>
      <c r="H230" s="1166"/>
      <c r="I230" s="1166"/>
    </row>
    <row r="231" spans="2:30" ht="15" outlineLevel="1" thickBot="1" x14ac:dyDescent="0.4"/>
    <row r="232" spans="2:30" outlineLevel="1" x14ac:dyDescent="0.35">
      <c r="B232" s="1160" t="s">
        <v>349</v>
      </c>
      <c r="C232" s="1147"/>
      <c r="E232" s="1160" t="s">
        <v>350</v>
      </c>
      <c r="F232" s="1147"/>
      <c r="H232" s="1160" t="s">
        <v>351</v>
      </c>
      <c r="I232" s="1147"/>
    </row>
    <row r="233" spans="2:30" outlineLevel="1" x14ac:dyDescent="0.35">
      <c r="B233" s="966" t="s">
        <v>91</v>
      </c>
      <c r="C233" s="1167" t="str">
        <f>B189</f>
        <v>Seed Prfrd</v>
      </c>
      <c r="E233" s="966" t="s">
        <v>91</v>
      </c>
      <c r="F233" s="1167" t="str">
        <f>C233</f>
        <v>Seed Prfrd</v>
      </c>
      <c r="H233" s="966" t="s">
        <v>91</v>
      </c>
      <c r="I233" s="1167" t="str">
        <f>C233</f>
        <v>Seed Prfrd</v>
      </c>
    </row>
    <row r="234" spans="2:30" outlineLevel="1" x14ac:dyDescent="0.35">
      <c r="B234" s="1151" t="e">
        <f>$E$189</f>
        <v>#DIV/0!</v>
      </c>
      <c r="C234" s="1168">
        <f ca="1">$F$189</f>
        <v>0</v>
      </c>
      <c r="E234" s="1151" t="e">
        <f>$E$189</f>
        <v>#DIV/0!</v>
      </c>
      <c r="F234" s="1168">
        <f ca="1">$F$189</f>
        <v>0</v>
      </c>
      <c r="H234" s="1151" t="e">
        <f>$E$189</f>
        <v>#DIV/0!</v>
      </c>
      <c r="I234" s="1168">
        <f ca="1">F189</f>
        <v>0</v>
      </c>
    </row>
    <row r="235" spans="2:30" outlineLevel="1" x14ac:dyDescent="0.35">
      <c r="B235" s="1151">
        <f>$E$198</f>
        <v>44561</v>
      </c>
      <c r="C235" s="1169" t="e">
        <f>C57</f>
        <v>#DIV/0!</v>
      </c>
      <c r="E235" s="1151">
        <f>$E$198</f>
        <v>44561</v>
      </c>
      <c r="F235" s="1170" t="e">
        <f>F57</f>
        <v>#DIV/0!</v>
      </c>
      <c r="H235" s="1151">
        <f>$E$198</f>
        <v>44561</v>
      </c>
      <c r="I235" s="1170" t="e">
        <f>I57</f>
        <v>#DIV/0!</v>
      </c>
    </row>
    <row r="236" spans="2:30" outlineLevel="1" x14ac:dyDescent="0.35">
      <c r="B236" s="966"/>
      <c r="C236" s="1167" t="str">
        <f>B190</f>
        <v>Series A Prfrd</v>
      </c>
      <c r="E236" s="966"/>
      <c r="F236" s="1167" t="str">
        <f>C236</f>
        <v>Series A Prfrd</v>
      </c>
      <c r="H236" s="966"/>
      <c r="I236" s="1167" t="str">
        <f>F236</f>
        <v>Series A Prfrd</v>
      </c>
    </row>
    <row r="237" spans="2:30" outlineLevel="1" x14ac:dyDescent="0.35">
      <c r="B237" s="1151">
        <f>$E$190</f>
        <v>0</v>
      </c>
      <c r="C237" s="1171">
        <f ca="1">$F$190</f>
        <v>0</v>
      </c>
      <c r="E237" s="1151">
        <f>$E$190</f>
        <v>0</v>
      </c>
      <c r="F237" s="1171">
        <f ca="1">$F$190</f>
        <v>0</v>
      </c>
      <c r="H237" s="1151">
        <f>$E$190</f>
        <v>0</v>
      </c>
      <c r="I237" s="1171">
        <f ca="1">$F$190</f>
        <v>0</v>
      </c>
    </row>
    <row r="238" spans="2:30" outlineLevel="1" x14ac:dyDescent="0.35">
      <c r="B238" s="1151">
        <f>$E$198</f>
        <v>44561</v>
      </c>
      <c r="C238" s="1169" t="e">
        <f>C58</f>
        <v>#DIV/0!</v>
      </c>
      <c r="E238" s="1151">
        <f>$E$198</f>
        <v>44561</v>
      </c>
      <c r="F238" s="1170" t="e">
        <f>F58</f>
        <v>#DIV/0!</v>
      </c>
      <c r="H238" s="1151">
        <f>$E$198</f>
        <v>44561</v>
      </c>
      <c r="I238" s="1170" t="e">
        <f>I58</f>
        <v>#DIV/0!</v>
      </c>
    </row>
    <row r="239" spans="2:30" outlineLevel="1" x14ac:dyDescent="0.35">
      <c r="B239" s="966"/>
      <c r="C239" s="1167" t="str">
        <f>B191</f>
        <v>Series B Prfrd</v>
      </c>
      <c r="E239" s="1151"/>
      <c r="F239" s="1171" t="str">
        <f>C239</f>
        <v>Series B Prfrd</v>
      </c>
      <c r="H239" s="1151"/>
      <c r="I239" s="1171" t="str">
        <f>F239</f>
        <v>Series B Prfrd</v>
      </c>
    </row>
    <row r="240" spans="2:30" outlineLevel="1" x14ac:dyDescent="0.35">
      <c r="B240" s="1151">
        <f>$E$190</f>
        <v>0</v>
      </c>
      <c r="C240" s="1171">
        <f ca="1">$F$191</f>
        <v>0</v>
      </c>
      <c r="E240" s="1151">
        <f>$E$198</f>
        <v>44561</v>
      </c>
      <c r="F240" s="1171">
        <f ca="1">$F$191</f>
        <v>0</v>
      </c>
      <c r="H240" s="1151">
        <f>$E$198</f>
        <v>44561</v>
      </c>
      <c r="I240" s="1171">
        <f ca="1">$F$191</f>
        <v>0</v>
      </c>
    </row>
    <row r="241" spans="2:9" outlineLevel="1" x14ac:dyDescent="0.35">
      <c r="B241" s="1151">
        <f>$E$198</f>
        <v>44561</v>
      </c>
      <c r="C241" s="1169" t="e">
        <f>C59</f>
        <v>#DIV/0!</v>
      </c>
      <c r="E241" s="1151">
        <f>$E$190</f>
        <v>0</v>
      </c>
      <c r="F241" s="1170" t="e">
        <f>F59</f>
        <v>#DIV/0!</v>
      </c>
      <c r="H241" s="1151">
        <f>$E$190</f>
        <v>0</v>
      </c>
      <c r="I241" s="1170" t="e">
        <f>I59</f>
        <v>#DIV/0!</v>
      </c>
    </row>
    <row r="242" spans="2:9" outlineLevel="1" x14ac:dyDescent="0.35">
      <c r="B242" s="966"/>
      <c r="C242" s="1167" t="str">
        <f>B192</f>
        <v>Series C Prfrd</v>
      </c>
      <c r="E242" s="1151"/>
      <c r="F242" s="1170" t="str">
        <f>C242</f>
        <v>Series C Prfrd</v>
      </c>
      <c r="H242" s="1151"/>
      <c r="I242" s="1170" t="str">
        <f>F242</f>
        <v>Series C Prfrd</v>
      </c>
    </row>
    <row r="243" spans="2:9" outlineLevel="1" x14ac:dyDescent="0.35">
      <c r="B243" s="1151">
        <f>$E$190</f>
        <v>0</v>
      </c>
      <c r="C243" s="1171">
        <f ca="1">$F$192</f>
        <v>0</v>
      </c>
      <c r="E243" s="1151">
        <f>$E$190</f>
        <v>0</v>
      </c>
      <c r="F243" s="1171">
        <f ca="1">$F$192</f>
        <v>0</v>
      </c>
      <c r="H243" s="1151">
        <f>$E$190</f>
        <v>0</v>
      </c>
      <c r="I243" s="1171">
        <f ca="1">$F$192</f>
        <v>0</v>
      </c>
    </row>
    <row r="244" spans="2:9" outlineLevel="1" x14ac:dyDescent="0.35">
      <c r="B244" s="1151">
        <f>$E$198</f>
        <v>44561</v>
      </c>
      <c r="C244" s="1169" t="e">
        <f>C60</f>
        <v>#DIV/0!</v>
      </c>
      <c r="E244" s="1151">
        <f>$E$198</f>
        <v>44561</v>
      </c>
      <c r="F244" s="1170" t="e">
        <f>$F60</f>
        <v>#DIV/0!</v>
      </c>
      <c r="H244" s="1151">
        <f>$E$198</f>
        <v>44561</v>
      </c>
      <c r="I244" s="1170" t="e">
        <f>I60</f>
        <v>#DIV/0!</v>
      </c>
    </row>
    <row r="245" spans="2:9" outlineLevel="1" x14ac:dyDescent="0.35">
      <c r="B245" s="966"/>
      <c r="C245" s="1167" t="str">
        <f>B193</f>
        <v>Series D Prfrd</v>
      </c>
      <c r="E245" s="1151"/>
      <c r="F245" s="1171" t="str">
        <f>C245</f>
        <v>Series D Prfrd</v>
      </c>
      <c r="H245" s="1151"/>
      <c r="I245" s="1171" t="str">
        <f>F245</f>
        <v>Series D Prfrd</v>
      </c>
    </row>
    <row r="246" spans="2:9" outlineLevel="1" x14ac:dyDescent="0.35">
      <c r="B246" s="1151">
        <f>$E$190</f>
        <v>0</v>
      </c>
      <c r="C246" s="1171">
        <f ca="1">$F$193</f>
        <v>0</v>
      </c>
      <c r="E246" s="1151">
        <f>$E$198</f>
        <v>44561</v>
      </c>
      <c r="F246" s="1171">
        <f ca="1">$F$193</f>
        <v>0</v>
      </c>
      <c r="H246" s="1151">
        <f>$E$198</f>
        <v>44561</v>
      </c>
      <c r="I246" s="1171">
        <f ca="1">$F$193</f>
        <v>0</v>
      </c>
    </row>
    <row r="247" spans="2:9" outlineLevel="1" x14ac:dyDescent="0.35">
      <c r="B247" s="1151">
        <f>$E$198</f>
        <v>44561</v>
      </c>
      <c r="C247" s="1169" t="e">
        <f>C61</f>
        <v>#DIV/0!</v>
      </c>
      <c r="E247" s="1151">
        <f>$E$190</f>
        <v>0</v>
      </c>
      <c r="F247" s="1170" t="e">
        <f>$F61</f>
        <v>#DIV/0!</v>
      </c>
      <c r="H247" s="1151">
        <f>$E$190</f>
        <v>0</v>
      </c>
      <c r="I247" s="1170" t="e">
        <f>I61</f>
        <v>#DIV/0!</v>
      </c>
    </row>
    <row r="248" spans="2:9" x14ac:dyDescent="0.35">
      <c r="B248" s="966"/>
      <c r="C248" s="1167" t="str">
        <f>B194</f>
        <v>Series E Prfrd</v>
      </c>
      <c r="E248" s="1151"/>
      <c r="F248" s="1170" t="str">
        <f>C248</f>
        <v>Series E Prfrd</v>
      </c>
      <c r="H248" s="1151"/>
      <c r="I248" s="1170" t="str">
        <f>F248</f>
        <v>Series E Prfrd</v>
      </c>
    </row>
    <row r="249" spans="2:9" x14ac:dyDescent="0.35">
      <c r="B249" s="1151">
        <f>$E$190</f>
        <v>0</v>
      </c>
      <c r="C249" s="1171">
        <f ca="1">$F$194</f>
        <v>0</v>
      </c>
      <c r="E249" s="1151">
        <f>$E$190</f>
        <v>0</v>
      </c>
      <c r="F249" s="1171">
        <f ca="1">$F$194</f>
        <v>0</v>
      </c>
      <c r="H249" s="1151">
        <f>$E$190</f>
        <v>0</v>
      </c>
      <c r="I249" s="1171">
        <f ca="1">$F$194</f>
        <v>0</v>
      </c>
    </row>
    <row r="250" spans="2:9" x14ac:dyDescent="0.35">
      <c r="B250" s="1151">
        <f>$E$198</f>
        <v>44561</v>
      </c>
      <c r="C250" s="1169" t="e">
        <f>C62</f>
        <v>#DIV/0!</v>
      </c>
      <c r="E250" s="1151">
        <f>$E$198</f>
        <v>44561</v>
      </c>
      <c r="F250" s="1170" t="e">
        <f>$F62</f>
        <v>#DIV/0!</v>
      </c>
      <c r="H250" s="1151">
        <f>$E$198</f>
        <v>44561</v>
      </c>
      <c r="I250" s="1170" t="e">
        <f>I62</f>
        <v>#DIV/0!</v>
      </c>
    </row>
    <row r="251" spans="2:9" x14ac:dyDescent="0.35">
      <c r="B251" s="966"/>
      <c r="C251" s="1167" t="str">
        <f>B195</f>
        <v>Series E-1 Prfrd  %</v>
      </c>
      <c r="E251" s="1151"/>
      <c r="F251" s="1171" t="str">
        <f>C251</f>
        <v>Series E-1 Prfrd  %</v>
      </c>
      <c r="H251" s="1151"/>
      <c r="I251" s="1171" t="str">
        <f>F251</f>
        <v>Series E-1 Prfrd  %</v>
      </c>
    </row>
    <row r="252" spans="2:9" x14ac:dyDescent="0.35">
      <c r="B252" s="1151">
        <f>$E$190</f>
        <v>0</v>
      </c>
      <c r="C252" s="1171">
        <f ca="1">$F$195</f>
        <v>0</v>
      </c>
      <c r="E252" s="1151">
        <f>$E$198</f>
        <v>44561</v>
      </c>
      <c r="F252" s="1171">
        <f ca="1">$F$195</f>
        <v>0</v>
      </c>
      <c r="H252" s="1151">
        <f>$E$198</f>
        <v>44561</v>
      </c>
      <c r="I252" s="1171">
        <f ca="1">$F$195</f>
        <v>0</v>
      </c>
    </row>
    <row r="253" spans="2:9" x14ac:dyDescent="0.35">
      <c r="B253" s="1151">
        <f>$E$198</f>
        <v>44561</v>
      </c>
      <c r="C253" s="1169" t="e">
        <f>C63</f>
        <v>#DIV/0!</v>
      </c>
      <c r="E253" s="1151">
        <f>$E$190</f>
        <v>0</v>
      </c>
      <c r="F253" s="1170" t="e">
        <f>$F63</f>
        <v>#DIV/0!</v>
      </c>
      <c r="H253" s="1151">
        <f>$E$190</f>
        <v>0</v>
      </c>
      <c r="I253" s="1170" t="e">
        <f>I63</f>
        <v>#DIV/0!</v>
      </c>
    </row>
    <row r="254" spans="2:9" x14ac:dyDescent="0.35">
      <c r="B254" s="966"/>
      <c r="C254" s="1167" t="str">
        <f>B196</f>
        <v>Fully Diluted Shares</v>
      </c>
      <c r="E254" s="1151"/>
      <c r="F254" s="1170" t="str">
        <f>C254</f>
        <v>Fully Diluted Shares</v>
      </c>
      <c r="H254" s="1151"/>
      <c r="I254" s="1170" t="str">
        <f>F254</f>
        <v>Fully Diluted Shares</v>
      </c>
    </row>
    <row r="255" spans="2:9" x14ac:dyDescent="0.35">
      <c r="B255" s="1151">
        <f>$E$190</f>
        <v>0</v>
      </c>
      <c r="C255" s="1171" t="e">
        <f>$F$196</f>
        <v>#REF!</v>
      </c>
      <c r="E255" s="1151">
        <f>$E$190</f>
        <v>0</v>
      </c>
      <c r="F255" s="1171" t="e">
        <f>$F$196</f>
        <v>#REF!</v>
      </c>
      <c r="H255" s="1151">
        <f>$E$190</f>
        <v>0</v>
      </c>
      <c r="I255" s="1171" t="e">
        <f>$F$196</f>
        <v>#REF!</v>
      </c>
    </row>
    <row r="256" spans="2:9" x14ac:dyDescent="0.35">
      <c r="B256" s="1151">
        <f>$E$198</f>
        <v>44561</v>
      </c>
      <c r="C256" s="1169" t="e">
        <f>C64</f>
        <v>#DIV/0!</v>
      </c>
      <c r="E256" s="1151">
        <f>$E$198</f>
        <v>44561</v>
      </c>
      <c r="F256" s="1170" t="e">
        <f>$F64</f>
        <v>#DIV/0!</v>
      </c>
      <c r="H256" s="1151">
        <f>$E$198</f>
        <v>44561</v>
      </c>
      <c r="I256" s="1170" t="e">
        <f>I64</f>
        <v>#DIV/0!</v>
      </c>
    </row>
    <row r="257" spans="2:9" x14ac:dyDescent="0.35">
      <c r="B257" s="966"/>
      <c r="C257" s="1167" t="str">
        <f>B197</f>
        <v>Fully Diluted Shares</v>
      </c>
      <c r="E257" s="966"/>
      <c r="F257" s="1167" t="str">
        <f>C257</f>
        <v>Fully Diluted Shares</v>
      </c>
      <c r="H257" s="966"/>
      <c r="I257" s="1167" t="str">
        <f>F257</f>
        <v>Fully Diluted Shares</v>
      </c>
    </row>
    <row r="258" spans="2:9" x14ac:dyDescent="0.35">
      <c r="B258" s="1151">
        <f>$E$190</f>
        <v>0</v>
      </c>
      <c r="C258" s="1171">
        <f ca="1">$F$197</f>
        <v>0</v>
      </c>
      <c r="E258" s="1151">
        <f>$E$190</f>
        <v>0</v>
      </c>
      <c r="F258" s="1171">
        <f ca="1">$F$197</f>
        <v>0</v>
      </c>
      <c r="H258" s="1151">
        <f>$E$190</f>
        <v>0</v>
      </c>
      <c r="I258" s="1171">
        <f ca="1">$F$197</f>
        <v>0</v>
      </c>
    </row>
    <row r="259" spans="2:9" ht="15" thickBot="1" x14ac:dyDescent="0.4">
      <c r="B259" s="1157">
        <f>$E$198</f>
        <v>44561</v>
      </c>
      <c r="C259" s="1172" t="e">
        <f>C65</f>
        <v>#DIV/0!</v>
      </c>
      <c r="E259" s="1157">
        <f>$E$198</f>
        <v>44561</v>
      </c>
      <c r="F259" s="1172" t="e">
        <f>F65</f>
        <v>#DIV/0!</v>
      </c>
      <c r="H259" s="1157">
        <f>$E$198</f>
        <v>44561</v>
      </c>
      <c r="I259" s="1172" t="e">
        <f>I65</f>
        <v>#DIV/0!</v>
      </c>
    </row>
  </sheetData>
  <autoFilter ref="H120:N134" xr:uid="{6605F55F-E051-45FC-A22F-41DBDC7CC377}"/>
  <mergeCells count="1">
    <mergeCell ref="B187:G187"/>
  </mergeCells>
  <conditionalFormatting sqref="C57:C70 F57:F70 I57:I70">
    <cfRule type="colorScale" priority="20">
      <colorScale>
        <cfvo type="min"/>
        <cfvo type="max"/>
        <color rgb="FFFCFCFF"/>
        <color rgb="FF63BE7B"/>
      </colorScale>
    </cfRule>
  </conditionalFormatting>
  <conditionalFormatting sqref="C77:C104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7:D65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  <cfRule type="colorScale" priority="16">
      <colorScale>
        <cfvo type="min"/>
        <cfvo type="max"/>
        <color theme="4" tint="0.39997558519241921"/>
        <color theme="8" tint="-0.249977111117893"/>
      </colorScale>
    </cfRule>
  </conditionalFormatting>
  <conditionalFormatting sqref="D67:D70 D57:D65">
    <cfRule type="colorScale" priority="22">
      <colorScale>
        <cfvo type="min"/>
        <cfvo type="max"/>
        <color theme="4" tint="0.39997558519241921"/>
        <color theme="8" tint="-0.249977111117893"/>
      </colorScale>
    </cfRule>
  </conditionalFormatting>
  <conditionalFormatting sqref="D77:D104">
    <cfRule type="colorScale" priority="25">
      <colorScale>
        <cfvo type="min"/>
        <cfvo type="max"/>
        <color rgb="FFFCFCFF"/>
        <color rgb="FF63BE7B"/>
      </colorScale>
    </cfRule>
  </conditionalFormatting>
  <conditionalFormatting sqref="F77:F104 C77:C104 I77:I104">
    <cfRule type="colorScale" priority="28">
      <colorScale>
        <cfvo type="min"/>
        <cfvo type="max"/>
        <color rgb="FFFCFCFF"/>
        <color rgb="FF63BE7B"/>
      </colorScale>
    </cfRule>
  </conditionalFormatting>
  <conditionalFormatting sqref="F77:F104">
    <cfRule type="colorScale" priority="9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max"/>
        <color rgb="FFFCFCFF"/>
        <color rgb="FF63BE7B"/>
      </colorScale>
    </cfRule>
  </conditionalFormatting>
  <conditionalFormatting sqref="F82">
    <cfRule type="colorScale" priority="3">
      <colorScale>
        <cfvo type="min"/>
        <cfvo type="max"/>
        <color rgb="FFFCFCFF"/>
        <color rgb="FF63BE7B"/>
      </colorScale>
    </cfRule>
  </conditionalFormatting>
  <conditionalFormatting sqref="F87">
    <cfRule type="colorScale" priority="2">
      <colorScale>
        <cfvo type="min"/>
        <cfvo type="max"/>
        <color rgb="FFFCFCFF"/>
        <color rgb="FF63BE7B"/>
      </colorScale>
    </cfRule>
  </conditionalFormatting>
  <conditionalFormatting sqref="F93">
    <cfRule type="colorScale" priority="1">
      <colorScale>
        <cfvo type="min"/>
        <cfvo type="max"/>
        <color rgb="FFFCFCFF"/>
        <color rgb="FF63BE7B"/>
      </colorScale>
    </cfRule>
  </conditionalFormatting>
  <conditionalFormatting sqref="G57:G58"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G57:G65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G67:G70 G57:G65">
    <cfRule type="colorScale" priority="21">
      <colorScale>
        <cfvo type="min"/>
        <cfvo type="max"/>
        <color theme="4" tint="0.39997558519241921"/>
        <color theme="8" tint="-0.249977111117893"/>
      </colorScale>
    </cfRule>
  </conditionalFormatting>
  <conditionalFormatting sqref="I77:I104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J57:J65 D67:D70 G67:G70 J67:J70 D57:D65 G57:G65">
    <cfRule type="colorScale" priority="19">
      <colorScale>
        <cfvo type="min"/>
        <cfvo type="max"/>
        <color rgb="FFFCFCFF"/>
        <color rgb="FF63BE7B"/>
      </colorScale>
    </cfRule>
  </conditionalFormatting>
  <conditionalFormatting sqref="J57:J65 J67:J70"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J101">
    <cfRule type="colorScale" priority="13">
      <colorScale>
        <cfvo type="min"/>
        <cfvo type="max"/>
        <color rgb="FFFCFCFF"/>
        <color rgb="FF63BE7B"/>
      </colorScale>
    </cfRule>
  </conditionalFormatting>
  <conditionalFormatting sqref="J102:J103 G77:G104 D77:D104 J77:J100">
    <cfRule type="colorScale" priority="26">
      <colorScale>
        <cfvo type="min"/>
        <cfvo type="max"/>
        <color rgb="FFFCFCFF"/>
        <color rgb="FF63BE7B"/>
      </colorScale>
    </cfRule>
  </conditionalFormatting>
  <conditionalFormatting sqref="J104">
    <cfRule type="colorScale" priority="27">
      <colorScale>
        <cfvo type="min"/>
        <cfvo type="max"/>
        <color rgb="FFFCFCFF"/>
        <color rgb="FF63BE7B"/>
      </colorScale>
    </cfRule>
  </conditionalFormatting>
  <dataValidations count="3">
    <dataValidation type="list" allowBlank="1" showInputMessage="1" showErrorMessage="1" sqref="C6 I10 I6 F10 C10" xr:uid="{54771D1D-C9B7-4A61-A1C6-D1A7FD678CAE}">
      <formula1>$E$6:$E$7</formula1>
    </dataValidation>
    <dataValidation type="list" allowBlank="1" showInputMessage="1" showErrorMessage="1" sqref="C7 F7 I7" xr:uid="{85848A99-562D-4185-9F91-C2F2C14313F9}">
      <formula1>$N$8:$N$10</formula1>
    </dataValidation>
    <dataValidation type="list" allowBlank="1" showInputMessage="1" showErrorMessage="1" sqref="F6" xr:uid="{65825DCE-F1BD-4061-9178-4E21EF0F3DCB}">
      <formula1>$E$6:$E$8</formula1>
    </dataValidation>
  </dataValidations>
  <pageMargins left="0.7" right="0.7" top="0.75" bottom="0.75" header="0.3" footer="0.3"/>
  <pageSetup orientation="portrait" r:id="rId1"/>
  <headerFooter>
    <oddFooter>&amp;L&amp;1#&amp;"Calibri"&amp;7&amp;K7F7F7FHighly Restricted - Confidential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13B2-C158-4D7F-9916-F9485EA11E21}">
  <dimension ref="A1:BD1"/>
  <sheetViews>
    <sheetView workbookViewId="0"/>
  </sheetViews>
  <sheetFormatPr defaultRowHeight="14.5" x14ac:dyDescent="0.35"/>
  <sheetData>
    <row r="1" spans="1:56" x14ac:dyDescent="0.35">
      <c r="A1">
        <v>56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362</v>
      </c>
      <c r="M1" t="s">
        <v>363</v>
      </c>
      <c r="N1" t="s">
        <v>364</v>
      </c>
      <c r="O1" t="s">
        <v>365</v>
      </c>
      <c r="P1" t="s">
        <v>366</v>
      </c>
      <c r="Q1" t="s">
        <v>367</v>
      </c>
      <c r="R1" t="s">
        <v>368</v>
      </c>
      <c r="S1" t="s">
        <v>369</v>
      </c>
      <c r="T1" t="s">
        <v>370</v>
      </c>
      <c r="U1" t="s">
        <v>371</v>
      </c>
      <c r="V1" t="s">
        <v>372</v>
      </c>
      <c r="W1" t="s">
        <v>373</v>
      </c>
      <c r="X1" t="s">
        <v>374</v>
      </c>
      <c r="Y1" t="s">
        <v>375</v>
      </c>
      <c r="Z1" t="s">
        <v>376</v>
      </c>
      <c r="AA1" t="s">
        <v>377</v>
      </c>
      <c r="AB1" t="s">
        <v>378</v>
      </c>
      <c r="AC1" t="s">
        <v>379</v>
      </c>
      <c r="AD1" t="s">
        <v>380</v>
      </c>
      <c r="AE1" t="s">
        <v>381</v>
      </c>
      <c r="AF1" t="s">
        <v>382</v>
      </c>
      <c r="AG1" t="s">
        <v>383</v>
      </c>
      <c r="AH1" t="s">
        <v>384</v>
      </c>
      <c r="AI1" t="s">
        <v>385</v>
      </c>
      <c r="AJ1" t="s">
        <v>386</v>
      </c>
      <c r="AK1" t="s">
        <v>387</v>
      </c>
      <c r="AL1" t="s">
        <v>388</v>
      </c>
      <c r="AM1" t="s">
        <v>389</v>
      </c>
      <c r="AN1" t="s">
        <v>390</v>
      </c>
      <c r="AO1" t="s">
        <v>391</v>
      </c>
      <c r="AP1" t="s">
        <v>392</v>
      </c>
      <c r="AQ1" t="s">
        <v>393</v>
      </c>
      <c r="AR1" t="s">
        <v>394</v>
      </c>
      <c r="AS1" t="s">
        <v>395</v>
      </c>
      <c r="AT1" t="s">
        <v>396</v>
      </c>
      <c r="AU1" t="s">
        <v>397</v>
      </c>
      <c r="AV1" t="s">
        <v>398</v>
      </c>
      <c r="AW1" t="s">
        <v>399</v>
      </c>
      <c r="AX1" t="s">
        <v>400</v>
      </c>
      <c r="AY1" t="s">
        <v>401</v>
      </c>
      <c r="AZ1" t="s">
        <v>402</v>
      </c>
      <c r="BA1" t="s">
        <v>403</v>
      </c>
      <c r="BB1" t="s">
        <v>404</v>
      </c>
      <c r="BC1" t="s">
        <v>405</v>
      </c>
      <c r="BD1" t="s">
        <v>406</v>
      </c>
    </row>
  </sheetData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B7A2-3B80-4577-97B4-FD4F4DAF39C9}">
  <dimension ref="A1:BH52"/>
  <sheetViews>
    <sheetView zoomScale="85" zoomScaleNormal="85" workbookViewId="0">
      <selection activeCell="J17" sqref="J17"/>
    </sheetView>
  </sheetViews>
  <sheetFormatPr defaultColWidth="9.26953125" defaultRowHeight="15.5" outlineLevelCol="1" x14ac:dyDescent="0.35"/>
  <cols>
    <col min="1" max="2" width="0.81640625" style="3" customWidth="1"/>
    <col min="3" max="3" width="9.26953125" style="594"/>
    <col min="4" max="4" width="9" style="594" customWidth="1" outlineLevel="1"/>
    <col min="5" max="5" width="17.81640625" style="594" customWidth="1"/>
    <col min="6" max="6" width="11.1796875" style="594" hidden="1" customWidth="1"/>
    <col min="7" max="7" width="13" style="594" customWidth="1"/>
    <col min="8" max="8" width="12.26953125" style="594" customWidth="1" outlineLevel="1"/>
    <col min="9" max="9" width="9" style="594" bestFit="1" customWidth="1"/>
    <col min="10" max="10" width="12.54296875" style="594" customWidth="1" outlineLevel="1"/>
    <col min="11" max="11" width="11.1796875" style="594" customWidth="1"/>
    <col min="12" max="12" width="3" style="594" customWidth="1"/>
    <col min="13" max="13" width="8.26953125" style="594" customWidth="1" outlineLevel="1"/>
    <col min="14" max="14" width="7.81640625" style="594" customWidth="1"/>
    <col min="15" max="15" width="6.26953125" style="594" customWidth="1"/>
    <col min="16" max="16" width="15.1796875" style="594" customWidth="1"/>
    <col min="17" max="17" width="8.81640625" style="594" customWidth="1"/>
    <col min="18" max="21" width="8.81640625" style="594" customWidth="1" outlineLevel="1"/>
    <col min="22" max="22" width="9.7265625" style="594" customWidth="1"/>
    <col min="23" max="23" width="9.54296875" style="594" bestFit="1" customWidth="1"/>
    <col min="24" max="24" width="1.81640625" style="594" customWidth="1"/>
    <col min="25" max="25" width="9.81640625" style="594" bestFit="1" customWidth="1"/>
    <col min="26" max="26" width="9.26953125" style="594"/>
    <col min="27" max="27" width="9.1796875" style="594" customWidth="1"/>
    <col min="28" max="28" width="4.453125" style="594" customWidth="1"/>
    <col min="29" max="30" width="8.7265625" style="594" bestFit="1" customWidth="1"/>
    <col min="31" max="31" width="1.81640625" style="594" customWidth="1"/>
    <col min="32" max="32" width="9" style="594" customWidth="1" outlineLevel="1"/>
    <col min="33" max="33" width="9" style="594" bestFit="1" customWidth="1"/>
    <col min="34" max="34" width="10.54296875" style="594" customWidth="1"/>
    <col min="35" max="35" width="8.7265625" style="594" bestFit="1" customWidth="1"/>
    <col min="36" max="36" width="12" style="594" customWidth="1"/>
    <col min="37" max="37" width="1.81640625" style="594" customWidth="1"/>
    <col min="38" max="38" width="9.26953125" style="594" outlineLevel="1"/>
    <col min="39" max="39" width="13.54296875" style="594" customWidth="1" outlineLevel="1"/>
    <col min="40" max="40" width="11.7265625" style="594" customWidth="1" outlineLevel="1"/>
    <col min="41" max="41" width="11" style="594" customWidth="1" outlineLevel="1"/>
    <col min="42" max="42" width="10" style="594" customWidth="1" outlineLevel="1"/>
    <col min="43" max="43" width="13.26953125" style="594" customWidth="1" outlineLevel="1"/>
    <col min="44" max="44" width="2.81640625" style="594" customWidth="1" outlineLevel="1"/>
    <col min="45" max="45" width="12.453125" style="594" customWidth="1" outlineLevel="1"/>
    <col min="46" max="46" width="10.81640625" style="594" customWidth="1" outlineLevel="1"/>
    <col min="47" max="47" width="8.453125" style="594" customWidth="1" outlineLevel="1"/>
    <col min="48" max="49" width="10.26953125" style="594" customWidth="1" outlineLevel="1"/>
    <col min="50" max="50" width="2.81640625" style="594" customWidth="1" outlineLevel="1"/>
    <col min="51" max="51" width="10" style="594" customWidth="1" outlineLevel="1"/>
    <col min="52" max="52" width="9.26953125" style="594" outlineLevel="1"/>
    <col min="53" max="53" width="8.453125" style="594" customWidth="1" outlineLevel="1"/>
    <col min="54" max="54" width="2.81640625" style="594" customWidth="1" outlineLevel="1"/>
    <col min="55" max="55" width="8" style="594" customWidth="1" outlineLevel="1"/>
    <col min="56" max="56" width="7.54296875" style="594" customWidth="1" outlineLevel="1"/>
    <col min="57" max="57" width="9.26953125" style="594" outlineLevel="1"/>
    <col min="58" max="58" width="9.26953125" style="594"/>
    <col min="59" max="60" width="0.81640625" style="3" customWidth="1"/>
    <col min="61" max="16384" width="9.26953125" style="594"/>
  </cols>
  <sheetData>
    <row r="1" spans="1:60" s="2" customFormat="1" ht="7.5" customHeight="1" x14ac:dyDescent="0.35">
      <c r="A1" s="21"/>
    </row>
    <row r="2" spans="1:60" s="497" customFormat="1" ht="19.5" customHeight="1" thickBot="1" x14ac:dyDescent="0.55000000000000004">
      <c r="A2" s="2"/>
      <c r="B2" s="495"/>
      <c r="C2" s="4" t="s">
        <v>407</v>
      </c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</row>
    <row r="3" spans="1:60" s="26" customFormat="1" ht="13" x14ac:dyDescent="0.3">
      <c r="C3" s="27" t="s">
        <v>18</v>
      </c>
    </row>
    <row r="4" spans="1:60" s="2" customFormat="1" ht="8.15" customHeight="1" x14ac:dyDescent="0.35"/>
    <row r="5" spans="1:60" s="503" customFormat="1" x14ac:dyDescent="0.35">
      <c r="A5" s="2"/>
      <c r="B5" s="2"/>
      <c r="C5" s="498"/>
      <c r="D5" s="499" t="s">
        <v>91</v>
      </c>
      <c r="E5" s="500">
        <f ca="1">TODAY()</f>
        <v>46105</v>
      </c>
      <c r="F5" s="501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8"/>
      <c r="AB5" s="498"/>
      <c r="AC5" s="498"/>
      <c r="AD5" s="498"/>
      <c r="AE5" s="498"/>
      <c r="AF5" s="498"/>
      <c r="AG5" s="498"/>
      <c r="AH5" s="498"/>
      <c r="AI5" s="498"/>
      <c r="AJ5" s="498"/>
      <c r="AK5" s="498"/>
      <c r="AL5" s="502"/>
      <c r="AM5" s="502"/>
      <c r="AN5" s="502"/>
      <c r="AO5" s="502"/>
      <c r="AP5" s="502"/>
      <c r="AQ5" s="502"/>
      <c r="AR5" s="502"/>
      <c r="AS5" s="502"/>
      <c r="AT5" s="502"/>
      <c r="AU5" s="502"/>
      <c r="AV5" s="502"/>
      <c r="AW5" s="502"/>
      <c r="AX5" s="502"/>
      <c r="AY5" s="502"/>
      <c r="AZ5" s="502"/>
      <c r="BA5" s="502"/>
      <c r="BB5" s="502"/>
      <c r="BC5" s="502"/>
      <c r="BD5" s="502"/>
      <c r="BE5" s="502"/>
      <c r="BF5" s="502"/>
      <c r="BG5" s="2"/>
      <c r="BH5" s="2"/>
    </row>
    <row r="6" spans="1:60" s="506" customFormat="1" x14ac:dyDescent="0.35">
      <c r="A6" s="2"/>
      <c r="B6" s="2"/>
      <c r="C6" s="498"/>
      <c r="D6" s="499" t="s">
        <v>408</v>
      </c>
      <c r="E6" s="504">
        <f ca="1">YEAR(E5)</f>
        <v>2026</v>
      </c>
      <c r="F6" s="505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  <c r="W6" s="498"/>
      <c r="X6" s="498"/>
      <c r="Y6" s="498"/>
      <c r="Z6" s="498"/>
      <c r="AA6" s="498"/>
      <c r="AB6" s="498"/>
      <c r="AC6" s="498"/>
      <c r="AD6" s="498"/>
      <c r="AE6" s="498"/>
      <c r="AF6" s="498"/>
      <c r="AG6" s="498"/>
      <c r="AH6" s="498"/>
      <c r="AI6" s="498"/>
      <c r="AJ6" s="498"/>
      <c r="AK6" s="498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2"/>
      <c r="AY6" s="502"/>
      <c r="AZ6" s="502"/>
      <c r="BA6" s="502"/>
      <c r="BB6" s="502"/>
      <c r="BC6" s="502"/>
      <c r="BD6" s="502"/>
      <c r="BE6" s="502"/>
      <c r="BF6" s="502"/>
      <c r="BG6" s="2"/>
      <c r="BH6" s="2"/>
    </row>
    <row r="7" spans="1:60" s="498" customFormat="1" x14ac:dyDescent="0.35">
      <c r="A7" s="2"/>
      <c r="B7" s="2"/>
      <c r="E7" s="507"/>
      <c r="F7" s="508"/>
      <c r="Y7" s="509"/>
      <c r="BG7" s="2"/>
      <c r="BH7" s="2"/>
    </row>
    <row r="8" spans="1:60" s="498" customFormat="1" x14ac:dyDescent="0.35">
      <c r="A8" s="2"/>
      <c r="B8" s="2"/>
      <c r="E8" s="510" t="s">
        <v>409</v>
      </c>
      <c r="F8" s="508"/>
      <c r="BG8" s="2"/>
      <c r="BH8" s="2"/>
    </row>
    <row r="9" spans="1:60" s="511" customFormat="1" ht="15.75" customHeight="1" x14ac:dyDescent="0.35">
      <c r="A9" s="2"/>
      <c r="B9" s="2"/>
      <c r="E9" s="512" t="s">
        <v>410</v>
      </c>
      <c r="G9" s="513" t="s">
        <v>411</v>
      </c>
      <c r="H9" s="513"/>
      <c r="I9" s="513"/>
      <c r="M9" s="1380" t="s">
        <v>412</v>
      </c>
      <c r="N9" s="1380"/>
      <c r="O9" s="1380"/>
      <c r="P9" s="1381"/>
      <c r="Q9" s="514"/>
      <c r="R9" s="1380" t="s">
        <v>413</v>
      </c>
      <c r="S9" s="1380"/>
      <c r="T9" s="1380"/>
      <c r="U9" s="1380"/>
      <c r="V9" s="1380"/>
      <c r="W9" s="1380"/>
      <c r="X9" s="1380"/>
      <c r="Y9" s="1380"/>
      <c r="Z9" s="1380"/>
      <c r="AA9" s="1380"/>
      <c r="AB9" s="1380"/>
      <c r="AC9" s="1380"/>
      <c r="AD9" s="1380"/>
      <c r="AE9" s="1380"/>
      <c r="AF9" s="1380"/>
      <c r="AG9" s="1380"/>
      <c r="AH9" s="1380"/>
      <c r="AI9" s="1380"/>
      <c r="AJ9" s="498"/>
      <c r="AM9" s="1382" t="s">
        <v>414</v>
      </c>
      <c r="AN9" s="1383"/>
      <c r="AO9" s="1383"/>
      <c r="AP9" s="1383"/>
      <c r="AQ9" s="1383"/>
      <c r="AR9" s="1383"/>
      <c r="AS9" s="1383"/>
      <c r="AT9" s="1383"/>
      <c r="AU9" s="1383"/>
      <c r="AV9" s="1383"/>
      <c r="AW9" s="1383"/>
      <c r="AX9" s="1383"/>
      <c r="AY9" s="1383"/>
      <c r="AZ9" s="1383"/>
      <c r="BA9" s="1383"/>
      <c r="BB9" s="1383"/>
      <c r="BC9" s="1383"/>
      <c r="BD9" s="1383"/>
      <c r="BE9" s="1384"/>
      <c r="BG9" s="2"/>
      <c r="BH9" s="2"/>
    </row>
    <row r="10" spans="1:60" s="511" customFormat="1" x14ac:dyDescent="0.35">
      <c r="A10" s="2"/>
      <c r="B10" s="2"/>
      <c r="G10" s="513" t="s">
        <v>415</v>
      </c>
      <c r="H10" s="513" t="s">
        <v>416</v>
      </c>
      <c r="I10" s="513" t="s">
        <v>417</v>
      </c>
      <c r="J10" s="513" t="s">
        <v>418</v>
      </c>
      <c r="K10" s="513" t="s">
        <v>419</v>
      </c>
      <c r="M10" s="1377" t="s">
        <v>420</v>
      </c>
      <c r="N10" s="1378"/>
      <c r="O10" s="1378"/>
      <c r="P10" s="1379"/>
      <c r="R10" s="1377" t="s">
        <v>421</v>
      </c>
      <c r="S10" s="1379"/>
      <c r="T10" s="515"/>
      <c r="V10" s="1385" t="s">
        <v>422</v>
      </c>
      <c r="W10" s="1386"/>
      <c r="X10" s="516"/>
      <c r="Y10" s="1387" t="s">
        <v>423</v>
      </c>
      <c r="Z10" s="1388"/>
      <c r="AA10" s="1389"/>
      <c r="AB10" s="516"/>
      <c r="AC10" s="1385" t="s">
        <v>424</v>
      </c>
      <c r="AD10" s="1386"/>
      <c r="AE10" s="516"/>
      <c r="AF10" s="517"/>
      <c r="AG10" s="1387" t="s">
        <v>425</v>
      </c>
      <c r="AH10" s="1388"/>
      <c r="AI10" s="1389"/>
      <c r="AJ10" s="498"/>
      <c r="AM10" s="1377" t="s">
        <v>247</v>
      </c>
      <c r="AN10" s="1378"/>
      <c r="AO10" s="1378"/>
      <c r="AP10" s="1378"/>
      <c r="AQ10" s="1379"/>
      <c r="AS10" s="1377" t="s">
        <v>186</v>
      </c>
      <c r="AT10" s="1378"/>
      <c r="AU10" s="1378"/>
      <c r="AV10" s="1378"/>
      <c r="AW10" s="1379"/>
      <c r="AY10" s="1377" t="s">
        <v>163</v>
      </c>
      <c r="AZ10" s="1378"/>
      <c r="BA10" s="1379"/>
      <c r="BB10" s="498"/>
      <c r="BC10" s="1377" t="s">
        <v>424</v>
      </c>
      <c r="BD10" s="1378"/>
      <c r="BE10" s="1379"/>
      <c r="BG10" s="2"/>
      <c r="BH10" s="2"/>
    </row>
    <row r="11" spans="1:60" s="518" customFormat="1" x14ac:dyDescent="0.35">
      <c r="A11" s="2"/>
      <c r="B11" s="2"/>
      <c r="E11" s="519" t="s">
        <v>426</v>
      </c>
      <c r="F11" s="519"/>
      <c r="G11" s="520">
        <f ca="1">E5</f>
        <v>46105</v>
      </c>
      <c r="H11" s="520" t="s">
        <v>427</v>
      </c>
      <c r="I11" s="520" t="s">
        <v>428</v>
      </c>
      <c r="J11" s="521" t="s">
        <v>429</v>
      </c>
      <c r="K11" s="521" t="s">
        <v>430</v>
      </c>
      <c r="L11" s="522"/>
      <c r="M11" s="521" t="str">
        <f ca="1">RIGHT(AO11,4)&amp;"A"</f>
        <v>2025A</v>
      </c>
      <c r="N11" s="521" t="str">
        <f>AM11</f>
        <v>LTM</v>
      </c>
      <c r="O11" s="521" t="str">
        <f ca="1">RIGHT(AP11,4)&amp;"E"</f>
        <v>2026E</v>
      </c>
      <c r="P11" s="521" t="str">
        <f ca="1">RIGHT(AQ11,4)&amp;"E"</f>
        <v>2027E</v>
      </c>
      <c r="Q11" s="523"/>
      <c r="R11" s="521" t="str">
        <f>AS11</f>
        <v>LTM</v>
      </c>
      <c r="S11" s="521" t="str">
        <f ca="1">RIGHT(AU11,4)&amp;"A"</f>
        <v>2025A</v>
      </c>
      <c r="T11" s="523"/>
      <c r="U11" s="524"/>
      <c r="V11" s="525" t="s">
        <v>431</v>
      </c>
      <c r="W11" s="525" t="s">
        <v>186</v>
      </c>
      <c r="X11" s="526"/>
      <c r="Y11" s="527" t="str">
        <f ca="1">"'"&amp;RIGHT(AN11,2)&amp;"A"&amp;"/"&amp;"'"&amp;RIGHT(AO11,2)&amp;"A"</f>
        <v>'24A/'25A</v>
      </c>
      <c r="Z11" s="527" t="str">
        <f ca="1">"'"&amp;RIGHT(AO11,2)&amp;"A"&amp;"/"&amp;"'"&amp;RIGHT(AP11,2)&amp;"E"</f>
        <v>'25A/'26E</v>
      </c>
      <c r="AA11" s="527" t="s">
        <v>432</v>
      </c>
      <c r="AB11" s="528"/>
      <c r="AC11" s="529" t="str">
        <f>BC11</f>
        <v>LTM</v>
      </c>
      <c r="AD11" s="529" t="str">
        <f ca="1">RIGHT(BE11,4)&amp;"A"</f>
        <v>2025A</v>
      </c>
      <c r="AE11" s="530"/>
      <c r="AF11" s="531"/>
      <c r="AG11" s="532" t="str">
        <f>AS11</f>
        <v>LTM</v>
      </c>
      <c r="AH11" s="532" t="str">
        <f ca="1">RIGHT(AV11,4)&amp;"E"</f>
        <v>2026E</v>
      </c>
      <c r="AI11" s="532" t="str">
        <f ca="1">RIGHT(AW11,4)&amp;"E"</f>
        <v>2027E</v>
      </c>
      <c r="AM11" s="533" t="s">
        <v>433</v>
      </c>
      <c r="AN11" s="533" t="str">
        <f ca="1">"CY"&amp;$E$6-2</f>
        <v>CY2024</v>
      </c>
      <c r="AO11" s="533" t="str">
        <f ca="1">"CY"&amp;$E$6-1</f>
        <v>CY2025</v>
      </c>
      <c r="AP11" s="533" t="str">
        <f ca="1">"CY"&amp;$E$6</f>
        <v>CY2026</v>
      </c>
      <c r="AQ11" s="533" t="str">
        <f ca="1">"CY"&amp;$E$6+1</f>
        <v>CY2027</v>
      </c>
      <c r="AS11" s="533" t="s">
        <v>433</v>
      </c>
      <c r="AT11" s="533" t="str">
        <f ca="1">"CY"&amp;$E$6-2</f>
        <v>CY2024</v>
      </c>
      <c r="AU11" s="533" t="str">
        <f ca="1">"CY"&amp;$E$6-1</f>
        <v>CY2025</v>
      </c>
      <c r="AV11" s="533" t="str">
        <f ca="1">"CY"&amp;$E$6</f>
        <v>CY2026</v>
      </c>
      <c r="AW11" s="533" t="str">
        <f ca="1">"CY"&amp;$E$6+1</f>
        <v>CY2027</v>
      </c>
      <c r="AY11" s="533" t="s">
        <v>433</v>
      </c>
      <c r="AZ11" s="533" t="str">
        <f ca="1">"CY"&amp;$E$6-2</f>
        <v>CY2024</v>
      </c>
      <c r="BA11" s="533" t="str">
        <f ca="1">"CY"&amp;$E$6-1</f>
        <v>CY2025</v>
      </c>
      <c r="BB11" s="498"/>
      <c r="BC11" s="533" t="s">
        <v>433</v>
      </c>
      <c r="BD11" s="533" t="str">
        <f ca="1">"CY"&amp;$E$6-2</f>
        <v>CY2024</v>
      </c>
      <c r="BE11" s="533" t="str">
        <f ca="1">"CY"&amp;$E$6-1</f>
        <v>CY2025</v>
      </c>
      <c r="BF11" s="498"/>
      <c r="BG11" s="2"/>
      <c r="BH11" s="2"/>
    </row>
    <row r="12" spans="1:60" s="498" customFormat="1" ht="7.5" customHeight="1" x14ac:dyDescent="0.35">
      <c r="A12" s="2"/>
      <c r="B12" s="2"/>
      <c r="E12" s="534"/>
      <c r="F12" s="534"/>
      <c r="G12" s="534"/>
      <c r="H12" s="534"/>
      <c r="I12" s="534"/>
      <c r="J12" s="534"/>
      <c r="K12" s="534"/>
      <c r="M12" s="535"/>
      <c r="N12" s="535"/>
      <c r="O12" s="535"/>
      <c r="P12" s="535"/>
      <c r="R12" s="534"/>
      <c r="S12" s="534"/>
      <c r="V12" s="534"/>
      <c r="W12" s="534"/>
      <c r="Y12" s="534"/>
      <c r="Z12" s="534"/>
      <c r="AA12" s="534"/>
      <c r="AC12" s="534"/>
      <c r="AD12" s="534"/>
      <c r="AG12" s="534"/>
      <c r="AH12" s="534"/>
      <c r="AI12" s="534"/>
      <c r="BG12" s="2"/>
      <c r="BH12" s="2"/>
    </row>
    <row r="13" spans="1:60" s="498" customFormat="1" x14ac:dyDescent="0.35">
      <c r="A13" s="2"/>
      <c r="B13" s="2"/>
      <c r="D13" s="536"/>
      <c r="E13" s="537" t="s">
        <v>434</v>
      </c>
      <c r="F13" s="538"/>
      <c r="N13" s="539"/>
      <c r="O13" s="539"/>
      <c r="P13" s="539"/>
      <c r="BG13" s="2"/>
      <c r="BH13" s="2"/>
    </row>
    <row r="14" spans="1:60" s="498" customFormat="1" x14ac:dyDescent="0.35">
      <c r="A14" s="2"/>
      <c r="B14" s="2"/>
      <c r="M14" s="539"/>
      <c r="N14" s="539"/>
      <c r="O14" s="539"/>
      <c r="P14" s="539"/>
      <c r="BG14" s="2"/>
      <c r="BH14" s="2"/>
    </row>
    <row r="15" spans="1:60" s="511" customFormat="1" x14ac:dyDescent="0.35">
      <c r="A15" s="2"/>
      <c r="B15" s="2"/>
      <c r="D15" s="540" t="s">
        <v>435</v>
      </c>
      <c r="E15" s="541" t="e">
        <f ca="1">_xll.CIQFUNCTIONS.UDF.CIQ(D15, "IQ_COMPANY_NAME")</f>
        <v>#NAME?</v>
      </c>
      <c r="F15" s="541"/>
      <c r="G15" s="542" t="e">
        <f ca="1">_xll.CIQFUNCTIONS.UDF.CIQ(D15, "IQ_LASTSALEPRICE",$E$5, "USD")</f>
        <v>#NAME?</v>
      </c>
      <c r="H15" s="542" t="e">
        <f ca="1">_xll.CIQFUNCTIONS.UDF.CIQ(D15, "IQ_YEARHIGH",$E$5, "USD")</f>
        <v>#NAME?</v>
      </c>
      <c r="I15" s="543" t="e">
        <f ca="1">+G15/H15</f>
        <v>#NAME?</v>
      </c>
      <c r="J15" s="544" t="e">
        <f ca="1">_xll.CIQFUNCTIONS.UDF.CIQ(D15, "IQ_MARKETCAP",$E$5, "USD")</f>
        <v>#NAME?</v>
      </c>
      <c r="K15" s="544" t="e">
        <f ca="1">_xll.CIQFUNCTIONS.UDF.CIQ(D15, "IQ_TEV",$E$5, "USD")</f>
        <v>#NAME?</v>
      </c>
      <c r="M15" s="545" t="str">
        <f ca="1">IFERROR($K15/AO15,"NA")</f>
        <v>NA</v>
      </c>
      <c r="N15" s="545" t="str">
        <f ca="1">IF(ISERROR(IF(V15&lt;=0,"NA",IF($K15/V15&gt;30,"NM",$K15/V15))),"NA",(IF(V15&lt;=0,"NA",IF($K15/V15&gt;30,"NM",$K15/V15))))</f>
        <v>NA</v>
      </c>
      <c r="O15" s="545" t="str">
        <f ca="1">IFERROR($K15/AP15,"NA")</f>
        <v>NA</v>
      </c>
      <c r="P15" s="545" t="str">
        <f ca="1">IFERROR($K15/AQ15,"NA")</f>
        <v>NA</v>
      </c>
      <c r="Q15" s="545"/>
      <c r="R15" s="546" t="str">
        <f t="shared" ref="R15:R25" ca="1" si="0">IFERROR($K15/AS15,"NA")</f>
        <v>NA</v>
      </c>
      <c r="S15" s="546" t="str">
        <f t="shared" ref="S15:S25" ca="1" si="1">IFERROR($K15/AU15,"NA")</f>
        <v>NA</v>
      </c>
      <c r="T15" s="546"/>
      <c r="U15" s="518"/>
      <c r="V15" s="544" t="e">
        <f t="shared" ref="V15:V25" ca="1" si="2">AM15</f>
        <v>#NAME?</v>
      </c>
      <c r="W15" s="544" t="e">
        <f t="shared" ref="W15:W25" ca="1" si="3">AS15</f>
        <v>#NAME?</v>
      </c>
      <c r="X15" s="518"/>
      <c r="Y15" s="543" t="str">
        <f ca="1">IFERROR(+AO15/AN15-1,"NA")</f>
        <v>NA</v>
      </c>
      <c r="Z15" s="543" t="str">
        <f ca="1">IFERROR(+AP15/AO15-1,"NA")</f>
        <v>NA</v>
      </c>
      <c r="AA15" s="543" t="str">
        <f ca="1">IFERROR((AP15/AN15)^(1/2)-1,"NA")</f>
        <v>NA</v>
      </c>
      <c r="AB15" s="518"/>
      <c r="AC15" s="543" t="str">
        <f t="shared" ref="AC15:AC25" ca="1" si="4">IFERROR(BC15,"NA")</f>
        <v>NA</v>
      </c>
      <c r="AD15" s="543" t="str">
        <f t="shared" ref="AD15:AD25" ca="1" si="5">IFERROR(BE15,"NA")</f>
        <v>NA</v>
      </c>
      <c r="AE15" s="518"/>
      <c r="AF15" s="543"/>
      <c r="AG15" s="543" t="str">
        <f ca="1">IFERROR(AS15/AM15,"NA")</f>
        <v>NA</v>
      </c>
      <c r="AH15" s="543" t="str">
        <f ca="1">IFERROR(AV15/AP15,"NA")</f>
        <v>NA</v>
      </c>
      <c r="AI15" s="543" t="str">
        <f ca="1">IFERROR(AW15/AQ15,"NA")</f>
        <v>NA</v>
      </c>
      <c r="AM15" s="547" t="e">
        <f ca="1">_xll.CIQFUNCTIONS.UDF.CIQ($D15, "IQ_TOTAL_REV", IQ_LTM, $E$5, , , "USD")</f>
        <v>#NAME?</v>
      </c>
      <c r="AN15" s="547" t="e">
        <f ca="1">_xll.CIQFUNCTIONS.UDF.CIQ($D15, "IQ_REVENUE", $AN$11, , , , "USD")</f>
        <v>#NAME?</v>
      </c>
      <c r="AO15" s="547" t="e">
        <f ca="1">_xll.CIQFUNCTIONS.UDF.CIQ($D15, "IQ_REVENUE", $AO$11, , , , "USD")</f>
        <v>#NAME?</v>
      </c>
      <c r="AP15" s="547" t="e">
        <f ca="1">_xll.CIQFUNCTIONS.UDF.CIQ($D15, "IQ_REVENUE_EST_CIQ", $AP$11, , , , "USD")</f>
        <v>#NAME?</v>
      </c>
      <c r="AQ15" s="547" t="e">
        <f ca="1">_xll.CIQFUNCTIONS.UDF.CIQ($D15, "IQ_REVENUE_EST_CIQ", $AQ$11, , , , "USD")</f>
        <v>#NAME?</v>
      </c>
      <c r="AR15" s="548"/>
      <c r="AS15" s="547" t="e">
        <f ca="1">_xll.CIQFUNCTIONS.UDF.CIQ($D15, "IQ_EBITDA", IQ_LTM, , , , "USD")</f>
        <v>#NAME?</v>
      </c>
      <c r="AT15" s="547" t="e">
        <f ca="1">_xll.CIQFUNCTIONS.UDF.CIQ($D15, "IQ_EBITDA", $AT$11, , , , "USD")</f>
        <v>#NAME?</v>
      </c>
      <c r="AU15" s="547" t="e">
        <f ca="1">_xll.CIQFUNCTIONS.UDF.CIQ($D15, "IQ_EBITDA", $AU$11, , , , "USD")</f>
        <v>#NAME?</v>
      </c>
      <c r="AV15" s="547" t="e">
        <f ca="1">_xll.CIQFUNCTIONS.UDF.CIQ($D15, "IQ_EBITDA_EST_CIQ", $AV$11, , , , "USD")</f>
        <v>#NAME?</v>
      </c>
      <c r="AW15" s="547" t="e">
        <f ca="1">_xll.CIQFUNCTIONS.UDF.CIQ($D15, "IQ_EBITDA_EST_CIQ", $AW$11, , , , "USD")</f>
        <v>#NAME?</v>
      </c>
      <c r="AX15" s="548"/>
      <c r="AY15" s="547" t="e">
        <f ca="1">_xll.CIQFUNCTIONS.UDF.CIQ(D15, "IQ_GP", IQ_LTM)</f>
        <v>#NAME?</v>
      </c>
      <c r="AZ15" s="547" t="e">
        <f ca="1">_xll.CIQFUNCTIONS.UDF.CIQ($D15, "IQ_GP", $AZ$11)</f>
        <v>#NAME?</v>
      </c>
      <c r="BA15" s="547" t="e">
        <f ca="1">_xll.CIQFUNCTIONS.UDF.CIQ($D15, "IQ_GP", $BA$11)</f>
        <v>#NAME?</v>
      </c>
      <c r="BB15" s="549"/>
      <c r="BC15" s="550" t="e">
        <f ca="1">_xll.CIQFUNCTIONS.UDF.CIQ($D15, "IQ_GROSS_MARGIN", IQ_LTM)/100</f>
        <v>#NAME?</v>
      </c>
      <c r="BD15" s="550" t="e">
        <f ca="1">_xll.CIQFUNCTIONS.UDF.CIQ($D15, "IQ_GROSS_MARGIN", $BD$11)/100</f>
        <v>#NAME?</v>
      </c>
      <c r="BE15" s="550" t="e">
        <f ca="1">_xll.CIQFUNCTIONS.UDF.CIQ($D15, "IQ_GROSS_MARGIN", $BE$11)/100</f>
        <v>#NAME?</v>
      </c>
      <c r="BG15" s="2"/>
      <c r="BH15" s="2"/>
    </row>
    <row r="16" spans="1:60" s="511" customFormat="1" x14ac:dyDescent="0.35">
      <c r="A16" s="2"/>
      <c r="B16" s="2"/>
      <c r="D16" s="540" t="s">
        <v>436</v>
      </c>
      <c r="E16" s="541" t="e">
        <f ca="1">_xll.CIQFUNCTIONS.UDF.CIQ(D16, "IQ_COMPANY_NAME")</f>
        <v>#NAME?</v>
      </c>
      <c r="F16" s="541"/>
      <c r="G16" s="542" t="e">
        <f ca="1">_xll.CIQFUNCTIONS.UDF.CIQ(D16, "IQ_LASTSALEPRICE",$E$5, "USD")</f>
        <v>#NAME?</v>
      </c>
      <c r="H16" s="542" t="e">
        <f ca="1">_xll.CIQFUNCTIONS.UDF.CIQ(D16, "IQ_YEARHIGH",$E$5, "USD")</f>
        <v>#NAME?</v>
      </c>
      <c r="I16" s="543" t="e">
        <f t="shared" ref="I16:I25" ca="1" si="6">+G16/H16</f>
        <v>#NAME?</v>
      </c>
      <c r="J16" s="544" t="e">
        <f ca="1">_xll.CIQFUNCTIONS.UDF.CIQ(D16, "IQ_MARKETCAP",$E$5, "USD")</f>
        <v>#NAME?</v>
      </c>
      <c r="K16" s="544" t="e">
        <f ca="1">_xll.CIQFUNCTIONS.UDF.CIQ(D16, "IQ_TEV",$E$5, "USD")</f>
        <v>#NAME?</v>
      </c>
      <c r="M16" s="545" t="str">
        <f t="shared" ref="M16:M25" ca="1" si="7">IFERROR($K16/AO16,"NA")</f>
        <v>NA</v>
      </c>
      <c r="N16" s="545" t="str">
        <f ca="1">IF(ISERROR(IF(V16&lt;=0,"NA",IF($K16/V16&gt;30,"NM",$K16/V16))),"NA",(IF(V16&lt;=0,"NA",IF($K16/V16&gt;30,"NM",$K16/V16))))</f>
        <v>NA</v>
      </c>
      <c r="O16" s="545" t="str">
        <f ca="1">IFERROR($K16/AP16,"NA")</f>
        <v>NA</v>
      </c>
      <c r="P16" s="545" t="str">
        <f ca="1">IFERROR($K16/AQ16,"NA")</f>
        <v>NA</v>
      </c>
      <c r="Q16" s="545"/>
      <c r="R16" s="546" t="str">
        <f t="shared" ca="1" si="0"/>
        <v>NA</v>
      </c>
      <c r="S16" s="546" t="str">
        <f t="shared" ca="1" si="1"/>
        <v>NA</v>
      </c>
      <c r="T16" s="546"/>
      <c r="U16" s="518"/>
      <c r="V16" s="551" t="e">
        <f t="shared" ca="1" si="2"/>
        <v>#NAME?</v>
      </c>
      <c r="W16" s="551" t="e">
        <f t="shared" ca="1" si="3"/>
        <v>#NAME?</v>
      </c>
      <c r="X16" s="518"/>
      <c r="Y16" s="543" t="str">
        <f ca="1">IFERROR(+AO16/AN16-1,"NA")</f>
        <v>NA</v>
      </c>
      <c r="Z16" s="543" t="str">
        <f t="shared" ref="Z16:Z25" ca="1" si="8">IFERROR(+AP16/AO16-1,"NA")</f>
        <v>NA</v>
      </c>
      <c r="AA16" s="543" t="str">
        <f t="shared" ref="AA16:AA25" ca="1" si="9">IFERROR((AP16/AN16)^(1/2)-1,"NA")</f>
        <v>NA</v>
      </c>
      <c r="AB16" s="518"/>
      <c r="AC16" s="543" t="str">
        <f t="shared" ca="1" si="4"/>
        <v>NA</v>
      </c>
      <c r="AD16" s="543" t="str">
        <f t="shared" ca="1" si="5"/>
        <v>NA</v>
      </c>
      <c r="AE16" s="518"/>
      <c r="AF16" s="543"/>
      <c r="AG16" s="543" t="str">
        <f ca="1">IFERROR(AS16/AM16,"NA")</f>
        <v>NA</v>
      </c>
      <c r="AH16" s="543" t="str">
        <f t="shared" ref="AH16:AI25" ca="1" si="10">IFERROR(AV16/AP16,"NA")</f>
        <v>NA</v>
      </c>
      <c r="AI16" s="543" t="str">
        <f ca="1">IFERROR(AW16/AQ16,"NA")</f>
        <v>NA</v>
      </c>
      <c r="AM16" s="547" t="e">
        <f ca="1">_xll.CIQFUNCTIONS.UDF.CIQ($D16, "IQ_TOTAL_REV", IQ_LTM, $E$5, , , "USD")</f>
        <v>#NAME?</v>
      </c>
      <c r="AN16" s="547" t="e">
        <f ca="1">_xll.CIQFUNCTIONS.UDF.CIQ($D16, "IQ_REVENUE", $AN$11, , , , "USD")</f>
        <v>#NAME?</v>
      </c>
      <c r="AO16" s="547" t="e">
        <f ca="1">_xll.CIQFUNCTIONS.UDF.CIQ($D16, "IQ_REVENUE", $AO$11, , , , "USD")</f>
        <v>#NAME?</v>
      </c>
      <c r="AP16" s="547" t="e">
        <f ca="1">_xll.CIQFUNCTIONS.UDF.CIQ($D16, "IQ_REVENUE_EST_CIQ", $AP$11, , , , "USD")</f>
        <v>#NAME?</v>
      </c>
      <c r="AQ16" s="547" t="e">
        <f ca="1">_xll.CIQFUNCTIONS.UDF.CIQ($D16, "IQ_REVENUE_EST_CIQ", $AQ$11, , , , "USD")</f>
        <v>#NAME?</v>
      </c>
      <c r="AR16" s="548"/>
      <c r="AS16" s="547" t="e">
        <f ca="1">_xll.CIQFUNCTIONS.UDF.CIQ($D16, "IQ_EBITDA", IQ_LTM, , , , "USD")</f>
        <v>#NAME?</v>
      </c>
      <c r="AT16" s="547" t="e">
        <f ca="1">_xll.CIQFUNCTIONS.UDF.CIQ($D16, "IQ_EBITDA", $AT$11, , , , "USD")</f>
        <v>#NAME?</v>
      </c>
      <c r="AU16" s="547" t="e">
        <f ca="1">_xll.CIQFUNCTIONS.UDF.CIQ($D16, "IQ_EBITDA", $AU$11, , , , "USD")</f>
        <v>#NAME?</v>
      </c>
      <c r="AV16" s="547" t="e">
        <f ca="1">_xll.CIQFUNCTIONS.UDF.CIQ($D16, "IQ_EBITDA_EST_CIQ", $AV$11, , , , "USD")</f>
        <v>#NAME?</v>
      </c>
      <c r="AW16" s="547" t="e">
        <f ca="1">_xll.CIQFUNCTIONS.UDF.CIQ($D16, "IQ_EBITDA_EST_CIQ", $AW$11, , , , "USD")</f>
        <v>#NAME?</v>
      </c>
      <c r="AX16" s="548"/>
      <c r="AY16" s="547" t="e">
        <f ca="1">_xll.CIQFUNCTIONS.UDF.CIQ(D16, "IQ_GP", IQ_LTM)</f>
        <v>#NAME?</v>
      </c>
      <c r="AZ16" s="547" t="e">
        <f ca="1">_xll.CIQFUNCTIONS.UDF.CIQ($D16, "IQ_GP", $AZ$11)</f>
        <v>#NAME?</v>
      </c>
      <c r="BA16" s="547" t="e">
        <f ca="1">_xll.CIQFUNCTIONS.UDF.CIQ($D16, "IQ_GP", $BA$11)</f>
        <v>#NAME?</v>
      </c>
      <c r="BB16" s="549"/>
      <c r="BC16" s="550" t="e">
        <f ca="1">_xll.CIQFUNCTIONS.UDF.CIQ($D16, "IQ_GROSS_MARGIN", IQ_LTM)/100</f>
        <v>#NAME?</v>
      </c>
      <c r="BD16" s="550" t="e">
        <f ca="1">_xll.CIQFUNCTIONS.UDF.CIQ($D16, "IQ_GROSS_MARGIN", $BD$11)/100</f>
        <v>#NAME?</v>
      </c>
      <c r="BE16" s="550" t="e">
        <f ca="1">_xll.CIQFUNCTIONS.UDF.CIQ($D16, "IQ_GROSS_MARGIN", $BE$11)/100</f>
        <v>#NAME?</v>
      </c>
      <c r="BG16" s="2"/>
      <c r="BH16" s="2"/>
    </row>
    <row r="17" spans="1:60" s="511" customFormat="1" x14ac:dyDescent="0.35">
      <c r="A17" s="2"/>
      <c r="B17" s="2"/>
      <c r="D17" s="540" t="s">
        <v>437</v>
      </c>
      <c r="E17" s="541" t="e">
        <f ca="1">_xll.CIQFUNCTIONS.UDF.CIQ(D17, "IQ_COMPANY_NAME")</f>
        <v>#NAME?</v>
      </c>
      <c r="F17" s="541"/>
      <c r="G17" s="542" t="e">
        <f ca="1">_xll.CIQFUNCTIONS.UDF.CIQ(D17, "IQ_LASTSALEPRICE",$E$5, "USD")</f>
        <v>#NAME?</v>
      </c>
      <c r="H17" s="542" t="e">
        <f ca="1">_xll.CIQFUNCTIONS.UDF.CIQ(D17, "IQ_YEARHIGH",$E$5, "USD")</f>
        <v>#NAME?</v>
      </c>
      <c r="I17" s="543" t="e">
        <f t="shared" ca="1" si="6"/>
        <v>#NAME?</v>
      </c>
      <c r="J17" s="544" t="e">
        <f ca="1">_xll.CIQFUNCTIONS.UDF.CIQ(D17, "IQ_MARKETCAP",$E$5, "USD")</f>
        <v>#NAME?</v>
      </c>
      <c r="K17" s="544" t="e">
        <f ca="1">_xll.CIQFUNCTIONS.UDF.CIQ(D17, "IQ_TEV",$E$5, "USD")</f>
        <v>#NAME?</v>
      </c>
      <c r="M17" s="545" t="str">
        <f ca="1">IFERROR($K17/AO17,"NA")</f>
        <v>NA</v>
      </c>
      <c r="N17" s="545" t="str">
        <f t="shared" ref="N17:N25" ca="1" si="11">IF(ISERROR(IF(V17&lt;=0,"NA",IF($K17/V17&gt;30,"NM",$K17/V17))),"NA",(IF(V17&lt;=0,"NA",IF($K17/V17&gt;30,"NM",$K17/V17))))</f>
        <v>NA</v>
      </c>
      <c r="O17" s="545" t="str">
        <f t="shared" ref="O17:P25" ca="1" si="12">IFERROR($K17/AP17,"NA")</f>
        <v>NA</v>
      </c>
      <c r="P17" s="545" t="str">
        <f t="shared" ca="1" si="12"/>
        <v>NA</v>
      </c>
      <c r="Q17" s="545"/>
      <c r="R17" s="546" t="str">
        <f t="shared" ca="1" si="0"/>
        <v>NA</v>
      </c>
      <c r="S17" s="546" t="str">
        <f t="shared" ca="1" si="1"/>
        <v>NA</v>
      </c>
      <c r="T17" s="546"/>
      <c r="U17" s="518"/>
      <c r="V17" s="551" t="e">
        <f t="shared" ca="1" si="2"/>
        <v>#NAME?</v>
      </c>
      <c r="W17" s="551" t="e">
        <f t="shared" ca="1" si="3"/>
        <v>#NAME?</v>
      </c>
      <c r="X17" s="518"/>
      <c r="Y17" s="543" t="str">
        <f t="shared" ref="Y17:Y25" ca="1" si="13">IFERROR(+AO17/AN17-1,"NA")</f>
        <v>NA</v>
      </c>
      <c r="Z17" s="543" t="str">
        <f t="shared" ca="1" si="8"/>
        <v>NA</v>
      </c>
      <c r="AA17" s="543" t="str">
        <f t="shared" ca="1" si="9"/>
        <v>NA</v>
      </c>
      <c r="AB17" s="518"/>
      <c r="AC17" s="543" t="str">
        <f t="shared" ca="1" si="4"/>
        <v>NA</v>
      </c>
      <c r="AD17" s="543" t="str">
        <f t="shared" ca="1" si="5"/>
        <v>NA</v>
      </c>
      <c r="AE17" s="518"/>
      <c r="AF17" s="543"/>
      <c r="AG17" s="543" t="str">
        <f t="shared" ref="AG17:AG25" ca="1" si="14">IFERROR(AS17/AM17,"NA")</f>
        <v>NA</v>
      </c>
      <c r="AH17" s="543" t="str">
        <f t="shared" ca="1" si="10"/>
        <v>NA</v>
      </c>
      <c r="AI17" s="543" t="str">
        <f t="shared" ca="1" si="10"/>
        <v>NA</v>
      </c>
      <c r="AM17" s="547" t="e">
        <f ca="1">_xll.CIQFUNCTIONS.UDF.CIQ($D17, "IQ_TOTAL_REV", IQ_LTM, $E$5, , , "USD")</f>
        <v>#NAME?</v>
      </c>
      <c r="AN17" s="547" t="e">
        <f ca="1">_xll.CIQFUNCTIONS.UDF.CIQ($D17, "IQ_REVENUE", $AN$11, , , , "USD")</f>
        <v>#NAME?</v>
      </c>
      <c r="AO17" s="547" t="e">
        <f ca="1">_xll.CIQFUNCTIONS.UDF.CIQ($D17, "IQ_REVENUE", $AO$11, , , , "USD")</f>
        <v>#NAME?</v>
      </c>
      <c r="AP17" s="547" t="e">
        <f ca="1">_xll.CIQFUNCTIONS.UDF.CIQ($D17, "IQ_REVENUE_EST_CIQ", $AP$11, , , , "USD")</f>
        <v>#NAME?</v>
      </c>
      <c r="AQ17" s="547" t="e">
        <f ca="1">_xll.CIQFUNCTIONS.UDF.CIQ($D17, "IQ_REVENUE_EST_CIQ", $AQ$11, , , , "USD")</f>
        <v>#NAME?</v>
      </c>
      <c r="AR17" s="548"/>
      <c r="AS17" s="547" t="e">
        <f ca="1">_xll.CIQFUNCTIONS.UDF.CIQ($D17, "IQ_EBITDA", IQ_LTM, , , , "USD")</f>
        <v>#NAME?</v>
      </c>
      <c r="AT17" s="547" t="e">
        <f ca="1">_xll.CIQFUNCTIONS.UDF.CIQ($D17, "IQ_EBITDA", $AT$11, , , , "USD")</f>
        <v>#NAME?</v>
      </c>
      <c r="AU17" s="547" t="e">
        <f ca="1">_xll.CIQFUNCTIONS.UDF.CIQ($D17, "IQ_EBITDA", $AU$11, , , , "USD")</f>
        <v>#NAME?</v>
      </c>
      <c r="AV17" s="547" t="e">
        <f ca="1">_xll.CIQFUNCTIONS.UDF.CIQ($D17, "IQ_EBITDA_EST_CIQ", $AV$11, , , , "USD")</f>
        <v>#NAME?</v>
      </c>
      <c r="AW17" s="547" t="e">
        <f ca="1">_xll.CIQFUNCTIONS.UDF.CIQ($D17, "IQ_EBITDA_EST_CIQ", $AW$11, , , , "USD")</f>
        <v>#NAME?</v>
      </c>
      <c r="AX17" s="548"/>
      <c r="AY17" s="547" t="e">
        <f ca="1">_xll.CIQFUNCTIONS.UDF.CIQ(D17, "IQ_GP", IQ_LTM)</f>
        <v>#NAME?</v>
      </c>
      <c r="AZ17" s="547" t="e">
        <f ca="1">_xll.CIQFUNCTIONS.UDF.CIQ($D17, "IQ_GP", $AZ$11)</f>
        <v>#NAME?</v>
      </c>
      <c r="BA17" s="547" t="e">
        <f ca="1">_xll.CIQFUNCTIONS.UDF.CIQ($D17, "IQ_GP", $BA$11)</f>
        <v>#NAME?</v>
      </c>
      <c r="BB17" s="549"/>
      <c r="BC17" s="550" t="e">
        <f ca="1">_xll.CIQFUNCTIONS.UDF.CIQ($D17, "IQ_GROSS_MARGIN", IQ_LTM)/100</f>
        <v>#NAME?</v>
      </c>
      <c r="BD17" s="550" t="e">
        <f ca="1">_xll.CIQFUNCTIONS.UDF.CIQ($D17, "IQ_GROSS_MARGIN", $BD$11)/100</f>
        <v>#NAME?</v>
      </c>
      <c r="BE17" s="550" t="e">
        <f ca="1">_xll.CIQFUNCTIONS.UDF.CIQ($D17, "IQ_GROSS_MARGIN", $BE$11)/100</f>
        <v>#NAME?</v>
      </c>
      <c r="BG17" s="2"/>
      <c r="BH17" s="2"/>
    </row>
    <row r="18" spans="1:60" s="511" customFormat="1" x14ac:dyDescent="0.35">
      <c r="A18" s="2"/>
      <c r="B18" s="2"/>
      <c r="D18" s="540" t="s">
        <v>438</v>
      </c>
      <c r="E18" s="541" t="e">
        <f ca="1">_xll.CIQFUNCTIONS.UDF.CIQ(D18, "IQ_COMPANY_NAME")</f>
        <v>#NAME?</v>
      </c>
      <c r="F18" s="541"/>
      <c r="G18" s="542" t="e">
        <f ca="1">_xll.CIQFUNCTIONS.UDF.CIQ(D18, "IQ_LASTSALEPRICE",$E$5, "USD")</f>
        <v>#NAME?</v>
      </c>
      <c r="H18" s="542" t="e">
        <f ca="1">_xll.CIQFUNCTIONS.UDF.CIQ(D18, "IQ_YEARHIGH",$E$5, "USD")</f>
        <v>#NAME?</v>
      </c>
      <c r="I18" s="543" t="e">
        <f t="shared" ca="1" si="6"/>
        <v>#NAME?</v>
      </c>
      <c r="J18" s="544" t="e">
        <f ca="1">_xll.CIQFUNCTIONS.UDF.CIQ(D18, "IQ_MARKETCAP",$E$5, "USD")</f>
        <v>#NAME?</v>
      </c>
      <c r="K18" s="544" t="e">
        <f ca="1">_xll.CIQFUNCTIONS.UDF.CIQ(D18, "IQ_TEV",$E$5, "USD")</f>
        <v>#NAME?</v>
      </c>
      <c r="M18" s="545" t="str">
        <f t="shared" ca="1" si="7"/>
        <v>NA</v>
      </c>
      <c r="N18" s="545" t="str">
        <f t="shared" ca="1" si="11"/>
        <v>NA</v>
      </c>
      <c r="O18" s="545" t="str">
        <f t="shared" ca="1" si="12"/>
        <v>NA</v>
      </c>
      <c r="P18" s="545" t="str">
        <f t="shared" ca="1" si="12"/>
        <v>NA</v>
      </c>
      <c r="Q18" s="545"/>
      <c r="R18" s="546" t="str">
        <f t="shared" ca="1" si="0"/>
        <v>NA</v>
      </c>
      <c r="S18" s="546" t="str">
        <f t="shared" ca="1" si="1"/>
        <v>NA</v>
      </c>
      <c r="T18" s="546"/>
      <c r="U18" s="518"/>
      <c r="V18" s="551" t="e">
        <f t="shared" ca="1" si="2"/>
        <v>#NAME?</v>
      </c>
      <c r="W18" s="551" t="e">
        <f t="shared" ca="1" si="3"/>
        <v>#NAME?</v>
      </c>
      <c r="X18" s="518"/>
      <c r="Y18" s="543" t="str">
        <f t="shared" ca="1" si="13"/>
        <v>NA</v>
      </c>
      <c r="Z18" s="543" t="str">
        <f t="shared" ca="1" si="8"/>
        <v>NA</v>
      </c>
      <c r="AA18" s="543" t="str">
        <f t="shared" ca="1" si="9"/>
        <v>NA</v>
      </c>
      <c r="AB18" s="518"/>
      <c r="AC18" s="543" t="str">
        <f t="shared" ca="1" si="4"/>
        <v>NA</v>
      </c>
      <c r="AD18" s="543" t="str">
        <f t="shared" ca="1" si="5"/>
        <v>NA</v>
      </c>
      <c r="AE18" s="518"/>
      <c r="AF18" s="543"/>
      <c r="AG18" s="543" t="str">
        <f t="shared" ca="1" si="14"/>
        <v>NA</v>
      </c>
      <c r="AH18" s="543" t="str">
        <f t="shared" ca="1" si="10"/>
        <v>NA</v>
      </c>
      <c r="AI18" s="543" t="str">
        <f t="shared" ca="1" si="10"/>
        <v>NA</v>
      </c>
      <c r="AM18" s="547" t="e">
        <f ca="1">_xll.CIQFUNCTIONS.UDF.CIQ($D18, "IQ_TOTAL_REV", IQ_LTM, $E$5, , , "USD")</f>
        <v>#NAME?</v>
      </c>
      <c r="AN18" s="547" t="e">
        <f ca="1">_xll.CIQFUNCTIONS.UDF.CIQ($D18, "IQ_REVENUE", $AN$11, , , , "USD")</f>
        <v>#NAME?</v>
      </c>
      <c r="AO18" s="547" t="e">
        <f ca="1">_xll.CIQFUNCTIONS.UDF.CIQ($D18, "IQ_REVENUE", $AO$11, , , , "USD")</f>
        <v>#NAME?</v>
      </c>
      <c r="AP18" s="547" t="e">
        <f ca="1">_xll.CIQFUNCTIONS.UDF.CIQ($D18, "IQ_REVENUE_EST_CIQ", $AP$11, , , , "USD")</f>
        <v>#NAME?</v>
      </c>
      <c r="AQ18" s="547" t="e">
        <f ca="1">_xll.CIQFUNCTIONS.UDF.CIQ($D18, "IQ_REVENUE_EST_CIQ", $AQ$11, , , , "USD")</f>
        <v>#NAME?</v>
      </c>
      <c r="AR18" s="548"/>
      <c r="AS18" s="547" t="e">
        <f ca="1">_xll.CIQFUNCTIONS.UDF.CIQ($D18, "IQ_EBITDA", IQ_LTM, , , , "USD")</f>
        <v>#NAME?</v>
      </c>
      <c r="AT18" s="547" t="e">
        <f ca="1">_xll.CIQFUNCTIONS.UDF.CIQ($D18, "IQ_EBITDA", $AT$11, , , , "USD")</f>
        <v>#NAME?</v>
      </c>
      <c r="AU18" s="547" t="e">
        <f ca="1">_xll.CIQFUNCTIONS.UDF.CIQ($D18, "IQ_EBITDA", $AU$11, , , , "USD")</f>
        <v>#NAME?</v>
      </c>
      <c r="AV18" s="547" t="e">
        <f ca="1">_xll.CIQFUNCTIONS.UDF.CIQ($D18, "IQ_EBITDA_EST_CIQ", $AV$11, , , , "USD")</f>
        <v>#NAME?</v>
      </c>
      <c r="AW18" s="547" t="e">
        <f ca="1">_xll.CIQFUNCTIONS.UDF.CIQ($D18, "IQ_EBITDA_EST_CIQ", $AW$11, , , , "USD")</f>
        <v>#NAME?</v>
      </c>
      <c r="AX18" s="548"/>
      <c r="AY18" s="547" t="e">
        <f ca="1">_xll.CIQFUNCTIONS.UDF.CIQ(D18, "IQ_GP", IQ_LTM)</f>
        <v>#NAME?</v>
      </c>
      <c r="AZ18" s="547" t="e">
        <f ca="1">_xll.CIQFUNCTIONS.UDF.CIQ($D18, "IQ_GP", $AZ$11)</f>
        <v>#NAME?</v>
      </c>
      <c r="BA18" s="547" t="e">
        <f ca="1">_xll.CIQFUNCTIONS.UDF.CIQ($D18, "IQ_GP", $BA$11)</f>
        <v>#NAME?</v>
      </c>
      <c r="BB18" s="549"/>
      <c r="BC18" s="550" t="e">
        <f ca="1">_xll.CIQFUNCTIONS.UDF.CIQ($D18, "IQ_GROSS_MARGIN", IQ_LTM)/100</f>
        <v>#NAME?</v>
      </c>
      <c r="BD18" s="550" t="e">
        <f ca="1">_xll.CIQFUNCTIONS.UDF.CIQ($D18, "IQ_GROSS_MARGIN", $BD$11)/100</f>
        <v>#NAME?</v>
      </c>
      <c r="BE18" s="550" t="e">
        <f ca="1">_xll.CIQFUNCTIONS.UDF.CIQ($D18, "IQ_GROSS_MARGIN", $BE$11)/100</f>
        <v>#NAME?</v>
      </c>
      <c r="BG18" s="2"/>
      <c r="BH18" s="2"/>
    </row>
    <row r="19" spans="1:60" s="511" customFormat="1" x14ac:dyDescent="0.35">
      <c r="A19" s="2"/>
      <c r="B19" s="2"/>
      <c r="D19" s="540" t="s">
        <v>439</v>
      </c>
      <c r="E19" s="541" t="e">
        <f ca="1">_xll.CIQFUNCTIONS.UDF.CIQ(D19, "IQ_COMPANY_NAME")</f>
        <v>#NAME?</v>
      </c>
      <c r="F19" s="541"/>
      <c r="G19" s="542" t="e">
        <f ca="1">_xll.CIQFUNCTIONS.UDF.CIQ(D19, "IQ_LASTSALEPRICE",$E$5, "USD")</f>
        <v>#NAME?</v>
      </c>
      <c r="H19" s="542" t="e">
        <f ca="1">_xll.CIQFUNCTIONS.UDF.CIQ(D19, "IQ_YEARHIGH",$E$5, "USD")</f>
        <v>#NAME?</v>
      </c>
      <c r="I19" s="543" t="e">
        <f t="shared" ca="1" si="6"/>
        <v>#NAME?</v>
      </c>
      <c r="J19" s="544" t="e">
        <f ca="1">_xll.CIQFUNCTIONS.UDF.CIQ(D19, "IQ_MARKETCAP",$E$5, "USD")</f>
        <v>#NAME?</v>
      </c>
      <c r="K19" s="544" t="e">
        <f ca="1">_xll.CIQFUNCTIONS.UDF.CIQ(D19, "IQ_TEV",$E$5, "USD")</f>
        <v>#NAME?</v>
      </c>
      <c r="M19" s="545" t="str">
        <f t="shared" ca="1" si="7"/>
        <v>NA</v>
      </c>
      <c r="N19" s="545" t="str">
        <f t="shared" ca="1" si="11"/>
        <v>NA</v>
      </c>
      <c r="O19" s="545" t="str">
        <f t="shared" ca="1" si="12"/>
        <v>NA</v>
      </c>
      <c r="P19" s="545" t="str">
        <f t="shared" ca="1" si="12"/>
        <v>NA</v>
      </c>
      <c r="Q19" s="545"/>
      <c r="R19" s="546" t="str">
        <f t="shared" ca="1" si="0"/>
        <v>NA</v>
      </c>
      <c r="S19" s="546" t="str">
        <f t="shared" ca="1" si="1"/>
        <v>NA</v>
      </c>
      <c r="T19" s="546"/>
      <c r="U19" s="518"/>
      <c r="V19" s="551" t="e">
        <f t="shared" ca="1" si="2"/>
        <v>#NAME?</v>
      </c>
      <c r="W19" s="551" t="e">
        <f t="shared" ca="1" si="3"/>
        <v>#NAME?</v>
      </c>
      <c r="X19" s="518"/>
      <c r="Y19" s="543" t="str">
        <f t="shared" ca="1" si="13"/>
        <v>NA</v>
      </c>
      <c r="Z19" s="543" t="str">
        <f t="shared" ca="1" si="8"/>
        <v>NA</v>
      </c>
      <c r="AA19" s="543" t="str">
        <f t="shared" ca="1" si="9"/>
        <v>NA</v>
      </c>
      <c r="AB19" s="518"/>
      <c r="AC19" s="543" t="str">
        <f t="shared" ca="1" si="4"/>
        <v>NA</v>
      </c>
      <c r="AD19" s="543" t="str">
        <f t="shared" ca="1" si="5"/>
        <v>NA</v>
      </c>
      <c r="AE19" s="518"/>
      <c r="AF19" s="543"/>
      <c r="AG19" s="543" t="str">
        <f t="shared" ca="1" si="14"/>
        <v>NA</v>
      </c>
      <c r="AH19" s="543" t="str">
        <f t="shared" ca="1" si="10"/>
        <v>NA</v>
      </c>
      <c r="AI19" s="543" t="str">
        <f t="shared" ca="1" si="10"/>
        <v>NA</v>
      </c>
      <c r="AM19" s="547" t="e">
        <f ca="1">_xll.CIQFUNCTIONS.UDF.CIQ($D19, "IQ_TOTAL_REV", IQ_LTM, $E$5, , , "USD")</f>
        <v>#NAME?</v>
      </c>
      <c r="AN19" s="547" t="e">
        <f ca="1">_xll.CIQFUNCTIONS.UDF.CIQ($D19, "IQ_REVENUE", $AN$11, , , , "USD")</f>
        <v>#NAME?</v>
      </c>
      <c r="AO19" s="547" t="e">
        <f ca="1">_xll.CIQFUNCTIONS.UDF.CIQ($D19, "IQ_REVENUE", $AO$11, , , , "USD")</f>
        <v>#NAME?</v>
      </c>
      <c r="AP19" s="547" t="e">
        <f ca="1">_xll.CIQFUNCTIONS.UDF.CIQ($D19, "IQ_REVENUE_EST_CIQ", $AP$11, , , , "USD")</f>
        <v>#NAME?</v>
      </c>
      <c r="AQ19" s="547" t="e">
        <f ca="1">_xll.CIQFUNCTIONS.UDF.CIQ($D19, "IQ_REVENUE_EST_CIQ", $AQ$11, , , , "USD")</f>
        <v>#NAME?</v>
      </c>
      <c r="AR19" s="548"/>
      <c r="AS19" s="547" t="e">
        <f ca="1">_xll.CIQFUNCTIONS.UDF.CIQ($D19, "IQ_EBITDA", IQ_LTM, , , , "USD")</f>
        <v>#NAME?</v>
      </c>
      <c r="AT19" s="547" t="e">
        <f ca="1">_xll.CIQFUNCTIONS.UDF.CIQ($D19, "IQ_EBITDA", $AT$11, , , , "USD")</f>
        <v>#NAME?</v>
      </c>
      <c r="AU19" s="547" t="e">
        <f ca="1">_xll.CIQFUNCTIONS.UDF.CIQ($D19, "IQ_EBITDA", $AU$11, , , , "USD")</f>
        <v>#NAME?</v>
      </c>
      <c r="AV19" s="547" t="e">
        <f ca="1">_xll.CIQFUNCTIONS.UDF.CIQ($D19, "IQ_EBITDA_EST_CIQ", $AV$11, , , , "USD")</f>
        <v>#NAME?</v>
      </c>
      <c r="AW19" s="547" t="e">
        <f ca="1">_xll.CIQFUNCTIONS.UDF.CIQ($D19, "IQ_EBITDA_EST_CIQ", $AW$11, , , , "USD")</f>
        <v>#NAME?</v>
      </c>
      <c r="AX19" s="548"/>
      <c r="AY19" s="547" t="e">
        <f ca="1">_xll.CIQFUNCTIONS.UDF.CIQ(D19, "IQ_GP", IQ_LTM)</f>
        <v>#NAME?</v>
      </c>
      <c r="AZ19" s="547" t="e">
        <f ca="1">_xll.CIQFUNCTIONS.UDF.CIQ($D19, "IQ_GP", $AZ$11)</f>
        <v>#NAME?</v>
      </c>
      <c r="BA19" s="547" t="e">
        <f ca="1">_xll.CIQFUNCTIONS.UDF.CIQ($D19, "IQ_GP", $BA$11)</f>
        <v>#NAME?</v>
      </c>
      <c r="BB19" s="549"/>
      <c r="BC19" s="550" t="e">
        <f ca="1">_xll.CIQFUNCTIONS.UDF.CIQ($D19, "IQ_GROSS_MARGIN", IQ_LTM)/100</f>
        <v>#NAME?</v>
      </c>
      <c r="BD19" s="550" t="e">
        <f ca="1">_xll.CIQFUNCTIONS.UDF.CIQ($D19, "IQ_GROSS_MARGIN", $BD$11)/100</f>
        <v>#NAME?</v>
      </c>
      <c r="BE19" s="550" t="e">
        <f ca="1">_xll.CIQFUNCTIONS.UDF.CIQ($D19, "IQ_GROSS_MARGIN", $BE$11)/100</f>
        <v>#NAME?</v>
      </c>
      <c r="BG19" s="2"/>
      <c r="BH19" s="2"/>
    </row>
    <row r="20" spans="1:60" s="511" customFormat="1" x14ac:dyDescent="0.35">
      <c r="A20" s="2"/>
      <c r="B20" s="2"/>
      <c r="D20" s="540" t="s">
        <v>440</v>
      </c>
      <c r="E20" s="541" t="e">
        <f ca="1">_xll.CIQFUNCTIONS.UDF.CIQ(D20, "IQ_COMPANY_NAME")</f>
        <v>#NAME?</v>
      </c>
      <c r="F20" s="541"/>
      <c r="G20" s="542" t="e">
        <f ca="1">_xll.CIQFUNCTIONS.UDF.CIQ(D20, "IQ_LASTSALEPRICE",$E$5, "USD")</f>
        <v>#NAME?</v>
      </c>
      <c r="H20" s="542" t="e">
        <f ca="1">_xll.CIQFUNCTIONS.UDF.CIQ(D20, "IQ_YEARHIGH",$E$5, "USD")</f>
        <v>#NAME?</v>
      </c>
      <c r="I20" s="543" t="e">
        <f t="shared" ca="1" si="6"/>
        <v>#NAME?</v>
      </c>
      <c r="J20" s="544" t="e">
        <f ca="1">_xll.CIQFUNCTIONS.UDF.CIQ(D20, "IQ_MARKETCAP",$E$5, "USD")</f>
        <v>#NAME?</v>
      </c>
      <c r="K20" s="544" t="e">
        <f ca="1">_xll.CIQFUNCTIONS.UDF.CIQ(D20, "IQ_TEV",$E$5, "USD")</f>
        <v>#NAME?</v>
      </c>
      <c r="M20" s="545" t="str">
        <f t="shared" ca="1" si="7"/>
        <v>NA</v>
      </c>
      <c r="N20" s="545" t="str">
        <f t="shared" ca="1" si="11"/>
        <v>NA</v>
      </c>
      <c r="O20" s="545" t="str">
        <f t="shared" ca="1" si="12"/>
        <v>NA</v>
      </c>
      <c r="P20" s="545" t="str">
        <f t="shared" ca="1" si="12"/>
        <v>NA</v>
      </c>
      <c r="Q20" s="545"/>
      <c r="R20" s="546" t="str">
        <f t="shared" ca="1" si="0"/>
        <v>NA</v>
      </c>
      <c r="S20" s="546" t="str">
        <f t="shared" ca="1" si="1"/>
        <v>NA</v>
      </c>
      <c r="T20" s="546"/>
      <c r="U20" s="518"/>
      <c r="V20" s="551" t="e">
        <f t="shared" ca="1" si="2"/>
        <v>#NAME?</v>
      </c>
      <c r="W20" s="551" t="e">
        <f t="shared" ca="1" si="3"/>
        <v>#NAME?</v>
      </c>
      <c r="X20" s="518"/>
      <c r="Y20" s="543" t="str">
        <f t="shared" ca="1" si="13"/>
        <v>NA</v>
      </c>
      <c r="Z20" s="543" t="str">
        <f t="shared" ca="1" si="8"/>
        <v>NA</v>
      </c>
      <c r="AA20" s="543" t="str">
        <f t="shared" ca="1" si="9"/>
        <v>NA</v>
      </c>
      <c r="AB20" s="518"/>
      <c r="AC20" s="543" t="str">
        <f t="shared" ca="1" si="4"/>
        <v>NA</v>
      </c>
      <c r="AD20" s="543" t="str">
        <f t="shared" ca="1" si="5"/>
        <v>NA</v>
      </c>
      <c r="AE20" s="518"/>
      <c r="AF20" s="543"/>
      <c r="AG20" s="543" t="str">
        <f t="shared" ca="1" si="14"/>
        <v>NA</v>
      </c>
      <c r="AH20" s="543" t="str">
        <f t="shared" ca="1" si="10"/>
        <v>NA</v>
      </c>
      <c r="AI20" s="543" t="str">
        <f t="shared" ca="1" si="10"/>
        <v>NA</v>
      </c>
      <c r="AM20" s="547" t="e">
        <f ca="1">_xll.CIQFUNCTIONS.UDF.CIQ($D20, "IQ_TOTAL_REV", IQ_LTM, $E$5, , , "USD")</f>
        <v>#NAME?</v>
      </c>
      <c r="AN20" s="547" t="e">
        <f ca="1">_xll.CIQFUNCTIONS.UDF.CIQ($D20, "IQ_REVENUE", $AN$11, , , , "USD")</f>
        <v>#NAME?</v>
      </c>
      <c r="AO20" s="547" t="e">
        <f ca="1">_xll.CIQFUNCTIONS.UDF.CIQ($D20, "IQ_REVENUE", $AO$11, , , , "USD")</f>
        <v>#NAME?</v>
      </c>
      <c r="AP20" s="547" t="e">
        <f ca="1">_xll.CIQFUNCTIONS.UDF.CIQ($D20, "IQ_REVENUE_EST_CIQ", $AP$11, , , , "USD")</f>
        <v>#NAME?</v>
      </c>
      <c r="AQ20" s="547" t="e">
        <f ca="1">_xll.CIQFUNCTIONS.UDF.CIQ($D20, "IQ_REVENUE_EST_CIQ", $AQ$11, , , , "USD")</f>
        <v>#NAME?</v>
      </c>
      <c r="AR20" s="548"/>
      <c r="AS20" s="547" t="e">
        <f ca="1">_xll.CIQFUNCTIONS.UDF.CIQ($D20, "IQ_EBITDA", IQ_LTM, , , , "USD")</f>
        <v>#NAME?</v>
      </c>
      <c r="AT20" s="547" t="e">
        <f ca="1">_xll.CIQFUNCTIONS.UDF.CIQ($D20, "IQ_EBITDA", $AT$11, , , , "USD")</f>
        <v>#NAME?</v>
      </c>
      <c r="AU20" s="547" t="e">
        <f ca="1">_xll.CIQFUNCTIONS.UDF.CIQ($D20, "IQ_EBITDA", $AU$11, , , , "USD")</f>
        <v>#NAME?</v>
      </c>
      <c r="AV20" s="547" t="e">
        <f ca="1">_xll.CIQFUNCTIONS.UDF.CIQ($D20, "IQ_EBITDA_EST_CIQ", $AV$11, , , , "USD")</f>
        <v>#NAME?</v>
      </c>
      <c r="AW20" s="547" t="e">
        <f ca="1">_xll.CIQFUNCTIONS.UDF.CIQ($D20, "IQ_EBITDA_EST_CIQ", $AW$11, , , , "USD")</f>
        <v>#NAME?</v>
      </c>
      <c r="AX20" s="548"/>
      <c r="AY20" s="547" t="e">
        <f ca="1">_xll.CIQFUNCTIONS.UDF.CIQ(D20, "IQ_GP", IQ_LTM)</f>
        <v>#NAME?</v>
      </c>
      <c r="AZ20" s="547" t="e">
        <f ca="1">_xll.CIQFUNCTIONS.UDF.CIQ($D20, "IQ_GP", $AZ$11)</f>
        <v>#NAME?</v>
      </c>
      <c r="BA20" s="547" t="e">
        <f ca="1">_xll.CIQFUNCTIONS.UDF.CIQ($D20, "IQ_GP", $BA$11)</f>
        <v>#NAME?</v>
      </c>
      <c r="BB20" s="549"/>
      <c r="BC20" s="550" t="e">
        <f ca="1">_xll.CIQFUNCTIONS.UDF.CIQ($D20, "IQ_GROSS_MARGIN", IQ_LTM)/100</f>
        <v>#NAME?</v>
      </c>
      <c r="BD20" s="550" t="e">
        <f ca="1">_xll.CIQFUNCTIONS.UDF.CIQ($D20, "IQ_GROSS_MARGIN", $BD$11)/100</f>
        <v>#NAME?</v>
      </c>
      <c r="BE20" s="550" t="e">
        <f ca="1">_xll.CIQFUNCTIONS.UDF.CIQ($D20, "IQ_GROSS_MARGIN", $BE$11)/100</f>
        <v>#NAME?</v>
      </c>
      <c r="BG20" s="2"/>
      <c r="BH20" s="2"/>
    </row>
    <row r="21" spans="1:60" s="511" customFormat="1" x14ac:dyDescent="0.35">
      <c r="A21" s="2"/>
      <c r="B21" s="2"/>
      <c r="D21" s="540"/>
      <c r="E21" s="541" t="e">
        <f ca="1">_xll.CIQFUNCTIONS.UDF.CIQ(D21, "IQ_COMPANY_NAME")</f>
        <v>#NAME?</v>
      </c>
      <c r="F21" s="541"/>
      <c r="G21" s="542" t="e">
        <f ca="1">_xll.CIQFUNCTIONS.UDF.CIQ(D21, "IQ_LASTSALEPRICE",$E$5, "USD")</f>
        <v>#NAME?</v>
      </c>
      <c r="H21" s="542" t="e">
        <f ca="1">_xll.CIQFUNCTIONS.UDF.CIQ(D21, "IQ_YEARHIGH",$E$5, "USD")</f>
        <v>#NAME?</v>
      </c>
      <c r="I21" s="543" t="e">
        <f t="shared" ca="1" si="6"/>
        <v>#NAME?</v>
      </c>
      <c r="J21" s="544" t="e">
        <f ca="1">_xll.CIQFUNCTIONS.UDF.CIQ(D21, "IQ_MARKETCAP",$E$5, "USD")</f>
        <v>#NAME?</v>
      </c>
      <c r="K21" s="544" t="e">
        <f ca="1">_xll.CIQFUNCTIONS.UDF.CIQ(D21, "IQ_TEV",$E$5, "USD")</f>
        <v>#NAME?</v>
      </c>
      <c r="M21" s="545" t="str">
        <f t="shared" ca="1" si="7"/>
        <v>NA</v>
      </c>
      <c r="N21" s="545" t="str">
        <f t="shared" ca="1" si="11"/>
        <v>NA</v>
      </c>
      <c r="O21" s="545" t="str">
        <f t="shared" ca="1" si="12"/>
        <v>NA</v>
      </c>
      <c r="P21" s="545" t="str">
        <f t="shared" ca="1" si="12"/>
        <v>NA</v>
      </c>
      <c r="Q21" s="545"/>
      <c r="R21" s="546" t="str">
        <f t="shared" ca="1" si="0"/>
        <v>NA</v>
      </c>
      <c r="S21" s="546" t="str">
        <f t="shared" ca="1" si="1"/>
        <v>NA</v>
      </c>
      <c r="T21" s="546"/>
      <c r="U21" s="518"/>
      <c r="V21" s="551" t="e">
        <f t="shared" ca="1" si="2"/>
        <v>#NAME?</v>
      </c>
      <c r="W21" s="551" t="e">
        <f t="shared" ca="1" si="3"/>
        <v>#NAME?</v>
      </c>
      <c r="X21" s="518"/>
      <c r="Y21" s="543" t="str">
        <f t="shared" ca="1" si="13"/>
        <v>NA</v>
      </c>
      <c r="Z21" s="543" t="str">
        <f t="shared" ca="1" si="8"/>
        <v>NA</v>
      </c>
      <c r="AA21" s="543" t="str">
        <f t="shared" ca="1" si="9"/>
        <v>NA</v>
      </c>
      <c r="AB21" s="518"/>
      <c r="AC21" s="543" t="str">
        <f t="shared" ca="1" si="4"/>
        <v>NA</v>
      </c>
      <c r="AD21" s="543" t="str">
        <f t="shared" ca="1" si="5"/>
        <v>NA</v>
      </c>
      <c r="AE21" s="518"/>
      <c r="AF21" s="543"/>
      <c r="AG21" s="543" t="str">
        <f t="shared" ca="1" si="14"/>
        <v>NA</v>
      </c>
      <c r="AH21" s="543" t="str">
        <f t="shared" ca="1" si="10"/>
        <v>NA</v>
      </c>
      <c r="AI21" s="543" t="str">
        <f t="shared" ca="1" si="10"/>
        <v>NA</v>
      </c>
      <c r="AM21" s="547" t="e">
        <f ca="1">_xll.CIQFUNCTIONS.UDF.CIQ($D21, "IQ_TOTAL_REV", IQ_LTM, $E$5, , , "USD")</f>
        <v>#NAME?</v>
      </c>
      <c r="AN21" s="547" t="e">
        <f ca="1">_xll.CIQFUNCTIONS.UDF.CIQ($D21, "IQ_REVENUE", $AN$11, , , , "USD")</f>
        <v>#NAME?</v>
      </c>
      <c r="AO21" s="547" t="e">
        <f ca="1">_xll.CIQFUNCTIONS.UDF.CIQ($D21, "IQ_REVENUE", $AO$11, , , , "USD")</f>
        <v>#NAME?</v>
      </c>
      <c r="AP21" s="547" t="e">
        <f ca="1">_xll.CIQFUNCTIONS.UDF.CIQ($D21, "IQ_REVENUE_EST_CIQ", $AP$11, , , , "USD")</f>
        <v>#NAME?</v>
      </c>
      <c r="AQ21" s="547" t="e">
        <f ca="1">_xll.CIQFUNCTIONS.UDF.CIQ($D21, "IQ_REVENUE_EST_CIQ", $AQ$11, , , , "USD")</f>
        <v>#NAME?</v>
      </c>
      <c r="AR21" s="548"/>
      <c r="AS21" s="547" t="e">
        <f ca="1">_xll.CIQFUNCTIONS.UDF.CIQ($D21, "IQ_EBITDA", IQ_LTM, , , , "USD")</f>
        <v>#NAME?</v>
      </c>
      <c r="AT21" s="547" t="e">
        <f ca="1">_xll.CIQFUNCTIONS.UDF.CIQ($D21, "IQ_EBITDA", $AT$11, , , , "USD")</f>
        <v>#NAME?</v>
      </c>
      <c r="AU21" s="547" t="e">
        <f ca="1">_xll.CIQFUNCTIONS.UDF.CIQ($D21, "IQ_EBITDA", $AU$11, , , , "USD")</f>
        <v>#NAME?</v>
      </c>
      <c r="AV21" s="547" t="e">
        <f ca="1">_xll.CIQFUNCTIONS.UDF.CIQ($D21, "IQ_EBITDA_EST_CIQ", $AV$11, , , , "USD")</f>
        <v>#NAME?</v>
      </c>
      <c r="AW21" s="547" t="e">
        <f ca="1">_xll.CIQFUNCTIONS.UDF.CIQ($D21, "IQ_EBITDA_EST_CIQ", $AW$11, , , , "USD")</f>
        <v>#NAME?</v>
      </c>
      <c r="AX21" s="548"/>
      <c r="AY21" s="547" t="e">
        <f ca="1">_xll.CIQFUNCTIONS.UDF.CIQ(D21, "IQ_GP", IQ_LTM)</f>
        <v>#NAME?</v>
      </c>
      <c r="AZ21" s="547" t="e">
        <f ca="1">_xll.CIQFUNCTIONS.UDF.CIQ($D21, "IQ_GP", $AZ$11)</f>
        <v>#NAME?</v>
      </c>
      <c r="BA21" s="547" t="e">
        <f ca="1">_xll.CIQFUNCTIONS.UDF.CIQ($D21, "IQ_GP", $BA$11)</f>
        <v>#NAME?</v>
      </c>
      <c r="BB21" s="549"/>
      <c r="BC21" s="550" t="e">
        <f ca="1">_xll.CIQFUNCTIONS.UDF.CIQ($D21, "IQ_GROSS_MARGIN", IQ_LTM)/100</f>
        <v>#NAME?</v>
      </c>
      <c r="BD21" s="550" t="e">
        <f ca="1">_xll.CIQFUNCTIONS.UDF.CIQ($D21, "IQ_GROSS_MARGIN", $BD$11)/100</f>
        <v>#NAME?</v>
      </c>
      <c r="BE21" s="550" t="e">
        <f ca="1">_xll.CIQFUNCTIONS.UDF.CIQ($D21, "IQ_GROSS_MARGIN", $BE$11)/100</f>
        <v>#NAME?</v>
      </c>
      <c r="BG21" s="2"/>
      <c r="BH21" s="2"/>
    </row>
    <row r="22" spans="1:60" s="511" customFormat="1" x14ac:dyDescent="0.35">
      <c r="A22" s="2"/>
      <c r="B22" s="2"/>
      <c r="D22" s="540"/>
      <c r="E22" s="541" t="e">
        <f ca="1">_xll.CIQFUNCTIONS.UDF.CIQ(D22, "IQ_COMPANY_NAME")</f>
        <v>#NAME?</v>
      </c>
      <c r="F22" s="541"/>
      <c r="G22" s="542" t="e">
        <f ca="1">_xll.CIQFUNCTIONS.UDF.CIQ(D22, "IQ_LASTSALEPRICE",$E$5, "USD")</f>
        <v>#NAME?</v>
      </c>
      <c r="H22" s="542" t="e">
        <f ca="1">_xll.CIQFUNCTIONS.UDF.CIQ(D22, "IQ_YEARHIGH",$E$5, "USD")</f>
        <v>#NAME?</v>
      </c>
      <c r="I22" s="543" t="e">
        <f t="shared" ca="1" si="6"/>
        <v>#NAME?</v>
      </c>
      <c r="J22" s="544" t="e">
        <f ca="1">_xll.CIQFUNCTIONS.UDF.CIQ(D22, "IQ_MARKETCAP",$E$5, "USD")</f>
        <v>#NAME?</v>
      </c>
      <c r="K22" s="544" t="e">
        <f ca="1">_xll.CIQFUNCTIONS.UDF.CIQ(D22, "IQ_TEV",$E$5, "USD")</f>
        <v>#NAME?</v>
      </c>
      <c r="M22" s="545" t="str">
        <f t="shared" ca="1" si="7"/>
        <v>NA</v>
      </c>
      <c r="N22" s="545" t="str">
        <f t="shared" ca="1" si="11"/>
        <v>NA</v>
      </c>
      <c r="O22" s="545" t="str">
        <f t="shared" ca="1" si="12"/>
        <v>NA</v>
      </c>
      <c r="P22" s="545" t="str">
        <f t="shared" ca="1" si="12"/>
        <v>NA</v>
      </c>
      <c r="Q22" s="545"/>
      <c r="R22" s="546" t="str">
        <f t="shared" ca="1" si="0"/>
        <v>NA</v>
      </c>
      <c r="S22" s="546" t="str">
        <f t="shared" ca="1" si="1"/>
        <v>NA</v>
      </c>
      <c r="T22" s="546"/>
      <c r="U22" s="518"/>
      <c r="V22" s="551" t="e">
        <f t="shared" ca="1" si="2"/>
        <v>#NAME?</v>
      </c>
      <c r="W22" s="551" t="e">
        <f t="shared" ca="1" si="3"/>
        <v>#NAME?</v>
      </c>
      <c r="X22" s="518"/>
      <c r="Y22" s="543" t="str">
        <f t="shared" ca="1" si="13"/>
        <v>NA</v>
      </c>
      <c r="Z22" s="543" t="str">
        <f t="shared" ca="1" si="8"/>
        <v>NA</v>
      </c>
      <c r="AA22" s="543" t="str">
        <f t="shared" ca="1" si="9"/>
        <v>NA</v>
      </c>
      <c r="AB22" s="518"/>
      <c r="AC22" s="543" t="str">
        <f t="shared" ca="1" si="4"/>
        <v>NA</v>
      </c>
      <c r="AD22" s="543" t="str">
        <f t="shared" ca="1" si="5"/>
        <v>NA</v>
      </c>
      <c r="AE22" s="518"/>
      <c r="AF22" s="543"/>
      <c r="AG22" s="543" t="str">
        <f t="shared" ca="1" si="14"/>
        <v>NA</v>
      </c>
      <c r="AH22" s="543" t="str">
        <f t="shared" ca="1" si="10"/>
        <v>NA</v>
      </c>
      <c r="AI22" s="543" t="str">
        <f t="shared" ca="1" si="10"/>
        <v>NA</v>
      </c>
      <c r="AM22" s="547" t="e">
        <f ca="1">_xll.CIQFUNCTIONS.UDF.CIQ($D22, "IQ_TOTAL_REV", IQ_LTM, $E$5, , , "USD")</f>
        <v>#NAME?</v>
      </c>
      <c r="AN22" s="547" t="e">
        <f ca="1">_xll.CIQFUNCTIONS.UDF.CIQ($D22, "IQ_REVENUE", $AN$11, , , , "USD")</f>
        <v>#NAME?</v>
      </c>
      <c r="AO22" s="547" t="e">
        <f ca="1">_xll.CIQFUNCTIONS.UDF.CIQ($D22, "IQ_REVENUE", $AO$11, , , , "USD")</f>
        <v>#NAME?</v>
      </c>
      <c r="AP22" s="547" t="e">
        <f ca="1">_xll.CIQFUNCTIONS.UDF.CIQ($D22, "IQ_REVENUE_EST_CIQ", $AP$11, , , , "USD")</f>
        <v>#NAME?</v>
      </c>
      <c r="AQ22" s="547" t="e">
        <f ca="1">_xll.CIQFUNCTIONS.UDF.CIQ($D22, "IQ_REVENUE_EST_CIQ", $AQ$11, , , , "USD")</f>
        <v>#NAME?</v>
      </c>
      <c r="AR22" s="548"/>
      <c r="AS22" s="547" t="e">
        <f ca="1">_xll.CIQFUNCTIONS.UDF.CIQ($D22, "IQ_EBITDA", IQ_LTM, , , , "USD")</f>
        <v>#NAME?</v>
      </c>
      <c r="AT22" s="547" t="e">
        <f ca="1">_xll.CIQFUNCTIONS.UDF.CIQ($D22, "IQ_EBITDA", $AT$11, , , , "USD")</f>
        <v>#NAME?</v>
      </c>
      <c r="AU22" s="547" t="e">
        <f ca="1">_xll.CIQFUNCTIONS.UDF.CIQ($D22, "IQ_EBITDA", $AU$11, , , , "USD")</f>
        <v>#NAME?</v>
      </c>
      <c r="AV22" s="547" t="e">
        <f ca="1">_xll.CIQFUNCTIONS.UDF.CIQ($D22, "IQ_EBITDA_EST_CIQ", $AV$11, , , , "USD")</f>
        <v>#NAME?</v>
      </c>
      <c r="AW22" s="547" t="e">
        <f ca="1">_xll.CIQFUNCTIONS.UDF.CIQ($D22, "IQ_EBITDA_EST_CIQ", $AW$11, , , , "USD")</f>
        <v>#NAME?</v>
      </c>
      <c r="AX22" s="548"/>
      <c r="AY22" s="547" t="e">
        <f ca="1">_xll.CIQFUNCTIONS.UDF.CIQ(D22, "IQ_GP", IQ_LTM)</f>
        <v>#NAME?</v>
      </c>
      <c r="AZ22" s="547" t="e">
        <f ca="1">_xll.CIQFUNCTIONS.UDF.CIQ($D22, "IQ_GP", $AZ$11)</f>
        <v>#NAME?</v>
      </c>
      <c r="BA22" s="547" t="e">
        <f ca="1">_xll.CIQFUNCTIONS.UDF.CIQ($D22, "IQ_GP", $BA$11)</f>
        <v>#NAME?</v>
      </c>
      <c r="BB22" s="549"/>
      <c r="BC22" s="550" t="e">
        <f ca="1">_xll.CIQFUNCTIONS.UDF.CIQ($D22, "IQ_GROSS_MARGIN", IQ_LTM)/100</f>
        <v>#NAME?</v>
      </c>
      <c r="BD22" s="550" t="e">
        <f ca="1">_xll.CIQFUNCTIONS.UDF.CIQ($D22, "IQ_GROSS_MARGIN", $BD$11)/100</f>
        <v>#NAME?</v>
      </c>
      <c r="BE22" s="550" t="e">
        <f ca="1">_xll.CIQFUNCTIONS.UDF.CIQ($D22, "IQ_GROSS_MARGIN", $BE$11)/100</f>
        <v>#NAME?</v>
      </c>
      <c r="BG22" s="2"/>
      <c r="BH22" s="2"/>
    </row>
    <row r="23" spans="1:60" s="511" customFormat="1" x14ac:dyDescent="0.35">
      <c r="A23" s="2"/>
      <c r="B23" s="2"/>
      <c r="D23" s="540"/>
      <c r="E23" s="541" t="e">
        <f ca="1">_xll.CIQFUNCTIONS.UDF.CIQ(D23, "IQ_COMPANY_NAME")</f>
        <v>#NAME?</v>
      </c>
      <c r="F23" s="541"/>
      <c r="G23" s="542" t="e">
        <f ca="1">_xll.CIQFUNCTIONS.UDF.CIQ(D23, "IQ_LASTSALEPRICE",$E$5, "USD")</f>
        <v>#NAME?</v>
      </c>
      <c r="H23" s="542" t="e">
        <f ca="1">_xll.CIQFUNCTIONS.UDF.CIQ(D23, "IQ_YEARHIGH",$E$5, "USD")</f>
        <v>#NAME?</v>
      </c>
      <c r="I23" s="543" t="e">
        <f t="shared" ca="1" si="6"/>
        <v>#NAME?</v>
      </c>
      <c r="J23" s="544" t="e">
        <f ca="1">_xll.CIQFUNCTIONS.UDF.CIQ(D23, "IQ_MARKETCAP",$E$5, "USD")</f>
        <v>#NAME?</v>
      </c>
      <c r="K23" s="544" t="e">
        <f ca="1">_xll.CIQFUNCTIONS.UDF.CIQ(D23, "IQ_TEV",$E$5, "USD")</f>
        <v>#NAME?</v>
      </c>
      <c r="M23" s="545" t="str">
        <f t="shared" ca="1" si="7"/>
        <v>NA</v>
      </c>
      <c r="N23" s="545" t="str">
        <f t="shared" ca="1" si="11"/>
        <v>NA</v>
      </c>
      <c r="O23" s="545" t="str">
        <f t="shared" ca="1" si="12"/>
        <v>NA</v>
      </c>
      <c r="P23" s="545" t="str">
        <f t="shared" ca="1" si="12"/>
        <v>NA</v>
      </c>
      <c r="Q23" s="545"/>
      <c r="R23" s="546" t="str">
        <f t="shared" ca="1" si="0"/>
        <v>NA</v>
      </c>
      <c r="S23" s="546" t="str">
        <f t="shared" ca="1" si="1"/>
        <v>NA</v>
      </c>
      <c r="T23" s="546"/>
      <c r="U23" s="518"/>
      <c r="V23" s="551" t="e">
        <f t="shared" ca="1" si="2"/>
        <v>#NAME?</v>
      </c>
      <c r="W23" s="551" t="e">
        <f t="shared" ca="1" si="3"/>
        <v>#NAME?</v>
      </c>
      <c r="X23" s="518"/>
      <c r="Y23" s="543" t="str">
        <f t="shared" ca="1" si="13"/>
        <v>NA</v>
      </c>
      <c r="Z23" s="543" t="str">
        <f t="shared" ca="1" si="8"/>
        <v>NA</v>
      </c>
      <c r="AA23" s="543" t="str">
        <f t="shared" ca="1" si="9"/>
        <v>NA</v>
      </c>
      <c r="AB23" s="518"/>
      <c r="AC23" s="543" t="str">
        <f t="shared" ca="1" si="4"/>
        <v>NA</v>
      </c>
      <c r="AD23" s="543" t="str">
        <f t="shared" ca="1" si="5"/>
        <v>NA</v>
      </c>
      <c r="AE23" s="518"/>
      <c r="AF23" s="543"/>
      <c r="AG23" s="543" t="str">
        <f t="shared" ca="1" si="14"/>
        <v>NA</v>
      </c>
      <c r="AH23" s="543" t="str">
        <f t="shared" ca="1" si="10"/>
        <v>NA</v>
      </c>
      <c r="AI23" s="543" t="str">
        <f t="shared" ca="1" si="10"/>
        <v>NA</v>
      </c>
      <c r="AM23" s="547" t="e">
        <f ca="1">_xll.CIQFUNCTIONS.UDF.CIQ($D23, "IQ_TOTAL_REV", IQ_LTM, $E$5, , , "USD")</f>
        <v>#NAME?</v>
      </c>
      <c r="AN23" s="547" t="e">
        <f ca="1">_xll.CIQFUNCTIONS.UDF.CIQ($D23, "IQ_REVENUE", $AN$11, , , , "USD")</f>
        <v>#NAME?</v>
      </c>
      <c r="AO23" s="547" t="e">
        <f ca="1">_xll.CIQFUNCTIONS.UDF.CIQ($D23, "IQ_REVENUE", $AO$11, , , , "USD")</f>
        <v>#NAME?</v>
      </c>
      <c r="AP23" s="547" t="e">
        <f ca="1">_xll.CIQFUNCTIONS.UDF.CIQ($D23, "IQ_REVENUE_EST_CIQ", $AP$11, , , , "USD")</f>
        <v>#NAME?</v>
      </c>
      <c r="AQ23" s="547" t="e">
        <f ca="1">_xll.CIQFUNCTIONS.UDF.CIQ($D23, "IQ_REVENUE_EST_CIQ", $AQ$11, , , , "USD")</f>
        <v>#NAME?</v>
      </c>
      <c r="AR23" s="548"/>
      <c r="AS23" s="547" t="e">
        <f ca="1">_xll.CIQFUNCTIONS.UDF.CIQ($D23, "IQ_EBITDA", IQ_LTM, , , , "USD")</f>
        <v>#NAME?</v>
      </c>
      <c r="AT23" s="547" t="e">
        <f ca="1">_xll.CIQFUNCTIONS.UDF.CIQ($D23, "IQ_EBITDA", $AT$11, , , , "USD")</f>
        <v>#NAME?</v>
      </c>
      <c r="AU23" s="547" t="e">
        <f ca="1">_xll.CIQFUNCTIONS.UDF.CIQ($D23, "IQ_EBITDA", $AU$11, , , , "USD")</f>
        <v>#NAME?</v>
      </c>
      <c r="AV23" s="547" t="e">
        <f ca="1">_xll.CIQFUNCTIONS.UDF.CIQ($D23, "IQ_EBITDA_EST_CIQ", $AV$11, , , , "USD")</f>
        <v>#NAME?</v>
      </c>
      <c r="AW23" s="547" t="e">
        <f ca="1">_xll.CIQFUNCTIONS.UDF.CIQ($D23, "IQ_EBITDA_EST_CIQ", $AW$11, , , , "USD")</f>
        <v>#NAME?</v>
      </c>
      <c r="AX23" s="548"/>
      <c r="AY23" s="547" t="e">
        <f ca="1">_xll.CIQFUNCTIONS.UDF.CIQ(D23, "IQ_GP", IQ_LTM)</f>
        <v>#NAME?</v>
      </c>
      <c r="AZ23" s="547" t="e">
        <f ca="1">_xll.CIQFUNCTIONS.UDF.CIQ($D23, "IQ_GP", $AZ$11)</f>
        <v>#NAME?</v>
      </c>
      <c r="BA23" s="547" t="e">
        <f ca="1">_xll.CIQFUNCTIONS.UDF.CIQ($D23, "IQ_GP", $BA$11)</f>
        <v>#NAME?</v>
      </c>
      <c r="BB23" s="549"/>
      <c r="BC23" s="550" t="e">
        <f ca="1">_xll.CIQFUNCTIONS.UDF.CIQ($D23, "IQ_GROSS_MARGIN", IQ_LTM)/100</f>
        <v>#NAME?</v>
      </c>
      <c r="BD23" s="550" t="e">
        <f ca="1">_xll.CIQFUNCTIONS.UDF.CIQ($D23, "IQ_GROSS_MARGIN", $BD$11)/100</f>
        <v>#NAME?</v>
      </c>
      <c r="BE23" s="550" t="e">
        <f ca="1">_xll.CIQFUNCTIONS.UDF.CIQ($D23, "IQ_GROSS_MARGIN", $BE$11)/100</f>
        <v>#NAME?</v>
      </c>
      <c r="BG23" s="2"/>
      <c r="BH23" s="2"/>
    </row>
    <row r="24" spans="1:60" s="511" customFormat="1" x14ac:dyDescent="0.35">
      <c r="A24" s="2"/>
      <c r="B24" s="2"/>
      <c r="D24" s="540"/>
      <c r="E24" s="541" t="e">
        <f ca="1">_xll.CIQFUNCTIONS.UDF.CIQ(D24, "IQ_COMPANY_NAME")</f>
        <v>#NAME?</v>
      </c>
      <c r="F24" s="541"/>
      <c r="G24" s="542" t="e">
        <f ca="1">_xll.CIQFUNCTIONS.UDF.CIQ(D24, "IQ_LASTSALEPRICE",$E$5, "USD")</f>
        <v>#NAME?</v>
      </c>
      <c r="H24" s="542" t="e">
        <f ca="1">_xll.CIQFUNCTIONS.UDF.CIQ(D24, "IQ_YEARHIGH",$E$5, "USD")</f>
        <v>#NAME?</v>
      </c>
      <c r="I24" s="543" t="e">
        <f t="shared" ca="1" si="6"/>
        <v>#NAME?</v>
      </c>
      <c r="J24" s="544" t="e">
        <f ca="1">_xll.CIQFUNCTIONS.UDF.CIQ(D24, "IQ_MARKETCAP",$E$5, "USD")</f>
        <v>#NAME?</v>
      </c>
      <c r="K24" s="544" t="e">
        <f ca="1">_xll.CIQFUNCTIONS.UDF.CIQ(D24, "IQ_TEV",$E$5, "USD")</f>
        <v>#NAME?</v>
      </c>
      <c r="M24" s="545" t="str">
        <f t="shared" ca="1" si="7"/>
        <v>NA</v>
      </c>
      <c r="N24" s="545" t="str">
        <f t="shared" ca="1" si="11"/>
        <v>NA</v>
      </c>
      <c r="O24" s="545" t="str">
        <f t="shared" ca="1" si="12"/>
        <v>NA</v>
      </c>
      <c r="P24" s="545" t="str">
        <f t="shared" ca="1" si="12"/>
        <v>NA</v>
      </c>
      <c r="Q24" s="545"/>
      <c r="R24" s="546" t="str">
        <f t="shared" ca="1" si="0"/>
        <v>NA</v>
      </c>
      <c r="S24" s="546" t="str">
        <f t="shared" ca="1" si="1"/>
        <v>NA</v>
      </c>
      <c r="T24" s="546"/>
      <c r="U24" s="518"/>
      <c r="V24" s="551" t="e">
        <f t="shared" ca="1" si="2"/>
        <v>#NAME?</v>
      </c>
      <c r="W24" s="551" t="e">
        <f t="shared" ca="1" si="3"/>
        <v>#NAME?</v>
      </c>
      <c r="X24" s="518"/>
      <c r="Y24" s="543" t="str">
        <f t="shared" ca="1" si="13"/>
        <v>NA</v>
      </c>
      <c r="Z24" s="543" t="str">
        <f t="shared" ca="1" si="8"/>
        <v>NA</v>
      </c>
      <c r="AA24" s="543" t="str">
        <f t="shared" ca="1" si="9"/>
        <v>NA</v>
      </c>
      <c r="AB24" s="518"/>
      <c r="AC24" s="543" t="str">
        <f t="shared" ca="1" si="4"/>
        <v>NA</v>
      </c>
      <c r="AD24" s="543" t="str">
        <f t="shared" ca="1" si="5"/>
        <v>NA</v>
      </c>
      <c r="AE24" s="518"/>
      <c r="AF24" s="543"/>
      <c r="AG24" s="543" t="str">
        <f t="shared" ca="1" si="14"/>
        <v>NA</v>
      </c>
      <c r="AH24" s="543" t="str">
        <f t="shared" ca="1" si="10"/>
        <v>NA</v>
      </c>
      <c r="AI24" s="543" t="str">
        <f t="shared" ca="1" si="10"/>
        <v>NA</v>
      </c>
      <c r="AM24" s="547" t="e">
        <f ca="1">_xll.CIQFUNCTIONS.UDF.CIQ($D24, "IQ_TOTAL_REV", IQ_LTM, $E$5, , , "USD")</f>
        <v>#NAME?</v>
      </c>
      <c r="AN24" s="547" t="e">
        <f ca="1">_xll.CIQFUNCTIONS.UDF.CIQ($D24, "IQ_REVENUE", $AN$11, , , , "USD")</f>
        <v>#NAME?</v>
      </c>
      <c r="AO24" s="547" t="e">
        <f ca="1">_xll.CIQFUNCTIONS.UDF.CIQ($D24, "IQ_REVENUE", $AO$11, , , , "USD")</f>
        <v>#NAME?</v>
      </c>
      <c r="AP24" s="547" t="e">
        <f ca="1">_xll.CIQFUNCTIONS.UDF.CIQ($D24, "IQ_REVENUE_EST_CIQ", $AP$11, , , , "USD")</f>
        <v>#NAME?</v>
      </c>
      <c r="AQ24" s="547" t="e">
        <f ca="1">_xll.CIQFUNCTIONS.UDF.CIQ($D24, "IQ_REVENUE_EST_CIQ", $AQ$11, , , , "USD")</f>
        <v>#NAME?</v>
      </c>
      <c r="AR24" s="548"/>
      <c r="AS24" s="547" t="e">
        <f ca="1">_xll.CIQFUNCTIONS.UDF.CIQ($D24, "IQ_EBITDA", IQ_LTM, , , , "USD")</f>
        <v>#NAME?</v>
      </c>
      <c r="AT24" s="547" t="e">
        <f ca="1">_xll.CIQFUNCTIONS.UDF.CIQ($D24, "IQ_EBITDA", $AT$11, , , , "USD")</f>
        <v>#NAME?</v>
      </c>
      <c r="AU24" s="547" t="e">
        <f ca="1">_xll.CIQFUNCTIONS.UDF.CIQ($D24, "IQ_EBITDA", $AU$11, , , , "USD")</f>
        <v>#NAME?</v>
      </c>
      <c r="AV24" s="547" t="e">
        <f ca="1">_xll.CIQFUNCTIONS.UDF.CIQ($D24, "IQ_EBITDA_EST_CIQ", $AV$11, , , , "USD")</f>
        <v>#NAME?</v>
      </c>
      <c r="AW24" s="547" t="e">
        <f ca="1">_xll.CIQFUNCTIONS.UDF.CIQ($D24, "IQ_EBITDA_EST_CIQ", $AW$11, , , , "USD")</f>
        <v>#NAME?</v>
      </c>
      <c r="AX24" s="548"/>
      <c r="AY24" s="547" t="e">
        <f ca="1">_xll.CIQFUNCTIONS.UDF.CIQ(D24, "IQ_GP", IQ_LTM)</f>
        <v>#NAME?</v>
      </c>
      <c r="AZ24" s="547" t="e">
        <f ca="1">_xll.CIQFUNCTIONS.UDF.CIQ($D24, "IQ_GP", $AZ$11)</f>
        <v>#NAME?</v>
      </c>
      <c r="BA24" s="547" t="e">
        <f ca="1">_xll.CIQFUNCTIONS.UDF.CIQ($D24, "IQ_GP", $BA$11)</f>
        <v>#NAME?</v>
      </c>
      <c r="BB24" s="549"/>
      <c r="BC24" s="550" t="e">
        <f ca="1">_xll.CIQFUNCTIONS.UDF.CIQ($D24, "IQ_GROSS_MARGIN", IQ_LTM)/100</f>
        <v>#NAME?</v>
      </c>
      <c r="BD24" s="550" t="e">
        <f ca="1">_xll.CIQFUNCTIONS.UDF.CIQ($D24, "IQ_GROSS_MARGIN", $BD$11)/100</f>
        <v>#NAME?</v>
      </c>
      <c r="BE24" s="550" t="e">
        <f ca="1">_xll.CIQFUNCTIONS.UDF.CIQ($D24, "IQ_GROSS_MARGIN", $BE$11)/100</f>
        <v>#NAME?</v>
      </c>
      <c r="BG24" s="2"/>
      <c r="BH24" s="2"/>
    </row>
    <row r="25" spans="1:60" s="511" customFormat="1" x14ac:dyDescent="0.35">
      <c r="A25" s="2"/>
      <c r="B25" s="2"/>
      <c r="D25" s="540"/>
      <c r="E25" s="541" t="e">
        <f ca="1">_xll.CIQFUNCTIONS.UDF.CIQ(D25, "IQ_COMPANY_NAME")</f>
        <v>#NAME?</v>
      </c>
      <c r="F25" s="541"/>
      <c r="G25" s="542" t="e">
        <f ca="1">_xll.CIQFUNCTIONS.UDF.CIQ(D25, "IQ_LASTSALEPRICE",$E$5, "USD")</f>
        <v>#NAME?</v>
      </c>
      <c r="H25" s="542" t="e">
        <f ca="1">_xll.CIQFUNCTIONS.UDF.CIQ(D25, "IQ_YEARHIGH",$E$5, "USD")</f>
        <v>#NAME?</v>
      </c>
      <c r="I25" s="543" t="e">
        <f t="shared" ca="1" si="6"/>
        <v>#NAME?</v>
      </c>
      <c r="J25" s="544" t="e">
        <f ca="1">_xll.CIQFUNCTIONS.UDF.CIQ(D25, "IQ_MARKETCAP",$E$5, "USD")</f>
        <v>#NAME?</v>
      </c>
      <c r="K25" s="544" t="e">
        <f ca="1">_xll.CIQFUNCTIONS.UDF.CIQ(D25, "IQ_TEV",$E$5, "USD")</f>
        <v>#NAME?</v>
      </c>
      <c r="M25" s="545" t="str">
        <f t="shared" ca="1" si="7"/>
        <v>NA</v>
      </c>
      <c r="N25" s="545" t="str">
        <f t="shared" ca="1" si="11"/>
        <v>NA</v>
      </c>
      <c r="O25" s="545" t="str">
        <f t="shared" ca="1" si="12"/>
        <v>NA</v>
      </c>
      <c r="P25" s="545" t="str">
        <f t="shared" ca="1" si="12"/>
        <v>NA</v>
      </c>
      <c r="Q25" s="545"/>
      <c r="R25" s="546" t="str">
        <f t="shared" ca="1" si="0"/>
        <v>NA</v>
      </c>
      <c r="S25" s="546" t="str">
        <f t="shared" ca="1" si="1"/>
        <v>NA</v>
      </c>
      <c r="T25" s="546"/>
      <c r="U25" s="518"/>
      <c r="V25" s="551" t="e">
        <f t="shared" ca="1" si="2"/>
        <v>#NAME?</v>
      </c>
      <c r="W25" s="551" t="e">
        <f t="shared" ca="1" si="3"/>
        <v>#NAME?</v>
      </c>
      <c r="X25" s="518"/>
      <c r="Y25" s="543" t="str">
        <f t="shared" ca="1" si="13"/>
        <v>NA</v>
      </c>
      <c r="Z25" s="543" t="str">
        <f t="shared" ca="1" si="8"/>
        <v>NA</v>
      </c>
      <c r="AA25" s="543" t="str">
        <f t="shared" ca="1" si="9"/>
        <v>NA</v>
      </c>
      <c r="AB25" s="518"/>
      <c r="AC25" s="543" t="str">
        <f t="shared" ca="1" si="4"/>
        <v>NA</v>
      </c>
      <c r="AD25" s="543" t="str">
        <f t="shared" ca="1" si="5"/>
        <v>NA</v>
      </c>
      <c r="AE25" s="518"/>
      <c r="AF25" s="543"/>
      <c r="AG25" s="543" t="str">
        <f t="shared" ca="1" si="14"/>
        <v>NA</v>
      </c>
      <c r="AH25" s="543" t="str">
        <f t="shared" ca="1" si="10"/>
        <v>NA</v>
      </c>
      <c r="AI25" s="543" t="str">
        <f t="shared" ca="1" si="10"/>
        <v>NA</v>
      </c>
      <c r="AM25" s="547" t="e">
        <f ca="1">_xll.CIQFUNCTIONS.UDF.CIQ($D25, "IQ_TOTAL_REV", IQ_LTM, $E$5, , , "USD")</f>
        <v>#NAME?</v>
      </c>
      <c r="AN25" s="547" t="e">
        <f ca="1">_xll.CIQFUNCTIONS.UDF.CIQ($D25, "IQ_REVENUE", $AN$11, , , , "USD")</f>
        <v>#NAME?</v>
      </c>
      <c r="AO25" s="547" t="e">
        <f ca="1">_xll.CIQFUNCTIONS.UDF.CIQ($D25, "IQ_REVENUE", $AO$11, , , , "USD")</f>
        <v>#NAME?</v>
      </c>
      <c r="AP25" s="547" t="e">
        <f ca="1">_xll.CIQFUNCTIONS.UDF.CIQ($D25, "IQ_REVENUE_EST_CIQ", $AP$11, , , , "USD")</f>
        <v>#NAME?</v>
      </c>
      <c r="AQ25" s="547" t="e">
        <f ca="1">_xll.CIQFUNCTIONS.UDF.CIQ($D25, "IQ_REVENUE_EST_CIQ", $AQ$11, , , , "USD")</f>
        <v>#NAME?</v>
      </c>
      <c r="AR25" s="548"/>
      <c r="AS25" s="547" t="e">
        <f ca="1">_xll.CIQFUNCTIONS.UDF.CIQ($D25, "IQ_EBITDA", IQ_LTM, , , , "USD")</f>
        <v>#NAME?</v>
      </c>
      <c r="AT25" s="547" t="e">
        <f ca="1">_xll.CIQFUNCTIONS.UDF.CIQ($D25, "IQ_EBITDA", $AT$11, , , , "USD")</f>
        <v>#NAME?</v>
      </c>
      <c r="AU25" s="547" t="e">
        <f ca="1">_xll.CIQFUNCTIONS.UDF.CIQ($D25, "IQ_EBITDA", $AU$11, , , , "USD")</f>
        <v>#NAME?</v>
      </c>
      <c r="AV25" s="547" t="e">
        <f ca="1">_xll.CIQFUNCTIONS.UDF.CIQ($D25, "IQ_EBITDA_EST_CIQ", $AV$11, , , , "USD")</f>
        <v>#NAME?</v>
      </c>
      <c r="AW25" s="547" t="e">
        <f ca="1">_xll.CIQFUNCTIONS.UDF.CIQ($D25, "IQ_EBITDA_EST_CIQ", $AW$11, , , , "USD")</f>
        <v>#NAME?</v>
      </c>
      <c r="AX25" s="548"/>
      <c r="AY25" s="547" t="e">
        <f ca="1">_xll.CIQFUNCTIONS.UDF.CIQ(D25, "IQ_GP", IQ_LTM)</f>
        <v>#NAME?</v>
      </c>
      <c r="AZ25" s="547" t="e">
        <f ca="1">_xll.CIQFUNCTIONS.UDF.CIQ($D25, "IQ_GP", $AZ$11)</f>
        <v>#NAME?</v>
      </c>
      <c r="BA25" s="547" t="e">
        <f ca="1">_xll.CIQFUNCTIONS.UDF.CIQ($D25, "IQ_GP", $BA$11)</f>
        <v>#NAME?</v>
      </c>
      <c r="BB25" s="549"/>
      <c r="BC25" s="550" t="e">
        <f ca="1">_xll.CIQFUNCTIONS.UDF.CIQ($D25, "IQ_GROSS_MARGIN", IQ_LTM)/100</f>
        <v>#NAME?</v>
      </c>
      <c r="BD25" s="550" t="e">
        <f ca="1">_xll.CIQFUNCTIONS.UDF.CIQ($D25, "IQ_GROSS_MARGIN", $BD$11)/100</f>
        <v>#NAME?</v>
      </c>
      <c r="BE25" s="550" t="e">
        <f ca="1">_xll.CIQFUNCTIONS.UDF.CIQ($D25, "IQ_GROSS_MARGIN", $BE$11)/100</f>
        <v>#NAME?</v>
      </c>
      <c r="BG25" s="2"/>
      <c r="BH25" s="2"/>
    </row>
    <row r="26" spans="1:60" s="511" customFormat="1" x14ac:dyDescent="0.35">
      <c r="A26" s="3"/>
      <c r="B26" s="3"/>
      <c r="E26" s="552"/>
      <c r="F26" s="552"/>
      <c r="G26" s="553"/>
      <c r="H26" s="553"/>
      <c r="I26" s="554"/>
      <c r="J26" s="555"/>
      <c r="K26" s="556"/>
      <c r="L26" s="557"/>
      <c r="M26" s="558"/>
      <c r="N26" s="558"/>
      <c r="O26" s="558"/>
      <c r="P26" s="558"/>
      <c r="Q26" s="558"/>
      <c r="R26" s="559"/>
      <c r="S26" s="559"/>
      <c r="T26" s="559"/>
      <c r="U26" s="560"/>
      <c r="V26" s="556"/>
      <c r="W26" s="555"/>
      <c r="X26" s="560"/>
      <c r="Y26" s="554"/>
      <c r="Z26" s="554"/>
      <c r="AA26" s="554"/>
      <c r="AB26" s="560"/>
      <c r="AC26" s="554"/>
      <c r="AD26" s="554"/>
      <c r="AE26" s="560"/>
      <c r="AF26" s="554"/>
      <c r="AG26" s="554"/>
      <c r="AH26" s="554"/>
      <c r="AI26" s="554"/>
      <c r="AM26" s="547"/>
      <c r="AN26" s="547"/>
      <c r="AO26" s="547"/>
      <c r="AP26" s="547"/>
      <c r="AQ26" s="547"/>
      <c r="AR26" s="548"/>
      <c r="AS26" s="547"/>
      <c r="AT26" s="547"/>
      <c r="AU26" s="547"/>
      <c r="AV26" s="547"/>
      <c r="AW26" s="547"/>
      <c r="AX26" s="548"/>
      <c r="AY26" s="547"/>
      <c r="AZ26" s="547"/>
      <c r="BA26" s="547"/>
      <c r="BB26" s="549"/>
      <c r="BC26" s="550"/>
      <c r="BD26" s="550"/>
      <c r="BE26" s="550"/>
      <c r="BG26" s="3"/>
      <c r="BH26" s="3"/>
    </row>
    <row r="27" spans="1:60" s="511" customFormat="1" x14ac:dyDescent="0.35">
      <c r="A27" s="3"/>
      <c r="B27" s="3"/>
      <c r="D27" s="561"/>
      <c r="E27" s="562" t="s">
        <v>137</v>
      </c>
      <c r="F27" s="562"/>
      <c r="G27" s="563"/>
      <c r="H27" s="564"/>
      <c r="I27" s="564"/>
      <c r="J27" s="563"/>
      <c r="K27" s="563"/>
      <c r="L27" s="565"/>
      <c r="M27" s="566" t="e">
        <f ca="1">AVERAGE(M15:M25)</f>
        <v>#DIV/0!</v>
      </c>
      <c r="N27" s="566" t="e">
        <f ca="1">AVERAGE(N15:N25)</f>
        <v>#DIV/0!</v>
      </c>
      <c r="O27" s="566" t="e">
        <f ca="1">AVERAGE(O15:O25)</f>
        <v>#DIV/0!</v>
      </c>
      <c r="P27" s="566" t="e">
        <f ca="1">AVERAGE(P15:P25)</f>
        <v>#DIV/0!</v>
      </c>
      <c r="Q27" s="566"/>
      <c r="R27" s="566" t="e">
        <f ca="1">AVERAGE(R15:R25)</f>
        <v>#DIV/0!</v>
      </c>
      <c r="S27" s="567" t="e">
        <f ca="1">AVERAGE(S15:S25)</f>
        <v>#DIV/0!</v>
      </c>
      <c r="T27" s="567"/>
      <c r="U27" s="563"/>
      <c r="V27" s="568" t="e">
        <f ca="1">AVERAGE(V15:V25)</f>
        <v>#NAME?</v>
      </c>
      <c r="W27" s="568" t="e">
        <f ca="1">AVERAGE(W15:W25)</f>
        <v>#NAME?</v>
      </c>
      <c r="X27" s="563"/>
      <c r="Y27" s="569" t="e">
        <f ca="1">AVERAGE(Y15:Y25)</f>
        <v>#DIV/0!</v>
      </c>
      <c r="Z27" s="569" t="e">
        <f ca="1">AVERAGE(Z15:Z25)</f>
        <v>#DIV/0!</v>
      </c>
      <c r="AA27" s="569" t="e">
        <f ca="1">AVERAGE(AA15:AA25)</f>
        <v>#DIV/0!</v>
      </c>
      <c r="AB27" s="569"/>
      <c r="AC27" s="569" t="e">
        <f ca="1">AVERAGE(AC15:AC25)</f>
        <v>#DIV/0!</v>
      </c>
      <c r="AD27" s="569" t="e">
        <f ca="1">AVERAGE(AD15:AD25)</f>
        <v>#DIV/0!</v>
      </c>
      <c r="AE27" s="569"/>
      <c r="AF27" s="569"/>
      <c r="AG27" s="569" t="e">
        <f ca="1">AVERAGE(AG15:AG25)</f>
        <v>#DIV/0!</v>
      </c>
      <c r="AH27" s="569" t="e">
        <f ca="1">AVERAGE(AH15:AH25)</f>
        <v>#DIV/0!</v>
      </c>
      <c r="AI27" s="569" t="e">
        <f ca="1">AVERAGE(AI15:AI25)</f>
        <v>#DIV/0!</v>
      </c>
      <c r="AJ27" s="570"/>
      <c r="AM27" s="571"/>
      <c r="AN27" s="547"/>
      <c r="AO27" s="571"/>
      <c r="AP27" s="571"/>
      <c r="AQ27" s="571"/>
      <c r="AR27" s="548"/>
      <c r="AS27" s="572"/>
      <c r="AT27" s="547"/>
      <c r="AU27" s="547"/>
      <c r="AV27" s="547"/>
      <c r="AW27" s="573"/>
      <c r="AX27" s="548"/>
      <c r="AY27" s="572"/>
      <c r="AZ27" s="547"/>
      <c r="BA27" s="547"/>
      <c r="BB27" s="549"/>
      <c r="BC27" s="572"/>
      <c r="BD27" s="550"/>
      <c r="BE27" s="550"/>
      <c r="BG27" s="3"/>
      <c r="BH27" s="3"/>
    </row>
    <row r="28" spans="1:60" s="511" customFormat="1" x14ac:dyDescent="0.35">
      <c r="A28" s="3"/>
      <c r="B28" s="3"/>
      <c r="D28" s="561"/>
      <c r="E28" s="562" t="s">
        <v>138</v>
      </c>
      <c r="F28" s="562"/>
      <c r="G28" s="563"/>
      <c r="H28" s="564"/>
      <c r="I28" s="564"/>
      <c r="J28" s="563"/>
      <c r="K28" s="563"/>
      <c r="L28" s="565"/>
      <c r="M28" s="566" t="e">
        <f ca="1">MEDIAN(M15:M25)</f>
        <v>#NUM!</v>
      </c>
      <c r="N28" s="566" t="e">
        <f ca="1">MEDIAN(N15:N25)</f>
        <v>#NUM!</v>
      </c>
      <c r="O28" s="566" t="e">
        <f ca="1">MEDIAN(O15:O25)</f>
        <v>#NUM!</v>
      </c>
      <c r="P28" s="566" t="e">
        <f ca="1">MEDIAN(P15:P25)</f>
        <v>#NUM!</v>
      </c>
      <c r="Q28" s="566"/>
      <c r="R28" s="566" t="e">
        <f ca="1">MEDIAN(R15:R25)</f>
        <v>#NUM!</v>
      </c>
      <c r="S28" s="566" t="e">
        <f ca="1">MEDIAN(S15:S25)</f>
        <v>#NUM!</v>
      </c>
      <c r="T28" s="566"/>
      <c r="U28" s="563"/>
      <c r="V28" s="568" t="e">
        <f ca="1">MEDIAN(V15:V25)</f>
        <v>#NAME?</v>
      </c>
      <c r="W28" s="568" t="e">
        <f ca="1">MEDIAN(W15:W25)</f>
        <v>#NAME?</v>
      </c>
      <c r="X28" s="563"/>
      <c r="Y28" s="569" t="e">
        <f ca="1">MEDIAN(Y15:Y25)</f>
        <v>#NUM!</v>
      </c>
      <c r="Z28" s="569" t="e">
        <f ca="1">MEDIAN(Z15:Z25)</f>
        <v>#NUM!</v>
      </c>
      <c r="AA28" s="569" t="e">
        <f ca="1">MEDIAN(AA15:AA25)</f>
        <v>#NUM!</v>
      </c>
      <c r="AB28" s="569"/>
      <c r="AC28" s="569" t="e">
        <f ca="1">MEDIAN(AC15:AC25)</f>
        <v>#NUM!</v>
      </c>
      <c r="AD28" s="569" t="e">
        <f ca="1">MEDIAN(AD15:AD25)</f>
        <v>#NUM!</v>
      </c>
      <c r="AE28" s="569"/>
      <c r="AF28" s="569"/>
      <c r="AG28" s="569" t="e">
        <f ca="1">MEDIAN(AG15:AG25)</f>
        <v>#NUM!</v>
      </c>
      <c r="AH28" s="569" t="e">
        <f ca="1">MEDIAN(AH15:AH25)</f>
        <v>#NUM!</v>
      </c>
      <c r="AI28" s="569" t="e">
        <f ca="1">MEDIAN(AI15:AI25)</f>
        <v>#NUM!</v>
      </c>
      <c r="AJ28" s="570"/>
      <c r="AM28" s="571"/>
      <c r="AN28" s="547"/>
      <c r="AO28" s="571"/>
      <c r="AP28" s="571"/>
      <c r="AQ28" s="571"/>
      <c r="AR28" s="548"/>
      <c r="AS28" s="572"/>
      <c r="AT28" s="547"/>
      <c r="AU28" s="547"/>
      <c r="AV28" s="547"/>
      <c r="AW28" s="573"/>
      <c r="AX28" s="548"/>
      <c r="AY28" s="572"/>
      <c r="AZ28" s="547"/>
      <c r="BA28" s="547"/>
      <c r="BB28" s="549"/>
      <c r="BC28" s="572"/>
      <c r="BD28" s="550"/>
      <c r="BE28" s="550"/>
      <c r="BG28" s="3"/>
      <c r="BH28" s="3"/>
    </row>
    <row r="29" spans="1:60" s="511" customFormat="1" x14ac:dyDescent="0.35">
      <c r="A29" s="3"/>
      <c r="B29" s="3"/>
      <c r="E29" s="574"/>
      <c r="F29" s="574"/>
      <c r="G29" s="575"/>
      <c r="H29" s="576"/>
      <c r="I29" s="576"/>
      <c r="J29" s="575"/>
      <c r="K29" s="575"/>
      <c r="L29" s="577"/>
      <c r="M29" s="578"/>
      <c r="N29" s="578"/>
      <c r="O29" s="578"/>
      <c r="P29" s="578"/>
      <c r="Q29" s="578"/>
      <c r="R29" s="578"/>
      <c r="S29" s="578"/>
      <c r="T29" s="578"/>
      <c r="U29" s="575"/>
      <c r="V29" s="579"/>
      <c r="W29" s="579"/>
      <c r="X29" s="575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M29" s="571"/>
      <c r="AN29" s="547"/>
      <c r="AO29" s="571"/>
      <c r="AP29" s="571"/>
      <c r="AQ29" s="571"/>
      <c r="AR29" s="548"/>
      <c r="AS29" s="572"/>
      <c r="AT29" s="547"/>
      <c r="AU29" s="547"/>
      <c r="AV29" s="547"/>
      <c r="AW29" s="573"/>
      <c r="AX29" s="548"/>
      <c r="AY29" s="572"/>
      <c r="AZ29" s="547"/>
      <c r="BA29" s="547"/>
      <c r="BB29" s="549"/>
      <c r="BC29" s="572"/>
      <c r="BD29" s="550"/>
      <c r="BE29" s="550"/>
      <c r="BG29" s="3"/>
      <c r="BH29" s="3"/>
    </row>
    <row r="30" spans="1:60" s="511" customFormat="1" x14ac:dyDescent="0.35">
      <c r="A30" s="3"/>
      <c r="B30" s="3"/>
      <c r="D30" s="536"/>
      <c r="E30" s="537" t="s">
        <v>441</v>
      </c>
      <c r="F30" s="538"/>
      <c r="G30" s="498"/>
      <c r="H30" s="498"/>
      <c r="I30" s="498"/>
      <c r="J30" s="498"/>
      <c r="K30" s="551"/>
      <c r="M30" s="545"/>
      <c r="N30" s="545"/>
      <c r="O30" s="545"/>
      <c r="P30" s="545"/>
      <c r="Q30" s="545"/>
      <c r="R30" s="546"/>
      <c r="S30" s="546"/>
      <c r="T30" s="546"/>
      <c r="U30" s="518"/>
      <c r="V30" s="551"/>
      <c r="W30" s="544"/>
      <c r="X30" s="518"/>
      <c r="Y30" s="543"/>
      <c r="Z30" s="543"/>
      <c r="AA30" s="543"/>
      <c r="AB30" s="518"/>
      <c r="AC30" s="543"/>
      <c r="AD30" s="543"/>
      <c r="AE30" s="518"/>
      <c r="AF30" s="543"/>
      <c r="AG30" s="543"/>
      <c r="AH30" s="543"/>
      <c r="AI30" s="543"/>
      <c r="AM30" s="547"/>
      <c r="AN30" s="547"/>
      <c r="AO30" s="547"/>
      <c r="AP30" s="547"/>
      <c r="AQ30" s="547"/>
      <c r="AR30" s="548"/>
      <c r="AS30" s="547"/>
      <c r="AT30" s="547"/>
      <c r="AU30" s="547"/>
      <c r="AV30" s="547"/>
      <c r="AW30" s="547"/>
      <c r="AX30" s="548"/>
      <c r="AY30" s="547"/>
      <c r="AZ30" s="547"/>
      <c r="BA30" s="547"/>
      <c r="BB30" s="549"/>
      <c r="BC30" s="550"/>
      <c r="BD30" s="550"/>
      <c r="BE30" s="550"/>
      <c r="BG30" s="3"/>
      <c r="BH30" s="3"/>
    </row>
    <row r="31" spans="1:60" s="511" customFormat="1" x14ac:dyDescent="0.35">
      <c r="A31" s="3"/>
      <c r="B31" s="3"/>
      <c r="D31" s="536"/>
      <c r="E31" s="541"/>
      <c r="F31" s="541"/>
      <c r="G31" s="542"/>
      <c r="H31" s="542"/>
      <c r="I31" s="543"/>
      <c r="J31" s="544"/>
      <c r="K31" s="551"/>
      <c r="M31" s="545"/>
      <c r="N31" s="545"/>
      <c r="O31" s="545"/>
      <c r="P31" s="545"/>
      <c r="Q31" s="545"/>
      <c r="R31" s="546"/>
      <c r="S31" s="546"/>
      <c r="T31" s="546"/>
      <c r="U31" s="518"/>
      <c r="V31" s="551"/>
      <c r="W31" s="544"/>
      <c r="X31" s="518"/>
      <c r="Y31" s="543"/>
      <c r="Z31" s="543"/>
      <c r="AA31" s="543"/>
      <c r="AB31" s="518"/>
      <c r="AC31" s="543"/>
      <c r="AD31" s="543"/>
      <c r="AE31" s="518"/>
      <c r="AF31" s="543"/>
      <c r="AG31" s="543"/>
      <c r="AH31" s="543"/>
      <c r="AI31" s="543"/>
      <c r="AM31" s="547"/>
      <c r="AN31" s="547"/>
      <c r="AO31" s="547"/>
      <c r="AP31" s="547"/>
      <c r="AQ31" s="547"/>
      <c r="AR31" s="548"/>
      <c r="AS31" s="547"/>
      <c r="AT31" s="547"/>
      <c r="AU31" s="547"/>
      <c r="AV31" s="547"/>
      <c r="AW31" s="547"/>
      <c r="AX31" s="548"/>
      <c r="AY31" s="547"/>
      <c r="AZ31" s="547"/>
      <c r="BA31" s="547"/>
      <c r="BB31" s="549"/>
      <c r="BC31" s="550"/>
      <c r="BD31" s="550"/>
      <c r="BE31" s="550"/>
      <c r="BG31" s="3"/>
      <c r="BH31" s="3"/>
    </row>
    <row r="32" spans="1:60" s="511" customFormat="1" x14ac:dyDescent="0.35">
      <c r="A32" s="3"/>
      <c r="B32" s="3"/>
      <c r="D32" s="540" t="s">
        <v>435</v>
      </c>
      <c r="E32" s="541" t="e">
        <f ca="1">_xll.CIQFUNCTIONS.UDF.CIQ(D32, "IQ_COMPANY_NAME")</f>
        <v>#NAME?</v>
      </c>
      <c r="F32" s="541"/>
      <c r="G32" s="542" t="e">
        <f ca="1">_xll.CIQFUNCTIONS.UDF.CIQ(D32, "IQ_LASTSALEPRICE",$E$5, "USD")</f>
        <v>#NAME?</v>
      </c>
      <c r="H32" s="542" t="e">
        <f ca="1">_xll.CIQFUNCTIONS.UDF.CIQ(D32, "IQ_YEARHIGH",$E$5, "USD")</f>
        <v>#NAME?</v>
      </c>
      <c r="I32" s="543" t="e">
        <f ca="1">+G32/H32</f>
        <v>#NAME?</v>
      </c>
      <c r="J32" s="544" t="e">
        <f ca="1">_xll.CIQFUNCTIONS.UDF.CIQ(D32, "IQ_MARKETCAP",$E$5, "USD")</f>
        <v>#NAME?</v>
      </c>
      <c r="K32" s="544" t="e">
        <f ca="1">_xll.CIQFUNCTIONS.UDF.CIQ(D32, "IQ_TEV",$E$5, "USD")</f>
        <v>#NAME?</v>
      </c>
      <c r="M32" s="545" t="str">
        <f t="shared" ref="M32:M39" ca="1" si="15">IFERROR($K32/AO32,"NA")</f>
        <v>NA</v>
      </c>
      <c r="N32" s="545" t="str">
        <f t="shared" ref="N32:N39" ca="1" si="16">IF(ISERROR(IF(V32&lt;=0,"NA",IF($K32/V32&gt;30,"NM",$K32/V32))),"NA",(IF(V32&lt;=0,"NA",IF($K32/V32&gt;30,"NM",$K32/V32))))</f>
        <v>NA</v>
      </c>
      <c r="O32" s="545" t="str">
        <f t="shared" ref="O32:P39" ca="1" si="17">IFERROR($K32/AP32,"NA")</f>
        <v>NA</v>
      </c>
      <c r="P32" s="545" t="str">
        <f t="shared" ca="1" si="17"/>
        <v>NA</v>
      </c>
      <c r="Q32" s="545"/>
      <c r="R32" s="546" t="str">
        <f t="shared" ref="R32:R39" ca="1" si="18">IFERROR($K32/AS32,"NA")</f>
        <v>NA</v>
      </c>
      <c r="S32" s="546" t="str">
        <f t="shared" ref="S32:S39" ca="1" si="19">IFERROR($K32/AU32,"NA")</f>
        <v>NA</v>
      </c>
      <c r="T32" s="546"/>
      <c r="U32" s="518"/>
      <c r="V32" s="544" t="e">
        <f t="shared" ref="V32:V39" ca="1" si="20">AM32</f>
        <v>#NAME?</v>
      </c>
      <c r="W32" s="544" t="e">
        <f t="shared" ref="W32:W39" ca="1" si="21">AS32</f>
        <v>#NAME?</v>
      </c>
      <c r="X32" s="518"/>
      <c r="Y32" s="543" t="str">
        <f ca="1">IFERROR(+AO32/AN32-1,"NA")</f>
        <v>NA</v>
      </c>
      <c r="Z32" s="543" t="str">
        <f ca="1">IFERROR(+AP32/AO32-1,"NA")</f>
        <v>NA</v>
      </c>
      <c r="AA32" s="543" t="str">
        <f ca="1">IFERROR((AP32/AN32)^(1/2)-1,"NA")</f>
        <v>NA</v>
      </c>
      <c r="AB32" s="518"/>
      <c r="AC32" s="543" t="str">
        <f t="shared" ref="AC32:AC39" ca="1" si="22">IFERROR(BE32,"NA")</f>
        <v>NA</v>
      </c>
      <c r="AD32" s="543" t="str">
        <f t="shared" ref="AD32:AD39" ca="1" si="23">IFERROR(BC32,"NA")</f>
        <v>NA</v>
      </c>
      <c r="AE32" s="518"/>
      <c r="AF32" s="543"/>
      <c r="AG32" s="543" t="str">
        <f ca="1">IFERROR(AS32/AM32,"NA")</f>
        <v>NA</v>
      </c>
      <c r="AH32" s="543" t="str">
        <f ca="1">IFERROR(AV32/AP32,"NA")</f>
        <v>NA</v>
      </c>
      <c r="AI32" s="543" t="str">
        <f ca="1">IFERROR(AW32/AQ32,"NA")</f>
        <v>NA</v>
      </c>
      <c r="AM32" s="547" t="e">
        <f ca="1">_xll.CIQFUNCTIONS.UDF.CIQ($D32, "IQ_TOTAL_REV", IQ_LTM, $E$5, , , "USD")</f>
        <v>#NAME?</v>
      </c>
      <c r="AN32" s="547" t="e">
        <f ca="1">_xll.CIQFUNCTIONS.UDF.CIQ($D32, "IQ_REVENUE", $AN$11, , , , "USD")</f>
        <v>#NAME?</v>
      </c>
      <c r="AO32" s="547" t="e">
        <f ca="1">_xll.CIQFUNCTIONS.UDF.CIQ($D32, "IQ_REVENUE", $AO$11, , , , "USD")</f>
        <v>#NAME?</v>
      </c>
      <c r="AP32" s="547" t="e">
        <f ca="1">_xll.CIQFUNCTIONS.UDF.CIQ($D32, "IQ_REVENUE_EST_CIQ", $AP$11, , , , "USD")</f>
        <v>#NAME?</v>
      </c>
      <c r="AQ32" s="547" t="e">
        <f ca="1">_xll.CIQFUNCTIONS.UDF.CIQ($D32, "IQ_REVENUE_EST_CIQ", $AQ$11, , , , "USD")</f>
        <v>#NAME?</v>
      </c>
      <c r="AR32" s="548"/>
      <c r="AS32" s="547" t="e">
        <f ca="1">_xll.CIQFUNCTIONS.UDF.CIQ($D32, "IQ_EBITDA", IQ_LTM, , , , "USD")</f>
        <v>#NAME?</v>
      </c>
      <c r="AT32" s="547" t="e">
        <f ca="1">_xll.CIQFUNCTIONS.UDF.CIQ($D32, "IQ_EBITDA", $AT$11, , , , "USD")</f>
        <v>#NAME?</v>
      </c>
      <c r="AU32" s="547" t="e">
        <f ca="1">_xll.CIQFUNCTIONS.UDF.CIQ($D32, "IQ_EBITDA", $AU$11, , , , "USD")</f>
        <v>#NAME?</v>
      </c>
      <c r="AV32" s="547" t="e">
        <f ca="1">_xll.CIQFUNCTIONS.UDF.CIQ($D32, "IQ_EBITDA_EST_CIQ", $AV$11, , , , "USD")</f>
        <v>#NAME?</v>
      </c>
      <c r="AW32" s="547" t="e">
        <f ca="1">_xll.CIQFUNCTIONS.UDF.CIQ($D32, "IQ_EBITDA_EST_CIQ", $AW$11, , , , "USD")</f>
        <v>#NAME?</v>
      </c>
      <c r="AX32" s="548"/>
      <c r="AY32" s="547" t="e">
        <f ca="1">_xll.CIQFUNCTIONS.UDF.CIQ(D32, "IQ_GP", IQ_LTM)</f>
        <v>#NAME?</v>
      </c>
      <c r="AZ32" s="547" t="e">
        <f ca="1">_xll.CIQFUNCTIONS.UDF.CIQ($D32, "IQ_GP", $AZ$11)</f>
        <v>#NAME?</v>
      </c>
      <c r="BA32" s="547" t="e">
        <f ca="1">_xll.CIQFUNCTIONS.UDF.CIQ($D32, "IQ_GP", $BA$11)</f>
        <v>#NAME?</v>
      </c>
      <c r="BB32" s="549"/>
      <c r="BC32" s="550" t="e">
        <f ca="1">_xll.CIQFUNCTIONS.UDF.CIQ($D32, "IQ_GROSS_MARGIN", IQ_LTM)/100</f>
        <v>#NAME?</v>
      </c>
      <c r="BD32" s="550" t="e">
        <f ca="1">_xll.CIQFUNCTIONS.UDF.CIQ($D32, "IQ_GROSS_MARGIN", $BD$11)/100</f>
        <v>#NAME?</v>
      </c>
      <c r="BE32" s="550" t="e">
        <f ca="1">_xll.CIQFUNCTIONS.UDF.CIQ($D32, "IQ_GROSS_MARGIN", $BE$11)/100</f>
        <v>#NAME?</v>
      </c>
      <c r="BG32" s="3"/>
      <c r="BH32" s="3"/>
    </row>
    <row r="33" spans="1:60" s="511" customFormat="1" x14ac:dyDescent="0.35">
      <c r="A33" s="3"/>
      <c r="B33" s="3"/>
      <c r="D33" s="540" t="s">
        <v>436</v>
      </c>
      <c r="E33" s="541" t="e">
        <f ca="1">_xll.CIQFUNCTIONS.UDF.CIQ(D33, "IQ_COMPANY_NAME")</f>
        <v>#NAME?</v>
      </c>
      <c r="F33" s="541"/>
      <c r="G33" s="542" t="e">
        <f ca="1">_xll.CIQFUNCTIONS.UDF.CIQ(D33, "IQ_LASTSALEPRICE",$E$5, "USD")</f>
        <v>#NAME?</v>
      </c>
      <c r="H33" s="542" t="e">
        <f ca="1">_xll.CIQFUNCTIONS.UDF.CIQ(D33, "IQ_YEARHIGH",$E$5, "USD")</f>
        <v>#NAME?</v>
      </c>
      <c r="I33" s="543" t="e">
        <f t="shared" ref="I33:I39" ca="1" si="24">+G33/H33</f>
        <v>#NAME?</v>
      </c>
      <c r="J33" s="544" t="e">
        <f ca="1">_xll.CIQFUNCTIONS.UDF.CIQ(D33, "IQ_MARKETCAP",$E$5, "USD")</f>
        <v>#NAME?</v>
      </c>
      <c r="K33" s="544" t="e">
        <f ca="1">_xll.CIQFUNCTIONS.UDF.CIQ(D33, "IQ_TEV",$E$5, "USD")</f>
        <v>#NAME?</v>
      </c>
      <c r="M33" s="545" t="str">
        <f t="shared" ca="1" si="15"/>
        <v>NA</v>
      </c>
      <c r="N33" s="545" t="str">
        <f t="shared" ca="1" si="16"/>
        <v>NA</v>
      </c>
      <c r="O33" s="545" t="str">
        <f t="shared" ca="1" si="17"/>
        <v>NA</v>
      </c>
      <c r="P33" s="545" t="str">
        <f t="shared" ca="1" si="17"/>
        <v>NA</v>
      </c>
      <c r="Q33" s="545"/>
      <c r="R33" s="546" t="str">
        <f t="shared" ca="1" si="18"/>
        <v>NA</v>
      </c>
      <c r="S33" s="546" t="str">
        <f t="shared" ca="1" si="19"/>
        <v>NA</v>
      </c>
      <c r="T33" s="546"/>
      <c r="U33" s="518"/>
      <c r="V33" s="551" t="e">
        <f t="shared" ca="1" si="20"/>
        <v>#NAME?</v>
      </c>
      <c r="W33" s="551" t="e">
        <f t="shared" ca="1" si="21"/>
        <v>#NAME?</v>
      </c>
      <c r="X33" s="518"/>
      <c r="Y33" s="543" t="str">
        <f t="shared" ref="Y33:Z39" ca="1" si="25">IFERROR(+AO33/AN33-1,"NA")</f>
        <v>NA</v>
      </c>
      <c r="Z33" s="543" t="str">
        <f t="shared" ca="1" si="25"/>
        <v>NA</v>
      </c>
      <c r="AA33" s="543" t="str">
        <f t="shared" ref="AA33:AA39" ca="1" si="26">IFERROR((AP33/AN33)^(1/2)-1,"NA")</f>
        <v>NA</v>
      </c>
      <c r="AB33" s="518"/>
      <c r="AC33" s="543" t="str">
        <f t="shared" ca="1" si="22"/>
        <v>NA</v>
      </c>
      <c r="AD33" s="543" t="str">
        <f t="shared" ca="1" si="23"/>
        <v>NA</v>
      </c>
      <c r="AE33" s="518"/>
      <c r="AF33" s="543"/>
      <c r="AG33" s="543" t="str">
        <f t="shared" ref="AG33:AG39" ca="1" si="27">IFERROR(AS33/AM33,"NA")</f>
        <v>NA</v>
      </c>
      <c r="AH33" s="543" t="str">
        <f t="shared" ref="AH33:AI39" ca="1" si="28">IFERROR(AV33/AP33,"NA")</f>
        <v>NA</v>
      </c>
      <c r="AI33" s="543" t="str">
        <f t="shared" ca="1" si="28"/>
        <v>NA</v>
      </c>
      <c r="AM33" s="547" t="e">
        <f ca="1">_xll.CIQFUNCTIONS.UDF.CIQ($D33, "IQ_TOTAL_REV", IQ_LTM, $E$5, , , "USD")</f>
        <v>#NAME?</v>
      </c>
      <c r="AN33" s="547" t="e">
        <f ca="1">_xll.CIQFUNCTIONS.UDF.CIQ($D33, "IQ_REVENUE", $AN$11, , , , "USD")</f>
        <v>#NAME?</v>
      </c>
      <c r="AO33" s="547" t="e">
        <f ca="1">_xll.CIQFUNCTIONS.UDF.CIQ($D33, "IQ_REVENUE", $AO$11, , , , "USD")</f>
        <v>#NAME?</v>
      </c>
      <c r="AP33" s="547" t="e">
        <f ca="1">_xll.CIQFUNCTIONS.UDF.CIQ($D33, "IQ_REVENUE_EST_CIQ", $AP$11, , , , "USD")</f>
        <v>#NAME?</v>
      </c>
      <c r="AQ33" s="547" t="e">
        <f ca="1">_xll.CIQFUNCTIONS.UDF.CIQ($D33, "IQ_REVENUE_EST_CIQ", $AQ$11, , , , "USD")</f>
        <v>#NAME?</v>
      </c>
      <c r="AR33" s="548"/>
      <c r="AS33" s="547" t="e">
        <f ca="1">_xll.CIQFUNCTIONS.UDF.CIQ($D33, "IQ_EBITDA", IQ_LTM, , , , "USD")</f>
        <v>#NAME?</v>
      </c>
      <c r="AT33" s="547" t="e">
        <f ca="1">_xll.CIQFUNCTIONS.UDF.CIQ($D33, "IQ_EBITDA", $AT$11, , , , "USD")</f>
        <v>#NAME?</v>
      </c>
      <c r="AU33" s="547" t="e">
        <f ca="1">_xll.CIQFUNCTIONS.UDF.CIQ($D33, "IQ_EBITDA", $AU$11, , , , "USD")</f>
        <v>#NAME?</v>
      </c>
      <c r="AV33" s="547" t="e">
        <f ca="1">_xll.CIQFUNCTIONS.UDF.CIQ($D33, "IQ_EBITDA_EST_CIQ", $AV$11, , , , "USD")</f>
        <v>#NAME?</v>
      </c>
      <c r="AW33" s="547" t="e">
        <f ca="1">_xll.CIQFUNCTIONS.UDF.CIQ($D33, "IQ_EBITDA_EST_CIQ", $AW$11, , , , "USD")</f>
        <v>#NAME?</v>
      </c>
      <c r="AX33" s="548"/>
      <c r="AY33" s="547" t="e">
        <f ca="1">_xll.CIQFUNCTIONS.UDF.CIQ(D33, "IQ_GP", IQ_LTM)</f>
        <v>#NAME?</v>
      </c>
      <c r="AZ33" s="547" t="e">
        <f ca="1">_xll.CIQFUNCTIONS.UDF.CIQ($D33, "IQ_GP", $AZ$11)</f>
        <v>#NAME?</v>
      </c>
      <c r="BA33" s="547" t="e">
        <f ca="1">_xll.CIQFUNCTIONS.UDF.CIQ($D33, "IQ_GP", $BA$11)</f>
        <v>#NAME?</v>
      </c>
      <c r="BB33" s="549"/>
      <c r="BC33" s="550" t="e">
        <f ca="1">_xll.CIQFUNCTIONS.UDF.CIQ($D33, "IQ_GROSS_MARGIN", IQ_LTM)/100</f>
        <v>#NAME?</v>
      </c>
      <c r="BD33" s="550" t="e">
        <f ca="1">_xll.CIQFUNCTIONS.UDF.CIQ($D33, "IQ_GROSS_MARGIN", $BD$11)/100</f>
        <v>#NAME?</v>
      </c>
      <c r="BE33" s="550" t="e">
        <f ca="1">_xll.CIQFUNCTIONS.UDF.CIQ($D33, "IQ_GROSS_MARGIN", $BE$11)/100</f>
        <v>#NAME?</v>
      </c>
      <c r="BG33" s="3"/>
      <c r="BH33" s="3"/>
    </row>
    <row r="34" spans="1:60" s="511" customFormat="1" x14ac:dyDescent="0.35">
      <c r="A34" s="3"/>
      <c r="B34" s="3"/>
      <c r="D34" s="540" t="s">
        <v>437</v>
      </c>
      <c r="E34" s="541" t="e">
        <f ca="1">_xll.CIQFUNCTIONS.UDF.CIQ(D34, "IQ_COMPANY_NAME")</f>
        <v>#NAME?</v>
      </c>
      <c r="F34" s="541"/>
      <c r="G34" s="542" t="e">
        <f ca="1">_xll.CIQFUNCTIONS.UDF.CIQ(D34, "IQ_LASTSALEPRICE",$E$5, "USD")</f>
        <v>#NAME?</v>
      </c>
      <c r="H34" s="542" t="e">
        <f ca="1">_xll.CIQFUNCTIONS.UDF.CIQ(D34, "IQ_YEARHIGH",$E$5, "USD")</f>
        <v>#NAME?</v>
      </c>
      <c r="I34" s="543" t="e">
        <f t="shared" ca="1" si="24"/>
        <v>#NAME?</v>
      </c>
      <c r="J34" s="544" t="e">
        <f ca="1">_xll.CIQFUNCTIONS.UDF.CIQ(D34, "IQ_MARKETCAP",$E$5, "USD")</f>
        <v>#NAME?</v>
      </c>
      <c r="K34" s="544" t="e">
        <f ca="1">_xll.CIQFUNCTIONS.UDF.CIQ(D34, "IQ_TEV",$E$5, "USD")</f>
        <v>#NAME?</v>
      </c>
      <c r="M34" s="545" t="str">
        <f t="shared" ca="1" si="15"/>
        <v>NA</v>
      </c>
      <c r="N34" s="545" t="str">
        <f t="shared" ca="1" si="16"/>
        <v>NA</v>
      </c>
      <c r="O34" s="545" t="str">
        <f t="shared" ca="1" si="17"/>
        <v>NA</v>
      </c>
      <c r="P34" s="545" t="str">
        <f t="shared" ca="1" si="17"/>
        <v>NA</v>
      </c>
      <c r="Q34" s="545"/>
      <c r="R34" s="546" t="str">
        <f t="shared" ca="1" si="18"/>
        <v>NA</v>
      </c>
      <c r="S34" s="546" t="str">
        <f t="shared" ca="1" si="19"/>
        <v>NA</v>
      </c>
      <c r="T34" s="546"/>
      <c r="U34" s="518"/>
      <c r="V34" s="551" t="e">
        <f t="shared" ca="1" si="20"/>
        <v>#NAME?</v>
      </c>
      <c r="W34" s="551" t="e">
        <f t="shared" ca="1" si="21"/>
        <v>#NAME?</v>
      </c>
      <c r="X34" s="518"/>
      <c r="Y34" s="543" t="str">
        <f t="shared" ca="1" si="25"/>
        <v>NA</v>
      </c>
      <c r="Z34" s="543" t="str">
        <f t="shared" ca="1" si="25"/>
        <v>NA</v>
      </c>
      <c r="AA34" s="543" t="str">
        <f t="shared" ca="1" si="26"/>
        <v>NA</v>
      </c>
      <c r="AB34" s="518"/>
      <c r="AC34" s="543" t="str">
        <f t="shared" ca="1" si="22"/>
        <v>NA</v>
      </c>
      <c r="AD34" s="543" t="str">
        <f t="shared" ca="1" si="23"/>
        <v>NA</v>
      </c>
      <c r="AE34" s="518"/>
      <c r="AF34" s="543"/>
      <c r="AG34" s="543" t="str">
        <f t="shared" ca="1" si="27"/>
        <v>NA</v>
      </c>
      <c r="AH34" s="543" t="str">
        <f t="shared" ca="1" si="28"/>
        <v>NA</v>
      </c>
      <c r="AI34" s="543" t="str">
        <f t="shared" ca="1" si="28"/>
        <v>NA</v>
      </c>
      <c r="AM34" s="547" t="e">
        <f ca="1">_xll.CIQFUNCTIONS.UDF.CIQ($D34, "IQ_TOTAL_REV", IQ_LTM, $E$5, , , "USD")</f>
        <v>#NAME?</v>
      </c>
      <c r="AN34" s="547" t="e">
        <f ca="1">_xll.CIQFUNCTIONS.UDF.CIQ($D34, "IQ_REVENUE", $AN$11, , , , "USD")</f>
        <v>#NAME?</v>
      </c>
      <c r="AO34" s="547" t="e">
        <f ca="1">_xll.CIQFUNCTIONS.UDF.CIQ($D34, "IQ_REVENUE", $AO$11, , , , "USD")</f>
        <v>#NAME?</v>
      </c>
      <c r="AP34" s="547" t="e">
        <f ca="1">_xll.CIQFUNCTIONS.UDF.CIQ($D34, "IQ_REVENUE_EST_CIQ", $AP$11, , , , "USD")</f>
        <v>#NAME?</v>
      </c>
      <c r="AQ34" s="547" t="e">
        <f ca="1">_xll.CIQFUNCTIONS.UDF.CIQ($D34, "IQ_REVENUE_EST_CIQ", $AQ$11, , , , "USD")</f>
        <v>#NAME?</v>
      </c>
      <c r="AR34" s="548"/>
      <c r="AS34" s="547" t="e">
        <f ca="1">_xll.CIQFUNCTIONS.UDF.CIQ($D34, "IQ_EBITDA", IQ_LTM, , , , "USD")</f>
        <v>#NAME?</v>
      </c>
      <c r="AT34" s="547" t="e">
        <f ca="1">_xll.CIQFUNCTIONS.UDF.CIQ($D34, "IQ_EBITDA", $AT$11, , , , "USD")</f>
        <v>#NAME?</v>
      </c>
      <c r="AU34" s="547" t="e">
        <f ca="1">_xll.CIQFUNCTIONS.UDF.CIQ($D34, "IQ_EBITDA", $AU$11, , , , "USD")</f>
        <v>#NAME?</v>
      </c>
      <c r="AV34" s="547" t="e">
        <f ca="1">_xll.CIQFUNCTIONS.UDF.CIQ($D34, "IQ_EBITDA_EST_CIQ", $AV$11, , , , "USD")</f>
        <v>#NAME?</v>
      </c>
      <c r="AW34" s="547" t="e">
        <f ca="1">_xll.CIQFUNCTIONS.UDF.CIQ($D34, "IQ_EBITDA_EST_CIQ", $AW$11, , , , "USD")</f>
        <v>#NAME?</v>
      </c>
      <c r="AX34" s="548"/>
      <c r="AY34" s="547" t="e">
        <f ca="1">_xll.CIQFUNCTIONS.UDF.CIQ(D34, "IQ_GP", IQ_LTM)</f>
        <v>#NAME?</v>
      </c>
      <c r="AZ34" s="547" t="e">
        <f ca="1">_xll.CIQFUNCTIONS.UDF.CIQ($D34, "IQ_GP", $AZ$11)</f>
        <v>#NAME?</v>
      </c>
      <c r="BA34" s="547" t="e">
        <f ca="1">_xll.CIQFUNCTIONS.UDF.CIQ($D34, "IQ_GP", $BA$11)</f>
        <v>#NAME?</v>
      </c>
      <c r="BB34" s="549"/>
      <c r="BC34" s="550" t="e">
        <f ca="1">_xll.CIQFUNCTIONS.UDF.CIQ($D34, "IQ_GROSS_MARGIN", IQ_LTM)/100</f>
        <v>#NAME?</v>
      </c>
      <c r="BD34" s="550" t="e">
        <f ca="1">_xll.CIQFUNCTIONS.UDF.CIQ($D34, "IQ_GROSS_MARGIN", $BD$11)/100</f>
        <v>#NAME?</v>
      </c>
      <c r="BE34" s="550" t="e">
        <f ca="1">_xll.CIQFUNCTIONS.UDF.CIQ($D34, "IQ_GROSS_MARGIN", $BE$11)/100</f>
        <v>#NAME?</v>
      </c>
      <c r="BG34" s="3"/>
      <c r="BH34" s="3"/>
    </row>
    <row r="35" spans="1:60" s="511" customFormat="1" x14ac:dyDescent="0.35">
      <c r="A35" s="3"/>
      <c r="B35" s="3"/>
      <c r="D35" s="540" t="s">
        <v>438</v>
      </c>
      <c r="E35" s="541" t="e">
        <f ca="1">_xll.CIQFUNCTIONS.UDF.CIQ(D35, "IQ_COMPANY_NAME")</f>
        <v>#NAME?</v>
      </c>
      <c r="F35" s="541"/>
      <c r="G35" s="542" t="e">
        <f ca="1">_xll.CIQFUNCTIONS.UDF.CIQ(D35, "IQ_LASTSALEPRICE",$E$5, "USD")</f>
        <v>#NAME?</v>
      </c>
      <c r="H35" s="542" t="e">
        <f ca="1">_xll.CIQFUNCTIONS.UDF.CIQ(D35, "IQ_YEARHIGH",$E$5, "USD")</f>
        <v>#NAME?</v>
      </c>
      <c r="I35" s="543" t="e">
        <f t="shared" ca="1" si="24"/>
        <v>#NAME?</v>
      </c>
      <c r="J35" s="544" t="e">
        <f ca="1">_xll.CIQFUNCTIONS.UDF.CIQ(D35, "IQ_MARKETCAP",$E$5, "USD")</f>
        <v>#NAME?</v>
      </c>
      <c r="K35" s="544" t="e">
        <f ca="1">_xll.CIQFUNCTIONS.UDF.CIQ(D35, "IQ_TEV",$E$5, "USD")</f>
        <v>#NAME?</v>
      </c>
      <c r="M35" s="545" t="str">
        <f t="shared" ca="1" si="15"/>
        <v>NA</v>
      </c>
      <c r="N35" s="545" t="str">
        <f t="shared" ca="1" si="16"/>
        <v>NA</v>
      </c>
      <c r="O35" s="545" t="str">
        <f t="shared" ca="1" si="17"/>
        <v>NA</v>
      </c>
      <c r="P35" s="545" t="str">
        <f t="shared" ca="1" si="17"/>
        <v>NA</v>
      </c>
      <c r="Q35" s="545"/>
      <c r="R35" s="546" t="str">
        <f t="shared" ca="1" si="18"/>
        <v>NA</v>
      </c>
      <c r="S35" s="546" t="str">
        <f t="shared" ca="1" si="19"/>
        <v>NA</v>
      </c>
      <c r="T35" s="546"/>
      <c r="U35" s="518"/>
      <c r="V35" s="551" t="e">
        <f t="shared" ca="1" si="20"/>
        <v>#NAME?</v>
      </c>
      <c r="W35" s="551" t="e">
        <f t="shared" ca="1" si="21"/>
        <v>#NAME?</v>
      </c>
      <c r="X35" s="518"/>
      <c r="Y35" s="543" t="str">
        <f t="shared" ca="1" si="25"/>
        <v>NA</v>
      </c>
      <c r="Z35" s="543" t="str">
        <f t="shared" ca="1" si="25"/>
        <v>NA</v>
      </c>
      <c r="AA35" s="543" t="str">
        <f t="shared" ca="1" si="26"/>
        <v>NA</v>
      </c>
      <c r="AB35" s="518"/>
      <c r="AC35" s="543" t="str">
        <f t="shared" ca="1" si="22"/>
        <v>NA</v>
      </c>
      <c r="AD35" s="543" t="str">
        <f t="shared" ca="1" si="23"/>
        <v>NA</v>
      </c>
      <c r="AE35" s="518"/>
      <c r="AF35" s="543"/>
      <c r="AG35" s="543" t="str">
        <f t="shared" ca="1" si="27"/>
        <v>NA</v>
      </c>
      <c r="AH35" s="543" t="str">
        <f t="shared" ca="1" si="28"/>
        <v>NA</v>
      </c>
      <c r="AI35" s="543" t="str">
        <f t="shared" ca="1" si="28"/>
        <v>NA</v>
      </c>
      <c r="AM35" s="547" t="e">
        <f ca="1">_xll.CIQFUNCTIONS.UDF.CIQ($D35, "IQ_TOTAL_REV", IQ_LTM, $E$5, , , "USD")</f>
        <v>#NAME?</v>
      </c>
      <c r="AN35" s="547" t="e">
        <f ca="1">_xll.CIQFUNCTIONS.UDF.CIQ($D35, "IQ_REVENUE", $AN$11, , , , "USD")</f>
        <v>#NAME?</v>
      </c>
      <c r="AO35" s="547" t="e">
        <f ca="1">_xll.CIQFUNCTIONS.UDF.CIQ($D35, "IQ_REVENUE", $AO$11, , , , "USD")</f>
        <v>#NAME?</v>
      </c>
      <c r="AP35" s="547" t="e">
        <f ca="1">_xll.CIQFUNCTIONS.UDF.CIQ($D35, "IQ_REVENUE_EST_CIQ", $AP$11, , , , "USD")</f>
        <v>#NAME?</v>
      </c>
      <c r="AQ35" s="547" t="e">
        <f ca="1">_xll.CIQFUNCTIONS.UDF.CIQ($D35, "IQ_REVENUE_EST_CIQ", $AQ$11, , , , "USD")</f>
        <v>#NAME?</v>
      </c>
      <c r="AR35" s="548"/>
      <c r="AS35" s="547" t="e">
        <f ca="1">_xll.CIQFUNCTIONS.UDF.CIQ($D35, "IQ_EBITDA", IQ_LTM, , , , "USD")</f>
        <v>#NAME?</v>
      </c>
      <c r="AT35" s="547" t="e">
        <f ca="1">_xll.CIQFUNCTIONS.UDF.CIQ($D35, "IQ_EBITDA", $AT$11, , , , "USD")</f>
        <v>#NAME?</v>
      </c>
      <c r="AU35" s="547" t="e">
        <f ca="1">_xll.CIQFUNCTIONS.UDF.CIQ($D35, "IQ_EBITDA", $AU$11, , , , "USD")</f>
        <v>#NAME?</v>
      </c>
      <c r="AV35" s="547" t="e">
        <f ca="1">_xll.CIQFUNCTIONS.UDF.CIQ($D35, "IQ_EBITDA_EST_CIQ", $AV$11, , , , "USD")</f>
        <v>#NAME?</v>
      </c>
      <c r="AW35" s="547" t="e">
        <f ca="1">_xll.CIQFUNCTIONS.UDF.CIQ($D35, "IQ_EBITDA_EST_CIQ", $AW$11, , , , "USD")</f>
        <v>#NAME?</v>
      </c>
      <c r="AX35" s="548"/>
      <c r="AY35" s="547" t="e">
        <f ca="1">_xll.CIQFUNCTIONS.UDF.CIQ(D35, "IQ_GP", IQ_LTM)</f>
        <v>#NAME?</v>
      </c>
      <c r="AZ35" s="547" t="e">
        <f ca="1">_xll.CIQFUNCTIONS.UDF.CIQ($D35, "IQ_GP", $AZ$11)</f>
        <v>#NAME?</v>
      </c>
      <c r="BA35" s="547" t="e">
        <f ca="1">_xll.CIQFUNCTIONS.UDF.CIQ($D35, "IQ_GP", $BA$11)</f>
        <v>#NAME?</v>
      </c>
      <c r="BB35" s="549"/>
      <c r="BC35" s="550" t="e">
        <f ca="1">_xll.CIQFUNCTIONS.UDF.CIQ($D35, "IQ_GROSS_MARGIN", IQ_LTM)/100</f>
        <v>#NAME?</v>
      </c>
      <c r="BD35" s="550" t="e">
        <f ca="1">_xll.CIQFUNCTIONS.UDF.CIQ($D35, "IQ_GROSS_MARGIN", $BD$11)/100</f>
        <v>#NAME?</v>
      </c>
      <c r="BE35" s="550" t="e">
        <f ca="1">_xll.CIQFUNCTIONS.UDF.CIQ($D35, "IQ_GROSS_MARGIN", $BE$11)/100</f>
        <v>#NAME?</v>
      </c>
      <c r="BG35" s="3"/>
      <c r="BH35" s="3"/>
    </row>
    <row r="36" spans="1:60" s="511" customFormat="1" x14ac:dyDescent="0.35">
      <c r="A36" s="3"/>
      <c r="B36" s="3"/>
      <c r="D36" s="540" t="s">
        <v>439</v>
      </c>
      <c r="E36" s="541" t="e">
        <f ca="1">_xll.CIQFUNCTIONS.UDF.CIQ(D36, "IQ_COMPANY_NAME")</f>
        <v>#NAME?</v>
      </c>
      <c r="F36" s="541"/>
      <c r="G36" s="542" t="e">
        <f ca="1">_xll.CIQFUNCTIONS.UDF.CIQ(D36, "IQ_LASTSALEPRICE",$E$5, "USD")</f>
        <v>#NAME?</v>
      </c>
      <c r="H36" s="542" t="e">
        <f ca="1">_xll.CIQFUNCTIONS.UDF.CIQ(D36, "IQ_YEARHIGH",$E$5, "USD")</f>
        <v>#NAME?</v>
      </c>
      <c r="I36" s="543" t="e">
        <f t="shared" ca="1" si="24"/>
        <v>#NAME?</v>
      </c>
      <c r="J36" s="544" t="e">
        <f ca="1">_xll.CIQFUNCTIONS.UDF.CIQ(D36, "IQ_MARKETCAP",$E$5, "USD")</f>
        <v>#NAME?</v>
      </c>
      <c r="K36" s="544" t="e">
        <f ca="1">_xll.CIQFUNCTIONS.UDF.CIQ(D36, "IQ_TEV",$E$5, "USD")</f>
        <v>#NAME?</v>
      </c>
      <c r="M36" s="545" t="str">
        <f t="shared" ca="1" si="15"/>
        <v>NA</v>
      </c>
      <c r="N36" s="545" t="str">
        <f t="shared" ca="1" si="16"/>
        <v>NA</v>
      </c>
      <c r="O36" s="545" t="str">
        <f t="shared" ca="1" si="17"/>
        <v>NA</v>
      </c>
      <c r="P36" s="545" t="str">
        <f t="shared" ca="1" si="17"/>
        <v>NA</v>
      </c>
      <c r="Q36" s="545"/>
      <c r="R36" s="546" t="str">
        <f t="shared" ca="1" si="18"/>
        <v>NA</v>
      </c>
      <c r="S36" s="546" t="str">
        <f t="shared" ca="1" si="19"/>
        <v>NA</v>
      </c>
      <c r="T36" s="546"/>
      <c r="U36" s="518"/>
      <c r="V36" s="551" t="e">
        <f t="shared" ca="1" si="20"/>
        <v>#NAME?</v>
      </c>
      <c r="W36" s="551" t="e">
        <f t="shared" ca="1" si="21"/>
        <v>#NAME?</v>
      </c>
      <c r="X36" s="518"/>
      <c r="Y36" s="543" t="str">
        <f t="shared" ca="1" si="25"/>
        <v>NA</v>
      </c>
      <c r="Z36" s="543" t="str">
        <f t="shared" ca="1" si="25"/>
        <v>NA</v>
      </c>
      <c r="AA36" s="543" t="str">
        <f t="shared" ca="1" si="26"/>
        <v>NA</v>
      </c>
      <c r="AB36" s="518"/>
      <c r="AC36" s="543" t="str">
        <f t="shared" ca="1" si="22"/>
        <v>NA</v>
      </c>
      <c r="AD36" s="543" t="str">
        <f t="shared" ca="1" si="23"/>
        <v>NA</v>
      </c>
      <c r="AE36" s="518"/>
      <c r="AF36" s="543"/>
      <c r="AG36" s="543" t="str">
        <f t="shared" ca="1" si="27"/>
        <v>NA</v>
      </c>
      <c r="AH36" s="543" t="str">
        <f t="shared" ca="1" si="28"/>
        <v>NA</v>
      </c>
      <c r="AI36" s="543" t="str">
        <f t="shared" ca="1" si="28"/>
        <v>NA</v>
      </c>
      <c r="AM36" s="547" t="e">
        <f ca="1">_xll.CIQFUNCTIONS.UDF.CIQ($D36, "IQ_TOTAL_REV", IQ_LTM, $E$5, , , "USD")</f>
        <v>#NAME?</v>
      </c>
      <c r="AN36" s="547" t="e">
        <f ca="1">_xll.CIQFUNCTIONS.UDF.CIQ($D36, "IQ_REVENUE", $AN$11, , , , "USD")</f>
        <v>#NAME?</v>
      </c>
      <c r="AO36" s="547" t="e">
        <f ca="1">_xll.CIQFUNCTIONS.UDF.CIQ($D36, "IQ_REVENUE", $AO$11, , , , "USD")</f>
        <v>#NAME?</v>
      </c>
      <c r="AP36" s="547" t="e">
        <f ca="1">_xll.CIQFUNCTIONS.UDF.CIQ($D36, "IQ_REVENUE_EST_CIQ", $AP$11, , , , "USD")</f>
        <v>#NAME?</v>
      </c>
      <c r="AQ36" s="547" t="e">
        <f ca="1">_xll.CIQFUNCTIONS.UDF.CIQ($D36, "IQ_REVENUE_EST_CIQ", $AQ$11, , , , "USD")</f>
        <v>#NAME?</v>
      </c>
      <c r="AR36" s="548"/>
      <c r="AS36" s="547" t="e">
        <f ca="1">_xll.CIQFUNCTIONS.UDF.CIQ($D36, "IQ_EBITDA", IQ_LTM, , , , "USD")</f>
        <v>#NAME?</v>
      </c>
      <c r="AT36" s="547" t="e">
        <f ca="1">_xll.CIQFUNCTIONS.UDF.CIQ($D36, "IQ_EBITDA", $AT$11, , , , "USD")</f>
        <v>#NAME?</v>
      </c>
      <c r="AU36" s="547" t="e">
        <f ca="1">_xll.CIQFUNCTIONS.UDF.CIQ($D36, "IQ_EBITDA", $AU$11, , , , "USD")</f>
        <v>#NAME?</v>
      </c>
      <c r="AV36" s="547" t="e">
        <f ca="1">_xll.CIQFUNCTIONS.UDF.CIQ($D36, "IQ_EBITDA_EST_CIQ", $AV$11, , , , "USD")</f>
        <v>#NAME?</v>
      </c>
      <c r="AW36" s="547" t="e">
        <f ca="1">_xll.CIQFUNCTIONS.UDF.CIQ($D36, "IQ_EBITDA_EST_CIQ", $AW$11, , , , "USD")</f>
        <v>#NAME?</v>
      </c>
      <c r="AX36" s="548"/>
      <c r="AY36" s="547" t="e">
        <f ca="1">_xll.CIQFUNCTIONS.UDF.CIQ(D36, "IQ_GP", IQ_LTM)</f>
        <v>#NAME?</v>
      </c>
      <c r="AZ36" s="547" t="e">
        <f ca="1">_xll.CIQFUNCTIONS.UDF.CIQ($D36, "IQ_GP", $AZ$11)</f>
        <v>#NAME?</v>
      </c>
      <c r="BA36" s="547" t="e">
        <f ca="1">_xll.CIQFUNCTIONS.UDF.CIQ($D36, "IQ_GP", $BA$11)</f>
        <v>#NAME?</v>
      </c>
      <c r="BB36" s="549"/>
      <c r="BC36" s="550" t="e">
        <f ca="1">_xll.CIQFUNCTIONS.UDF.CIQ($D36, "IQ_GROSS_MARGIN", IQ_LTM)/100</f>
        <v>#NAME?</v>
      </c>
      <c r="BD36" s="550" t="e">
        <f ca="1">_xll.CIQFUNCTIONS.UDF.CIQ($D36, "IQ_GROSS_MARGIN", $BD$11)/100</f>
        <v>#NAME?</v>
      </c>
      <c r="BE36" s="550" t="e">
        <f ca="1">_xll.CIQFUNCTIONS.UDF.CIQ($D36, "IQ_GROSS_MARGIN", $BE$11)/100</f>
        <v>#NAME?</v>
      </c>
      <c r="BG36" s="3"/>
      <c r="BH36" s="3"/>
    </row>
    <row r="37" spans="1:60" s="511" customFormat="1" x14ac:dyDescent="0.35">
      <c r="A37" s="3"/>
      <c r="B37" s="3"/>
      <c r="D37" s="540" t="s">
        <v>440</v>
      </c>
      <c r="E37" s="541" t="e">
        <f ca="1">_xll.CIQFUNCTIONS.UDF.CIQ(D37, "IQ_COMPANY_NAME")</f>
        <v>#NAME?</v>
      </c>
      <c r="F37" s="541"/>
      <c r="G37" s="542" t="e">
        <f ca="1">_xll.CIQFUNCTIONS.UDF.CIQ(D37, "IQ_LASTSALEPRICE",$E$5, "USD")</f>
        <v>#NAME?</v>
      </c>
      <c r="H37" s="542" t="e">
        <f ca="1">_xll.CIQFUNCTIONS.UDF.CIQ(D37, "IQ_YEARHIGH",$E$5, "USD")</f>
        <v>#NAME?</v>
      </c>
      <c r="I37" s="543" t="e">
        <f t="shared" ca="1" si="24"/>
        <v>#NAME?</v>
      </c>
      <c r="J37" s="544" t="e">
        <f ca="1">_xll.CIQFUNCTIONS.UDF.CIQ(D37, "IQ_MARKETCAP",$E$5, "USD")</f>
        <v>#NAME?</v>
      </c>
      <c r="K37" s="544" t="e">
        <f ca="1">_xll.CIQFUNCTIONS.UDF.CIQ(D37, "IQ_TEV",$E$5, "USD")</f>
        <v>#NAME?</v>
      </c>
      <c r="M37" s="545" t="str">
        <f t="shared" ca="1" si="15"/>
        <v>NA</v>
      </c>
      <c r="N37" s="545" t="str">
        <f t="shared" ca="1" si="16"/>
        <v>NA</v>
      </c>
      <c r="O37" s="545" t="str">
        <f t="shared" ca="1" si="17"/>
        <v>NA</v>
      </c>
      <c r="P37" s="545" t="str">
        <f t="shared" ca="1" si="17"/>
        <v>NA</v>
      </c>
      <c r="Q37" s="545"/>
      <c r="R37" s="546" t="str">
        <f t="shared" ca="1" si="18"/>
        <v>NA</v>
      </c>
      <c r="S37" s="546" t="str">
        <f t="shared" ca="1" si="19"/>
        <v>NA</v>
      </c>
      <c r="T37" s="546"/>
      <c r="U37" s="518"/>
      <c r="V37" s="551" t="e">
        <f t="shared" ca="1" si="20"/>
        <v>#NAME?</v>
      </c>
      <c r="W37" s="551" t="e">
        <f t="shared" ca="1" si="21"/>
        <v>#NAME?</v>
      </c>
      <c r="X37" s="518"/>
      <c r="Y37" s="543" t="str">
        <f t="shared" ca="1" si="25"/>
        <v>NA</v>
      </c>
      <c r="Z37" s="543" t="str">
        <f t="shared" ca="1" si="25"/>
        <v>NA</v>
      </c>
      <c r="AA37" s="543" t="str">
        <f t="shared" ca="1" si="26"/>
        <v>NA</v>
      </c>
      <c r="AB37" s="518"/>
      <c r="AC37" s="543" t="str">
        <f t="shared" ca="1" si="22"/>
        <v>NA</v>
      </c>
      <c r="AD37" s="543" t="str">
        <f t="shared" ca="1" si="23"/>
        <v>NA</v>
      </c>
      <c r="AE37" s="518"/>
      <c r="AF37" s="543"/>
      <c r="AG37" s="543" t="str">
        <f t="shared" ca="1" si="27"/>
        <v>NA</v>
      </c>
      <c r="AH37" s="543" t="str">
        <f t="shared" ca="1" si="28"/>
        <v>NA</v>
      </c>
      <c r="AI37" s="543" t="str">
        <f t="shared" ca="1" si="28"/>
        <v>NA</v>
      </c>
      <c r="AM37" s="547" t="e">
        <f ca="1">_xll.CIQFUNCTIONS.UDF.CIQ($D37, "IQ_TOTAL_REV", IQ_LTM, $E$5, , , "USD")</f>
        <v>#NAME?</v>
      </c>
      <c r="AN37" s="547" t="e">
        <f ca="1">_xll.CIQFUNCTIONS.UDF.CIQ($D37, "IQ_REVENUE", $AN$11, , , , "USD")</f>
        <v>#NAME?</v>
      </c>
      <c r="AO37" s="547" t="e">
        <f ca="1">_xll.CIQFUNCTIONS.UDF.CIQ($D37, "IQ_REVENUE", $AO$11, , , , "USD")</f>
        <v>#NAME?</v>
      </c>
      <c r="AP37" s="547" t="e">
        <f ca="1">_xll.CIQFUNCTIONS.UDF.CIQ($D37, "IQ_REVENUE_EST_CIQ", $AP$11, , , , "USD")</f>
        <v>#NAME?</v>
      </c>
      <c r="AQ37" s="547" t="e">
        <f ca="1">_xll.CIQFUNCTIONS.UDF.CIQ($D37, "IQ_REVENUE_EST_CIQ", $AQ$11, , , , "USD")</f>
        <v>#NAME?</v>
      </c>
      <c r="AR37" s="548"/>
      <c r="AS37" s="547" t="e">
        <f ca="1">_xll.CIQFUNCTIONS.UDF.CIQ($D37, "IQ_EBITDA", IQ_LTM, , , , "USD")</f>
        <v>#NAME?</v>
      </c>
      <c r="AT37" s="547" t="e">
        <f ca="1">_xll.CIQFUNCTIONS.UDF.CIQ($D37, "IQ_EBITDA", $AT$11, , , , "USD")</f>
        <v>#NAME?</v>
      </c>
      <c r="AU37" s="547" t="e">
        <f ca="1">_xll.CIQFUNCTIONS.UDF.CIQ($D37, "IQ_EBITDA", $AU$11, , , , "USD")</f>
        <v>#NAME?</v>
      </c>
      <c r="AV37" s="547" t="e">
        <f ca="1">_xll.CIQFUNCTIONS.UDF.CIQ($D37, "IQ_EBITDA_EST_CIQ", $AV$11, , , , "USD")</f>
        <v>#NAME?</v>
      </c>
      <c r="AW37" s="547" t="e">
        <f ca="1">_xll.CIQFUNCTIONS.UDF.CIQ($D37, "IQ_EBITDA_EST_CIQ", $AW$11, , , , "USD")</f>
        <v>#NAME?</v>
      </c>
      <c r="AX37" s="548"/>
      <c r="AY37" s="547" t="e">
        <f ca="1">_xll.CIQFUNCTIONS.UDF.CIQ(D37, "IQ_GP", IQ_LTM)</f>
        <v>#NAME?</v>
      </c>
      <c r="AZ37" s="547" t="e">
        <f ca="1">_xll.CIQFUNCTIONS.UDF.CIQ($D37, "IQ_GP", $AZ$11)</f>
        <v>#NAME?</v>
      </c>
      <c r="BA37" s="547" t="e">
        <f ca="1">_xll.CIQFUNCTIONS.UDF.CIQ($D37, "IQ_GP", $BA$11)</f>
        <v>#NAME?</v>
      </c>
      <c r="BB37" s="549"/>
      <c r="BC37" s="550" t="e">
        <f ca="1">_xll.CIQFUNCTIONS.UDF.CIQ($D37, "IQ_GROSS_MARGIN", IQ_LTM)/100</f>
        <v>#NAME?</v>
      </c>
      <c r="BD37" s="550" t="e">
        <f ca="1">_xll.CIQFUNCTIONS.UDF.CIQ($D37, "IQ_GROSS_MARGIN", $BD$11)/100</f>
        <v>#NAME?</v>
      </c>
      <c r="BE37" s="550" t="e">
        <f ca="1">_xll.CIQFUNCTIONS.UDF.CIQ($D37, "IQ_GROSS_MARGIN", $BE$11)/100</f>
        <v>#NAME?</v>
      </c>
      <c r="BG37" s="3"/>
      <c r="BH37" s="3"/>
    </row>
    <row r="38" spans="1:60" s="511" customFormat="1" x14ac:dyDescent="0.35">
      <c r="A38" s="3"/>
      <c r="B38" s="3"/>
      <c r="D38" s="540"/>
      <c r="E38" s="541" t="e">
        <f ca="1">_xll.CIQFUNCTIONS.UDF.CIQ(D38, "IQ_COMPANY_NAME")</f>
        <v>#NAME?</v>
      </c>
      <c r="F38" s="541"/>
      <c r="G38" s="542" t="e">
        <f ca="1">_xll.CIQFUNCTIONS.UDF.CIQ(D38, "IQ_LASTSALEPRICE",$E$5, "USD")</f>
        <v>#NAME?</v>
      </c>
      <c r="H38" s="542" t="e">
        <f ca="1">_xll.CIQFUNCTIONS.UDF.CIQ(D38, "IQ_YEARHIGH",$E$5, "USD")</f>
        <v>#NAME?</v>
      </c>
      <c r="I38" s="543" t="e">
        <f t="shared" ca="1" si="24"/>
        <v>#NAME?</v>
      </c>
      <c r="J38" s="544" t="e">
        <f ca="1">_xll.CIQFUNCTIONS.UDF.CIQ(D38, "IQ_MARKETCAP",$E$5, "USD")</f>
        <v>#NAME?</v>
      </c>
      <c r="K38" s="544" t="e">
        <f ca="1">_xll.CIQFUNCTIONS.UDF.CIQ(D38, "IQ_TEV",$E$5, "USD")</f>
        <v>#NAME?</v>
      </c>
      <c r="M38" s="545" t="str">
        <f t="shared" ca="1" si="15"/>
        <v>NA</v>
      </c>
      <c r="N38" s="545" t="str">
        <f t="shared" ca="1" si="16"/>
        <v>NA</v>
      </c>
      <c r="O38" s="545" t="str">
        <f t="shared" ca="1" si="17"/>
        <v>NA</v>
      </c>
      <c r="P38" s="545" t="str">
        <f t="shared" ca="1" si="17"/>
        <v>NA</v>
      </c>
      <c r="Q38" s="545"/>
      <c r="R38" s="546" t="str">
        <f t="shared" ca="1" si="18"/>
        <v>NA</v>
      </c>
      <c r="S38" s="546" t="str">
        <f t="shared" ca="1" si="19"/>
        <v>NA</v>
      </c>
      <c r="T38" s="546"/>
      <c r="U38" s="518"/>
      <c r="V38" s="551" t="e">
        <f t="shared" ca="1" si="20"/>
        <v>#NAME?</v>
      </c>
      <c r="W38" s="551" t="e">
        <f t="shared" ca="1" si="21"/>
        <v>#NAME?</v>
      </c>
      <c r="X38" s="518"/>
      <c r="Y38" s="543" t="str">
        <f t="shared" ca="1" si="25"/>
        <v>NA</v>
      </c>
      <c r="Z38" s="543" t="str">
        <f t="shared" ca="1" si="25"/>
        <v>NA</v>
      </c>
      <c r="AA38" s="543" t="str">
        <f t="shared" ca="1" si="26"/>
        <v>NA</v>
      </c>
      <c r="AB38" s="518"/>
      <c r="AC38" s="543" t="str">
        <f t="shared" ca="1" si="22"/>
        <v>NA</v>
      </c>
      <c r="AD38" s="543" t="str">
        <f t="shared" ca="1" si="23"/>
        <v>NA</v>
      </c>
      <c r="AE38" s="518"/>
      <c r="AF38" s="543"/>
      <c r="AG38" s="543" t="str">
        <f t="shared" ca="1" si="27"/>
        <v>NA</v>
      </c>
      <c r="AH38" s="543" t="str">
        <f t="shared" ca="1" si="28"/>
        <v>NA</v>
      </c>
      <c r="AI38" s="543" t="str">
        <f t="shared" ca="1" si="28"/>
        <v>NA</v>
      </c>
      <c r="AM38" s="547" t="e">
        <f ca="1">_xll.CIQFUNCTIONS.UDF.CIQ($D38, "IQ_TOTAL_REV", IQ_LTM, $E$5, , , "USD")</f>
        <v>#NAME?</v>
      </c>
      <c r="AN38" s="547" t="e">
        <f ca="1">_xll.CIQFUNCTIONS.UDF.CIQ($D38, "IQ_REVENUE", $AN$11, , , , "USD")</f>
        <v>#NAME?</v>
      </c>
      <c r="AO38" s="547" t="e">
        <f ca="1">_xll.CIQFUNCTIONS.UDF.CIQ($D38, "IQ_REVENUE", $AO$11, , , , "USD")</f>
        <v>#NAME?</v>
      </c>
      <c r="AP38" s="547" t="e">
        <f ca="1">_xll.CIQFUNCTIONS.UDF.CIQ($D38, "IQ_REVENUE_EST_CIQ", $AP$11, , , , "USD")</f>
        <v>#NAME?</v>
      </c>
      <c r="AQ38" s="547" t="e">
        <f ca="1">_xll.CIQFUNCTIONS.UDF.CIQ($D38, "IQ_REVENUE_EST_CIQ", $AQ$11, , , , "USD")</f>
        <v>#NAME?</v>
      </c>
      <c r="AR38" s="548"/>
      <c r="AS38" s="547" t="e">
        <f ca="1">_xll.CIQFUNCTIONS.UDF.CIQ($D38, "IQ_EBITDA", IQ_LTM, , , , "USD")</f>
        <v>#NAME?</v>
      </c>
      <c r="AT38" s="547" t="e">
        <f ca="1">_xll.CIQFUNCTIONS.UDF.CIQ($D38, "IQ_EBITDA", $AT$11, , , , "USD")</f>
        <v>#NAME?</v>
      </c>
      <c r="AU38" s="547" t="e">
        <f ca="1">_xll.CIQFUNCTIONS.UDF.CIQ($D38, "IQ_EBITDA", $AU$11, , , , "USD")</f>
        <v>#NAME?</v>
      </c>
      <c r="AV38" s="547" t="e">
        <f ca="1">_xll.CIQFUNCTIONS.UDF.CIQ($D38, "IQ_EBITDA_EST_CIQ", $AV$11, , , , "USD")</f>
        <v>#NAME?</v>
      </c>
      <c r="AW38" s="547" t="e">
        <f ca="1">_xll.CIQFUNCTIONS.UDF.CIQ($D38, "IQ_EBITDA_EST_CIQ", $AW$11, , , , "USD")</f>
        <v>#NAME?</v>
      </c>
      <c r="AX38" s="548"/>
      <c r="AY38" s="547" t="e">
        <f ca="1">_xll.CIQFUNCTIONS.UDF.CIQ(D38, "IQ_GP", IQ_LTM)</f>
        <v>#NAME?</v>
      </c>
      <c r="AZ38" s="547" t="e">
        <f ca="1">_xll.CIQFUNCTIONS.UDF.CIQ($D38, "IQ_GP", $AZ$11)</f>
        <v>#NAME?</v>
      </c>
      <c r="BA38" s="547" t="e">
        <f ca="1">_xll.CIQFUNCTIONS.UDF.CIQ($D38, "IQ_GP", $BA$11)</f>
        <v>#NAME?</v>
      </c>
      <c r="BB38" s="549"/>
      <c r="BC38" s="550" t="e">
        <f ca="1">_xll.CIQFUNCTIONS.UDF.CIQ($D38, "IQ_GROSS_MARGIN", IQ_LTM)/100</f>
        <v>#NAME?</v>
      </c>
      <c r="BD38" s="550" t="e">
        <f ca="1">_xll.CIQFUNCTIONS.UDF.CIQ($D38, "IQ_GROSS_MARGIN", $BD$11)/100</f>
        <v>#NAME?</v>
      </c>
      <c r="BE38" s="550" t="e">
        <f ca="1">_xll.CIQFUNCTIONS.UDF.CIQ($D38, "IQ_GROSS_MARGIN", $BE$11)/100</f>
        <v>#NAME?</v>
      </c>
      <c r="BG38" s="3"/>
      <c r="BH38" s="3"/>
    </row>
    <row r="39" spans="1:60" s="511" customFormat="1" x14ac:dyDescent="0.35">
      <c r="A39" s="3"/>
      <c r="B39" s="3"/>
      <c r="D39" s="540"/>
      <c r="E39" s="541" t="e">
        <f ca="1">_xll.CIQFUNCTIONS.UDF.CIQ(D39, "IQ_COMPANY_NAME")</f>
        <v>#NAME?</v>
      </c>
      <c r="F39" s="541"/>
      <c r="G39" s="542" t="e">
        <f ca="1">_xll.CIQFUNCTIONS.UDF.CIQ(D39, "IQ_LASTSALEPRICE",$E$5, "USD")</f>
        <v>#NAME?</v>
      </c>
      <c r="H39" s="542" t="e">
        <f ca="1">_xll.CIQFUNCTIONS.UDF.CIQ(D39, "IQ_YEARHIGH",$E$5, "USD")</f>
        <v>#NAME?</v>
      </c>
      <c r="I39" s="543" t="e">
        <f t="shared" ca="1" si="24"/>
        <v>#NAME?</v>
      </c>
      <c r="J39" s="544" t="e">
        <f ca="1">_xll.CIQFUNCTIONS.UDF.CIQ(D39, "IQ_MARKETCAP",$E$5, "USD")</f>
        <v>#NAME?</v>
      </c>
      <c r="K39" s="544" t="e">
        <f ca="1">_xll.CIQFUNCTIONS.UDF.CIQ(D39, "IQ_TEV",$E$5, "USD")</f>
        <v>#NAME?</v>
      </c>
      <c r="M39" s="545" t="str">
        <f t="shared" ca="1" si="15"/>
        <v>NA</v>
      </c>
      <c r="N39" s="545" t="str">
        <f t="shared" ca="1" si="16"/>
        <v>NA</v>
      </c>
      <c r="O39" s="545" t="str">
        <f t="shared" ca="1" si="17"/>
        <v>NA</v>
      </c>
      <c r="P39" s="545" t="str">
        <f t="shared" ca="1" si="17"/>
        <v>NA</v>
      </c>
      <c r="Q39" s="545"/>
      <c r="R39" s="546" t="str">
        <f t="shared" ca="1" si="18"/>
        <v>NA</v>
      </c>
      <c r="S39" s="546" t="str">
        <f t="shared" ca="1" si="19"/>
        <v>NA</v>
      </c>
      <c r="T39" s="546"/>
      <c r="U39" s="518"/>
      <c r="V39" s="551" t="e">
        <f t="shared" ca="1" si="20"/>
        <v>#NAME?</v>
      </c>
      <c r="W39" s="551" t="e">
        <f t="shared" ca="1" si="21"/>
        <v>#NAME?</v>
      </c>
      <c r="X39" s="518"/>
      <c r="Y39" s="543" t="str">
        <f t="shared" ca="1" si="25"/>
        <v>NA</v>
      </c>
      <c r="Z39" s="543" t="str">
        <f t="shared" ca="1" si="25"/>
        <v>NA</v>
      </c>
      <c r="AA39" s="543" t="str">
        <f t="shared" ca="1" si="26"/>
        <v>NA</v>
      </c>
      <c r="AB39" s="518"/>
      <c r="AC39" s="543" t="str">
        <f t="shared" ca="1" si="22"/>
        <v>NA</v>
      </c>
      <c r="AD39" s="543" t="str">
        <f t="shared" ca="1" si="23"/>
        <v>NA</v>
      </c>
      <c r="AE39" s="518"/>
      <c r="AF39" s="543"/>
      <c r="AG39" s="543" t="str">
        <f t="shared" ca="1" si="27"/>
        <v>NA</v>
      </c>
      <c r="AH39" s="543" t="str">
        <f t="shared" ca="1" si="28"/>
        <v>NA</v>
      </c>
      <c r="AI39" s="543" t="str">
        <f t="shared" ca="1" si="28"/>
        <v>NA</v>
      </c>
      <c r="AM39" s="547" t="e">
        <f ca="1">_xll.CIQFUNCTIONS.UDF.CIQ($D39, "IQ_TOTAL_REV", IQ_LTM, $E$5, , , "USD")</f>
        <v>#NAME?</v>
      </c>
      <c r="AN39" s="547" t="e">
        <f ca="1">_xll.CIQFUNCTIONS.UDF.CIQ($D39, "IQ_REVENUE", $AN$11, , , , "USD")</f>
        <v>#NAME?</v>
      </c>
      <c r="AO39" s="547" t="e">
        <f ca="1">_xll.CIQFUNCTIONS.UDF.CIQ($D39, "IQ_REVENUE", $AO$11, , , , "USD")</f>
        <v>#NAME?</v>
      </c>
      <c r="AP39" s="547" t="e">
        <f ca="1">_xll.CIQFUNCTIONS.UDF.CIQ($D39, "IQ_REVENUE_EST_CIQ", $AP$11, , , , "USD")</f>
        <v>#NAME?</v>
      </c>
      <c r="AQ39" s="547" t="e">
        <f ca="1">_xll.CIQFUNCTIONS.UDF.CIQ($D39, "IQ_REVENUE_EST_CIQ", $AQ$11, , , , "USD")</f>
        <v>#NAME?</v>
      </c>
      <c r="AR39" s="548"/>
      <c r="AS39" s="547" t="e">
        <f ca="1">_xll.CIQFUNCTIONS.UDF.CIQ($D39, "IQ_EBITDA", IQ_LTM, , , , "USD")</f>
        <v>#NAME?</v>
      </c>
      <c r="AT39" s="547" t="e">
        <f ca="1">_xll.CIQFUNCTIONS.UDF.CIQ($D39, "IQ_EBITDA", $AT$11, , , , "USD")</f>
        <v>#NAME?</v>
      </c>
      <c r="AU39" s="547" t="e">
        <f ca="1">_xll.CIQFUNCTIONS.UDF.CIQ($D39, "IQ_EBITDA", $AU$11, , , , "USD")</f>
        <v>#NAME?</v>
      </c>
      <c r="AV39" s="547" t="e">
        <f ca="1">_xll.CIQFUNCTIONS.UDF.CIQ($D39, "IQ_EBITDA_EST_CIQ", $AV$11, , , , "USD")</f>
        <v>#NAME?</v>
      </c>
      <c r="AW39" s="547" t="e">
        <f ca="1">_xll.CIQFUNCTIONS.UDF.CIQ($D39, "IQ_EBITDA_EST_CIQ", $AW$11, , , , "USD")</f>
        <v>#NAME?</v>
      </c>
      <c r="AX39" s="548"/>
      <c r="AY39" s="547" t="e">
        <f ca="1">_xll.CIQFUNCTIONS.UDF.CIQ(D39, "IQ_GP", IQ_LTM)</f>
        <v>#NAME?</v>
      </c>
      <c r="AZ39" s="547" t="e">
        <f ca="1">_xll.CIQFUNCTIONS.UDF.CIQ($D39, "IQ_GP", $AZ$11)</f>
        <v>#NAME?</v>
      </c>
      <c r="BA39" s="547" t="e">
        <f ca="1">_xll.CIQFUNCTIONS.UDF.CIQ($D39, "IQ_GP", $BA$11)</f>
        <v>#NAME?</v>
      </c>
      <c r="BB39" s="549"/>
      <c r="BC39" s="550" t="e">
        <f ca="1">_xll.CIQFUNCTIONS.UDF.CIQ($D39, "IQ_GROSS_MARGIN", IQ_LTM)/100</f>
        <v>#NAME?</v>
      </c>
      <c r="BD39" s="550" t="e">
        <f ca="1">_xll.CIQFUNCTIONS.UDF.CIQ($D39, "IQ_GROSS_MARGIN", $BD$11)/100</f>
        <v>#NAME?</v>
      </c>
      <c r="BE39" s="550" t="e">
        <f ca="1">_xll.CIQFUNCTIONS.UDF.CIQ($D39, "IQ_GROSS_MARGIN", $BE$11)/100</f>
        <v>#NAME?</v>
      </c>
      <c r="BG39" s="3"/>
      <c r="BH39" s="3"/>
    </row>
    <row r="40" spans="1:60" s="511" customFormat="1" x14ac:dyDescent="0.35">
      <c r="A40" s="3"/>
      <c r="B40" s="3"/>
      <c r="E40" s="552"/>
      <c r="F40" s="552"/>
      <c r="G40" s="553"/>
      <c r="H40" s="553"/>
      <c r="I40" s="554"/>
      <c r="J40" s="555"/>
      <c r="K40" s="556"/>
      <c r="L40" s="557"/>
      <c r="M40" s="558"/>
      <c r="N40" s="558"/>
      <c r="O40" s="558"/>
      <c r="P40" s="558"/>
      <c r="Q40" s="558"/>
      <c r="R40" s="559"/>
      <c r="S40" s="559"/>
      <c r="T40" s="559"/>
      <c r="U40" s="560"/>
      <c r="V40" s="556"/>
      <c r="W40" s="555"/>
      <c r="X40" s="560"/>
      <c r="Y40" s="554"/>
      <c r="Z40" s="554"/>
      <c r="AA40" s="554"/>
      <c r="AB40" s="560"/>
      <c r="AC40" s="554"/>
      <c r="AD40" s="554"/>
      <c r="AE40" s="560"/>
      <c r="AF40" s="554"/>
      <c r="AG40" s="554"/>
      <c r="AH40" s="554"/>
      <c r="AI40" s="554"/>
      <c r="AM40" s="547"/>
      <c r="AN40" s="547"/>
      <c r="AO40" s="547"/>
      <c r="AP40" s="547"/>
      <c r="AQ40" s="547"/>
      <c r="AR40" s="547"/>
      <c r="AS40" s="547"/>
      <c r="AT40" s="547"/>
      <c r="AU40" s="547"/>
      <c r="AV40" s="547"/>
      <c r="AW40" s="547"/>
      <c r="AX40" s="548"/>
      <c r="AY40" s="547"/>
      <c r="AZ40" s="547"/>
      <c r="BA40" s="547"/>
      <c r="BB40" s="549"/>
      <c r="BC40" s="550"/>
      <c r="BD40" s="550"/>
      <c r="BE40" s="550"/>
      <c r="BG40" s="3"/>
      <c r="BH40" s="3"/>
    </row>
    <row r="41" spans="1:60" s="511" customFormat="1" x14ac:dyDescent="0.35">
      <c r="A41" s="3"/>
      <c r="B41" s="3"/>
      <c r="D41" s="561"/>
      <c r="E41" s="562" t="s">
        <v>137</v>
      </c>
      <c r="F41" s="562"/>
      <c r="G41" s="563"/>
      <c r="H41" s="564"/>
      <c r="I41" s="564"/>
      <c r="J41" s="563"/>
      <c r="K41" s="563"/>
      <c r="L41" s="565"/>
      <c r="M41" s="566" t="e">
        <f ca="1">AVERAGE(M32:M39)</f>
        <v>#DIV/0!</v>
      </c>
      <c r="N41" s="566" t="e">
        <f ca="1">AVERAGE(N32:N39)</f>
        <v>#DIV/0!</v>
      </c>
      <c r="O41" s="566" t="e">
        <f ca="1">AVERAGE(O32:O39)</f>
        <v>#DIV/0!</v>
      </c>
      <c r="P41" s="566" t="e">
        <f ca="1">AVERAGE(P32:P39)</f>
        <v>#DIV/0!</v>
      </c>
      <c r="Q41" s="566"/>
      <c r="R41" s="566" t="e">
        <f ca="1">AVERAGE(R32:R39)</f>
        <v>#DIV/0!</v>
      </c>
      <c r="S41" s="567" t="e">
        <f ca="1">AVERAGE(S32:S39)</f>
        <v>#DIV/0!</v>
      </c>
      <c r="T41" s="567"/>
      <c r="U41" s="563"/>
      <c r="V41" s="568" t="e">
        <f ca="1">AVERAGE(V32:V39)</f>
        <v>#NAME?</v>
      </c>
      <c r="W41" s="568" t="e">
        <f ca="1">AVERAGE(W32:W39)</f>
        <v>#NAME?</v>
      </c>
      <c r="X41" s="563"/>
      <c r="Y41" s="569" t="e">
        <f ca="1">AVERAGE(Y32:Y39)</f>
        <v>#DIV/0!</v>
      </c>
      <c r="Z41" s="569" t="e">
        <f ca="1">AVERAGE(Z32:Z39)</f>
        <v>#DIV/0!</v>
      </c>
      <c r="AA41" s="569" t="e">
        <f ca="1">AVERAGE(AA32:AA39)</f>
        <v>#DIV/0!</v>
      </c>
      <c r="AB41" s="569"/>
      <c r="AC41" s="569" t="e">
        <f ca="1">AVERAGE(AC32:AC39)</f>
        <v>#DIV/0!</v>
      </c>
      <c r="AD41" s="569" t="e">
        <f ca="1">AVERAGE(AD32:AD39)</f>
        <v>#DIV/0!</v>
      </c>
      <c r="AE41" s="569"/>
      <c r="AF41" s="569"/>
      <c r="AG41" s="569" t="e">
        <f ca="1">AVERAGE(AG32:AG39)</f>
        <v>#DIV/0!</v>
      </c>
      <c r="AH41" s="569" t="e">
        <f ca="1">AVERAGE(AH32:AH39)</f>
        <v>#DIV/0!</v>
      </c>
      <c r="AI41" s="569" t="e">
        <f ca="1">AVERAGE(AI32:AI39)</f>
        <v>#DIV/0!</v>
      </c>
      <c r="AJ41" s="570"/>
      <c r="AM41" s="547"/>
      <c r="AN41" s="547"/>
      <c r="AO41" s="547"/>
      <c r="AP41" s="547"/>
      <c r="AQ41" s="547"/>
      <c r="AR41" s="548"/>
      <c r="AS41" s="547"/>
      <c r="AT41" s="547"/>
      <c r="AU41" s="547"/>
      <c r="AV41" s="547"/>
      <c r="AW41" s="547"/>
      <c r="AX41" s="548"/>
      <c r="AY41" s="572"/>
      <c r="AZ41" s="547"/>
      <c r="BA41" s="547"/>
      <c r="BB41" s="549"/>
      <c r="BC41" s="550"/>
      <c r="BD41" s="550"/>
      <c r="BE41" s="550"/>
      <c r="BG41" s="3"/>
      <c r="BH41" s="3"/>
    </row>
    <row r="42" spans="1:60" s="511" customFormat="1" x14ac:dyDescent="0.35">
      <c r="A42" s="3"/>
      <c r="B42" s="3"/>
      <c r="D42" s="561"/>
      <c r="E42" s="562" t="s">
        <v>138</v>
      </c>
      <c r="F42" s="562"/>
      <c r="G42" s="563"/>
      <c r="H42" s="564"/>
      <c r="I42" s="564"/>
      <c r="J42" s="563"/>
      <c r="K42" s="563"/>
      <c r="L42" s="565"/>
      <c r="M42" s="566" t="e">
        <f ca="1">MEDIAN(M32:M39)</f>
        <v>#NUM!</v>
      </c>
      <c r="N42" s="566" t="e">
        <f ca="1">MEDIAN(N32:N39)</f>
        <v>#NUM!</v>
      </c>
      <c r="O42" s="566" t="e">
        <f ca="1">MEDIAN(O32:O39)</f>
        <v>#NUM!</v>
      </c>
      <c r="P42" s="566" t="e">
        <f ca="1">MEDIAN(P32:P39)</f>
        <v>#NUM!</v>
      </c>
      <c r="Q42" s="566"/>
      <c r="R42" s="566" t="e">
        <f ca="1">MEDIAN(R32:R39)</f>
        <v>#NUM!</v>
      </c>
      <c r="S42" s="566" t="e">
        <f ca="1">MEDIAN(S32:S39)</f>
        <v>#NUM!</v>
      </c>
      <c r="T42" s="566"/>
      <c r="U42" s="563"/>
      <c r="V42" s="568" t="e">
        <f ca="1">MEDIAN(V32:V39)</f>
        <v>#NAME?</v>
      </c>
      <c r="W42" s="568" t="e">
        <f ca="1">MEDIAN(W32:W39)</f>
        <v>#NAME?</v>
      </c>
      <c r="X42" s="563"/>
      <c r="Y42" s="569" t="e">
        <f ca="1">MEDIAN(Y32:Y39)</f>
        <v>#NUM!</v>
      </c>
      <c r="Z42" s="569" t="e">
        <f ca="1">MEDIAN(Z32:Z39)</f>
        <v>#NUM!</v>
      </c>
      <c r="AA42" s="569" t="e">
        <f ca="1">MEDIAN(AA32:AA39)</f>
        <v>#NUM!</v>
      </c>
      <c r="AB42" s="569"/>
      <c r="AC42" s="569" t="e">
        <f ca="1">MEDIAN(AC32:AC39)</f>
        <v>#NUM!</v>
      </c>
      <c r="AD42" s="569" t="e">
        <f ca="1">MEDIAN(AD32:AD39)</f>
        <v>#NUM!</v>
      </c>
      <c r="AE42" s="569"/>
      <c r="AF42" s="569"/>
      <c r="AG42" s="569" t="e">
        <f ca="1">MEDIAN(AG32:AG39)</f>
        <v>#NUM!</v>
      </c>
      <c r="AH42" s="569" t="e">
        <f ca="1">MEDIAN(AH32:AH39)</f>
        <v>#NUM!</v>
      </c>
      <c r="AI42" s="569" t="e">
        <f ca="1">MEDIAN(AI32:AI39)</f>
        <v>#NUM!</v>
      </c>
      <c r="AJ42" s="570"/>
      <c r="AM42" s="547"/>
      <c r="AN42" s="547"/>
      <c r="AO42" s="547"/>
      <c r="AP42" s="547"/>
      <c r="AQ42" s="547"/>
      <c r="AR42" s="548"/>
      <c r="AS42" s="547"/>
      <c r="AT42" s="547"/>
      <c r="AU42" s="547"/>
      <c r="AV42" s="547"/>
      <c r="AW42" s="547"/>
      <c r="AX42" s="548"/>
      <c r="AY42" s="572"/>
      <c r="AZ42" s="547"/>
      <c r="BA42" s="547"/>
      <c r="BB42" s="549"/>
      <c r="BC42" s="550"/>
      <c r="BD42" s="550"/>
      <c r="BE42" s="550"/>
      <c r="BG42" s="3"/>
      <c r="BH42" s="3"/>
    </row>
    <row r="43" spans="1:60" s="511" customFormat="1" x14ac:dyDescent="0.35">
      <c r="A43" s="3"/>
      <c r="B43" s="3"/>
      <c r="E43" s="581"/>
      <c r="F43" s="581"/>
      <c r="G43" s="582"/>
      <c r="H43" s="582"/>
      <c r="I43" s="576"/>
      <c r="J43" s="583"/>
      <c r="K43" s="584"/>
      <c r="L43" s="585"/>
      <c r="M43" s="586"/>
      <c r="N43" s="586"/>
      <c r="O43" s="586"/>
      <c r="P43" s="586"/>
      <c r="Q43" s="586"/>
      <c r="R43" s="586"/>
      <c r="S43" s="586"/>
      <c r="T43" s="586"/>
      <c r="U43" s="587"/>
      <c r="V43" s="583"/>
      <c r="W43" s="583"/>
      <c r="X43" s="587"/>
      <c r="Y43" s="576"/>
      <c r="Z43" s="576"/>
      <c r="AA43" s="576"/>
      <c r="AB43" s="587"/>
      <c r="AC43" s="576"/>
      <c r="AD43" s="576"/>
      <c r="AE43" s="587"/>
      <c r="AF43" s="576"/>
      <c r="AG43" s="576"/>
      <c r="AH43" s="576"/>
      <c r="AI43" s="576"/>
      <c r="AM43" s="547"/>
      <c r="AN43" s="547"/>
      <c r="AO43" s="547"/>
      <c r="AP43" s="547"/>
      <c r="AQ43" s="547"/>
      <c r="AR43" s="548"/>
      <c r="AS43" s="547"/>
      <c r="AT43" s="547"/>
      <c r="AU43" s="547"/>
      <c r="AV43" s="547"/>
      <c r="AW43" s="547"/>
      <c r="AX43" s="548"/>
      <c r="AY43" s="572"/>
      <c r="AZ43" s="547"/>
      <c r="BA43" s="547"/>
      <c r="BB43" s="549"/>
      <c r="BC43" s="550"/>
      <c r="BD43" s="550"/>
      <c r="BE43" s="550"/>
      <c r="BG43" s="3"/>
      <c r="BH43" s="3"/>
    </row>
    <row r="44" spans="1:60" s="511" customFormat="1" x14ac:dyDescent="0.35">
      <c r="A44" s="3"/>
      <c r="B44" s="3"/>
      <c r="E44" s="588"/>
      <c r="F44" s="588"/>
      <c r="G44" s="498"/>
      <c r="H44" s="589"/>
      <c r="I44" s="589"/>
      <c r="J44" s="498"/>
      <c r="K44" s="498"/>
      <c r="L44" s="498"/>
      <c r="M44" s="590"/>
      <c r="N44" s="590"/>
      <c r="O44" s="590"/>
      <c r="P44" s="590"/>
      <c r="Q44" s="591"/>
      <c r="R44" s="591"/>
      <c r="S44" s="591"/>
      <c r="T44" s="591"/>
      <c r="U44" s="498"/>
      <c r="V44" s="547"/>
      <c r="W44" s="547"/>
      <c r="X44" s="498"/>
      <c r="Y44" s="592"/>
      <c r="Z44" s="592"/>
      <c r="AA44" s="592"/>
      <c r="AB44" s="592"/>
      <c r="AC44" s="592"/>
      <c r="AD44" s="592"/>
      <c r="AE44" s="592"/>
      <c r="AF44" s="592"/>
      <c r="AG44" s="592"/>
      <c r="AH44" s="592"/>
      <c r="AI44" s="592"/>
      <c r="AM44" s="547"/>
      <c r="AN44" s="547"/>
      <c r="AO44" s="547"/>
      <c r="AP44" s="547"/>
      <c r="AQ44" s="547"/>
      <c r="AR44" s="548"/>
      <c r="AS44" s="547"/>
      <c r="AT44" s="547"/>
      <c r="AU44" s="547"/>
      <c r="AV44" s="547"/>
      <c r="AW44" s="547"/>
      <c r="AX44" s="548"/>
      <c r="AY44" s="572"/>
      <c r="AZ44" s="547"/>
      <c r="BA44" s="547"/>
      <c r="BB44" s="549"/>
      <c r="BC44" s="550"/>
      <c r="BD44" s="550"/>
      <c r="BE44" s="550"/>
      <c r="BG44" s="3"/>
      <c r="BH44" s="3"/>
    </row>
    <row r="45" spans="1:60" s="498" customFormat="1" x14ac:dyDescent="0.35">
      <c r="A45" s="3"/>
      <c r="B45" s="3"/>
      <c r="E45" s="593" t="s">
        <v>442</v>
      </c>
      <c r="F45" s="590"/>
      <c r="J45" s="589"/>
      <c r="AM45" s="547"/>
      <c r="AN45" s="547"/>
      <c r="AO45" s="547"/>
      <c r="AP45" s="547"/>
      <c r="AQ45" s="547"/>
      <c r="AS45" s="547"/>
      <c r="AT45" s="547"/>
      <c r="AU45" s="547"/>
      <c r="AV45" s="547"/>
      <c r="AW45" s="547"/>
      <c r="AZ45" s="547"/>
      <c r="BA45" s="547"/>
      <c r="BC45" s="550"/>
      <c r="BD45" s="550"/>
      <c r="BE45" s="550"/>
      <c r="BG45" s="3"/>
      <c r="BH45" s="3"/>
    </row>
    <row r="46" spans="1:60" s="498" customFormat="1" x14ac:dyDescent="0.35">
      <c r="A46" s="3"/>
      <c r="B46" s="3"/>
      <c r="E46" s="593"/>
      <c r="AM46" s="547"/>
      <c r="AN46" s="547"/>
      <c r="AO46" s="547"/>
      <c r="AP46" s="547"/>
      <c r="AQ46" s="547"/>
      <c r="AS46" s="547"/>
      <c r="AT46" s="547"/>
      <c r="AU46" s="547"/>
      <c r="AV46" s="547"/>
      <c r="AW46" s="547"/>
      <c r="AZ46" s="547"/>
      <c r="BA46" s="547"/>
      <c r="BC46" s="550"/>
      <c r="BD46" s="550"/>
      <c r="BE46" s="550"/>
      <c r="BG46" s="3"/>
      <c r="BH46" s="3"/>
    </row>
    <row r="47" spans="1:60" s="498" customFormat="1" x14ac:dyDescent="0.35">
      <c r="A47" s="3"/>
      <c r="B47" s="3"/>
      <c r="AM47" s="547"/>
      <c r="AN47" s="547"/>
      <c r="AO47" s="547"/>
      <c r="AP47" s="547"/>
      <c r="AQ47" s="547"/>
      <c r="AS47" s="547"/>
      <c r="AT47" s="547"/>
      <c r="AU47" s="547"/>
      <c r="AV47" s="547"/>
      <c r="AW47" s="547"/>
      <c r="AZ47" s="547"/>
      <c r="BA47" s="547"/>
      <c r="BC47" s="550"/>
      <c r="BD47" s="550"/>
      <c r="BE47" s="550"/>
      <c r="BG47" s="3"/>
      <c r="BH47" s="3"/>
    </row>
    <row r="48" spans="1:60" s="511" customFormat="1" x14ac:dyDescent="0.35">
      <c r="A48" s="3"/>
      <c r="B48" s="3"/>
      <c r="E48" s="541"/>
      <c r="F48" s="541"/>
      <c r="G48" s="542"/>
      <c r="H48" s="542"/>
      <c r="I48" s="543"/>
      <c r="J48" s="544"/>
      <c r="K48" s="551"/>
      <c r="M48" s="545"/>
      <c r="N48" s="545"/>
      <c r="O48" s="545"/>
      <c r="P48" s="545"/>
      <c r="Q48" s="545"/>
      <c r="R48" s="546"/>
      <c r="S48" s="546"/>
      <c r="T48" s="546"/>
      <c r="U48" s="518"/>
      <c r="V48" s="551"/>
      <c r="W48" s="544"/>
      <c r="X48" s="518"/>
      <c r="Y48" s="543"/>
      <c r="Z48" s="543"/>
      <c r="AA48" s="543"/>
      <c r="AB48" s="518"/>
      <c r="AC48" s="543"/>
      <c r="AD48" s="543"/>
      <c r="AE48" s="518"/>
      <c r="AF48" s="543"/>
      <c r="AG48" s="543"/>
      <c r="AH48" s="543"/>
      <c r="AI48" s="543"/>
      <c r="AM48" s="547"/>
      <c r="AN48" s="547"/>
      <c r="AO48" s="547"/>
      <c r="AP48" s="547"/>
      <c r="AQ48" s="547"/>
      <c r="AR48" s="548"/>
      <c r="AS48" s="547"/>
      <c r="AT48" s="547"/>
      <c r="AU48" s="547"/>
      <c r="AV48" s="547"/>
      <c r="AW48" s="547"/>
      <c r="AX48" s="548"/>
      <c r="AY48" s="547"/>
      <c r="AZ48" s="547"/>
      <c r="BA48" s="547"/>
      <c r="BB48" s="549"/>
      <c r="BC48" s="550"/>
      <c r="BD48" s="550"/>
      <c r="BE48" s="550"/>
      <c r="BG48" s="3"/>
      <c r="BH48" s="3"/>
    </row>
    <row r="49" spans="1:60" s="511" customFormat="1" x14ac:dyDescent="0.35">
      <c r="A49" s="3"/>
      <c r="B49" s="3"/>
      <c r="E49" s="541"/>
      <c r="F49" s="541"/>
      <c r="G49" s="542"/>
      <c r="H49" s="542"/>
      <c r="I49" s="543"/>
      <c r="J49" s="544"/>
      <c r="K49" s="551"/>
      <c r="M49" s="545"/>
      <c r="N49" s="545"/>
      <c r="O49" s="545"/>
      <c r="P49" s="545"/>
      <c r="Q49" s="545"/>
      <c r="R49" s="546"/>
      <c r="S49" s="546"/>
      <c r="T49" s="546"/>
      <c r="U49" s="518"/>
      <c r="V49" s="544"/>
      <c r="W49" s="544"/>
      <c r="X49" s="518"/>
      <c r="Y49" s="543"/>
      <c r="Z49" s="543"/>
      <c r="AA49" s="543"/>
      <c r="AB49" s="518"/>
      <c r="AC49" s="543"/>
      <c r="AD49" s="543"/>
      <c r="AE49" s="518"/>
      <c r="AF49" s="543"/>
      <c r="AG49" s="543"/>
      <c r="AH49" s="543"/>
      <c r="AI49" s="543"/>
      <c r="AM49" s="547"/>
      <c r="AN49" s="547"/>
      <c r="AO49" s="547"/>
      <c r="AP49" s="547"/>
      <c r="AQ49" s="547"/>
      <c r="AR49" s="548"/>
      <c r="AS49" s="547"/>
      <c r="AT49" s="547"/>
      <c r="AU49" s="547"/>
      <c r="AV49" s="547"/>
      <c r="AW49" s="547"/>
      <c r="AX49" s="548"/>
      <c r="AY49" s="547"/>
      <c r="AZ49" s="547"/>
      <c r="BA49" s="547"/>
      <c r="BB49" s="549"/>
      <c r="BC49" s="550"/>
      <c r="BD49" s="550"/>
      <c r="BE49" s="550"/>
      <c r="BG49" s="3"/>
      <c r="BH49" s="3"/>
    </row>
    <row r="50" spans="1:60" s="511" customFormat="1" x14ac:dyDescent="0.35">
      <c r="A50" s="3"/>
      <c r="B50" s="3"/>
      <c r="D50" s="498"/>
      <c r="E50" s="541"/>
      <c r="F50" s="541"/>
      <c r="G50" s="542"/>
      <c r="H50" s="542"/>
      <c r="I50" s="543"/>
      <c r="J50" s="544"/>
      <c r="K50" s="551"/>
      <c r="M50" s="545"/>
      <c r="N50" s="545"/>
      <c r="O50" s="545"/>
      <c r="P50" s="545"/>
      <c r="Q50" s="545"/>
      <c r="R50" s="546"/>
      <c r="S50" s="546"/>
      <c r="T50" s="546"/>
      <c r="U50" s="518"/>
      <c r="V50" s="551"/>
      <c r="W50" s="544"/>
      <c r="X50" s="518"/>
      <c r="Y50" s="543"/>
      <c r="Z50" s="543"/>
      <c r="AA50" s="543"/>
      <c r="AB50" s="518"/>
      <c r="AC50" s="543"/>
      <c r="AD50" s="543"/>
      <c r="AE50" s="518"/>
      <c r="AF50" s="543"/>
      <c r="AG50" s="543"/>
      <c r="AH50" s="543"/>
      <c r="AI50" s="543"/>
      <c r="AM50" s="547"/>
      <c r="AN50" s="547"/>
      <c r="AO50" s="547"/>
      <c r="AP50" s="547"/>
      <c r="AQ50" s="547"/>
      <c r="AR50" s="548"/>
      <c r="AS50" s="547"/>
      <c r="AT50" s="547"/>
      <c r="AU50" s="547"/>
      <c r="AV50" s="547"/>
      <c r="AW50" s="547"/>
      <c r="AX50" s="548"/>
      <c r="AY50" s="547"/>
      <c r="AZ50" s="547"/>
      <c r="BA50" s="547"/>
      <c r="BB50" s="549"/>
      <c r="BC50" s="550"/>
      <c r="BD50" s="550"/>
      <c r="BE50" s="550"/>
      <c r="BG50" s="3"/>
      <c r="BH50" s="3"/>
    </row>
    <row r="51" spans="1:60" s="498" customFormat="1" x14ac:dyDescent="0.35">
      <c r="A51" s="3"/>
      <c r="B51" s="3"/>
      <c r="AT51" s="547"/>
      <c r="AW51" s="547"/>
      <c r="BG51" s="3"/>
      <c r="BH51" s="3"/>
    </row>
    <row r="52" spans="1:60" s="498" customFormat="1" x14ac:dyDescent="0.35">
      <c r="A52" s="3"/>
      <c r="B52" s="3"/>
      <c r="BG52" s="3"/>
      <c r="BH52" s="3"/>
    </row>
  </sheetData>
  <mergeCells count="13">
    <mergeCell ref="AS10:AW10"/>
    <mergeCell ref="AY10:BA10"/>
    <mergeCell ref="BC10:BE10"/>
    <mergeCell ref="M9:P9"/>
    <mergeCell ref="R9:AI9"/>
    <mergeCell ref="AM9:BE9"/>
    <mergeCell ref="M10:P10"/>
    <mergeCell ref="R10:S10"/>
    <mergeCell ref="V10:W10"/>
    <mergeCell ref="Y10:AA10"/>
    <mergeCell ref="AC10:AD10"/>
    <mergeCell ref="AG10:AI10"/>
    <mergeCell ref="AM10:AQ10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B0D8-CD5C-4BBD-8151-3218588253DF}">
  <dimension ref="A1:BN91"/>
  <sheetViews>
    <sheetView zoomScale="85" zoomScaleNormal="85" workbookViewId="0">
      <selection activeCell="K34" sqref="K34"/>
    </sheetView>
  </sheetViews>
  <sheetFormatPr defaultColWidth="9.1796875" defaultRowHeight="14" outlineLevelRow="1" x14ac:dyDescent="0.3"/>
  <cols>
    <col min="1" max="1" width="15.81640625" style="782" customWidth="1"/>
    <col min="2" max="2" width="40.7265625" style="782" customWidth="1"/>
    <col min="3" max="3" width="11.1796875" style="782" customWidth="1"/>
    <col min="4" max="4" width="1.26953125" style="782" customWidth="1"/>
    <col min="5" max="5" width="10.1796875" style="782" customWidth="1"/>
    <col min="6" max="6" width="1.26953125" style="782" customWidth="1"/>
    <col min="7" max="7" width="9.7265625" style="782" customWidth="1"/>
    <col min="8" max="8" width="12.453125" style="782" customWidth="1"/>
    <col min="9" max="9" width="1.26953125" style="782" customWidth="1"/>
    <col min="10" max="10" width="11" style="782" customWidth="1"/>
    <col min="11" max="12" width="10.7265625" style="782" customWidth="1"/>
    <col min="13" max="13" width="1.7265625" style="782" customWidth="1"/>
    <col min="14" max="14" width="11" style="782" customWidth="1"/>
    <col min="15" max="16" width="10.7265625" style="782" customWidth="1"/>
    <col min="17" max="17" width="1.7265625" style="782" customWidth="1"/>
    <col min="18" max="18" width="11.1796875" style="782" customWidth="1"/>
    <col min="19" max="19" width="11" style="782" customWidth="1"/>
    <col min="20" max="20" width="10.7265625" style="782" customWidth="1"/>
    <col min="21" max="21" width="1.7265625" style="782" customWidth="1"/>
    <col min="22" max="22" width="11" style="782" customWidth="1"/>
    <col min="23" max="24" width="10.7265625" style="782" customWidth="1"/>
    <col min="25" max="25" width="1.7265625" style="782" customWidth="1"/>
    <col min="26" max="26" width="11" style="782" customWidth="1"/>
    <col min="27" max="28" width="10.7265625" style="782" customWidth="1"/>
    <col min="29" max="29" width="1.7265625" style="782" customWidth="1"/>
    <col min="30" max="30" width="11" style="782" customWidth="1"/>
    <col min="31" max="32" width="10.7265625" style="782" customWidth="1"/>
    <col min="33" max="33" width="1.7265625" style="782" customWidth="1"/>
    <col min="34" max="35" width="10.7265625" style="782" customWidth="1"/>
    <col min="36" max="39" width="1.7265625" style="782" customWidth="1"/>
    <col min="40" max="40" width="10.1796875" style="782" customWidth="1"/>
    <col min="41" max="44" width="8.7265625" style="782" customWidth="1"/>
    <col min="45" max="45" width="3.7265625" style="782" customWidth="1"/>
    <col min="46" max="48" width="8.7265625" style="782" customWidth="1"/>
    <col min="49" max="49" width="3.7265625" style="782" customWidth="1"/>
    <col min="50" max="52" width="8.7265625" style="782" customWidth="1"/>
    <col min="53" max="53" width="3.7265625" style="782" customWidth="1"/>
    <col min="54" max="56" width="8.7265625" style="782" customWidth="1"/>
    <col min="57" max="57" width="3.7265625" style="782" customWidth="1"/>
    <col min="58" max="58" width="8.7265625" style="782" customWidth="1"/>
    <col min="59" max="59" width="11.54296875" style="782" customWidth="1"/>
    <col min="60" max="60" width="3.7265625" style="782" customWidth="1"/>
    <col min="61" max="62" width="9.1796875" style="782"/>
    <col min="63" max="63" width="10.7265625" style="782" customWidth="1"/>
    <col min="64" max="16384" width="9.1796875" style="782"/>
  </cols>
  <sheetData>
    <row r="1" spans="1:66" x14ac:dyDescent="0.3">
      <c r="A1" s="781" t="s">
        <v>91</v>
      </c>
    </row>
    <row r="2" spans="1:66" ht="14.5" thickBot="1" x14ac:dyDescent="0.35">
      <c r="A2" s="1173">
        <f ca="1">TODAY()</f>
        <v>46105</v>
      </c>
      <c r="B2" s="1195"/>
      <c r="C2" s="1196"/>
      <c r="D2" s="1196"/>
      <c r="E2" s="1196"/>
      <c r="F2" s="1196"/>
      <c r="G2" s="1196"/>
      <c r="H2" s="1196"/>
      <c r="I2" s="1196"/>
      <c r="J2" s="1196"/>
      <c r="K2" s="1196"/>
      <c r="L2" s="1196"/>
      <c r="M2" s="1196"/>
      <c r="N2" s="1196"/>
      <c r="O2" s="1196"/>
      <c r="P2" s="1196"/>
      <c r="Q2" s="1176"/>
      <c r="AJ2" s="784"/>
    </row>
    <row r="3" spans="1:66" s="785" customFormat="1" ht="13" x14ac:dyDescent="0.25">
      <c r="A3" s="1174" t="s">
        <v>443</v>
      </c>
      <c r="B3" s="1201"/>
      <c r="C3" s="1202" t="s">
        <v>411</v>
      </c>
      <c r="D3" s="1202"/>
      <c r="E3" s="1202"/>
      <c r="F3" s="1202"/>
      <c r="G3" s="1203"/>
      <c r="H3" s="1203"/>
      <c r="I3" s="1203"/>
      <c r="J3" s="1204" t="s">
        <v>444</v>
      </c>
      <c r="K3" s="1205"/>
      <c r="L3" s="1205"/>
      <c r="M3" s="1205"/>
      <c r="N3" s="1205"/>
      <c r="O3" s="1205"/>
      <c r="P3" s="1206"/>
      <c r="Q3" s="1191"/>
      <c r="R3" s="787" t="s">
        <v>445</v>
      </c>
      <c r="S3" s="788"/>
      <c r="T3" s="788"/>
      <c r="U3" s="788"/>
      <c r="V3" s="788"/>
      <c r="W3" s="788"/>
      <c r="X3" s="788"/>
      <c r="Y3" s="788"/>
      <c r="Z3" s="787"/>
      <c r="AA3" s="787"/>
      <c r="AB3" s="787"/>
      <c r="AC3" s="787"/>
      <c r="AD3" s="787"/>
      <c r="AE3" s="787"/>
      <c r="AF3" s="787"/>
      <c r="AG3" s="787"/>
      <c r="AH3" s="787"/>
      <c r="AI3" s="787"/>
      <c r="AJ3" s="789"/>
      <c r="AK3" s="789"/>
      <c r="AN3" s="790" t="s">
        <v>446</v>
      </c>
      <c r="AO3" s="790"/>
      <c r="AP3" s="790"/>
      <c r="AQ3" s="790"/>
      <c r="AR3" s="790"/>
      <c r="AS3" s="791"/>
      <c r="AT3" s="791"/>
      <c r="AU3" s="791"/>
      <c r="AV3" s="791"/>
      <c r="AW3" s="791"/>
      <c r="AX3" s="791"/>
      <c r="AY3" s="790"/>
      <c r="AZ3" s="790"/>
      <c r="BA3" s="791"/>
      <c r="BB3" s="791"/>
      <c r="BC3" s="791"/>
      <c r="BD3" s="791"/>
      <c r="BE3" s="791"/>
      <c r="BF3" s="791"/>
      <c r="BG3" s="791"/>
      <c r="BH3" s="791"/>
      <c r="BI3" s="789"/>
      <c r="BJ3" s="789"/>
      <c r="BK3" s="789"/>
      <c r="BL3" s="789"/>
      <c r="BM3" s="789"/>
    </row>
    <row r="4" spans="1:66" s="785" customFormat="1" ht="17.149999999999999" customHeight="1" x14ac:dyDescent="0.35">
      <c r="A4" s="1175">
        <f ca="1">YEAR(A2)-2</f>
        <v>2024</v>
      </c>
      <c r="B4" s="1207"/>
      <c r="C4" s="1178" t="s">
        <v>415</v>
      </c>
      <c r="D4" s="1178"/>
      <c r="E4" s="1178" t="s">
        <v>417</v>
      </c>
      <c r="F4" s="1178"/>
      <c r="G4" s="1178" t="s">
        <v>418</v>
      </c>
      <c r="H4" s="1178" t="s">
        <v>447</v>
      </c>
      <c r="I4" s="1177"/>
      <c r="J4" s="1179" t="s">
        <v>420</v>
      </c>
      <c r="K4" s="1180"/>
      <c r="L4" s="1180"/>
      <c r="M4" s="1177"/>
      <c r="N4" s="1179" t="s">
        <v>421</v>
      </c>
      <c r="O4" s="1180"/>
      <c r="P4" s="1208"/>
      <c r="Q4" s="1191"/>
      <c r="R4" s="792" t="s">
        <v>423</v>
      </c>
      <c r="S4" s="793"/>
      <c r="T4" s="793"/>
      <c r="V4" s="792" t="s">
        <v>448</v>
      </c>
      <c r="W4" s="793"/>
      <c r="X4" s="793"/>
      <c r="Z4" s="792" t="s">
        <v>425</v>
      </c>
      <c r="AA4" s="793"/>
      <c r="AB4" s="793"/>
      <c r="AC4" s="794"/>
      <c r="AD4" s="792" t="s">
        <v>449</v>
      </c>
      <c r="AE4" s="793"/>
      <c r="AF4" s="793"/>
      <c r="AG4" s="794"/>
      <c r="AH4" s="792" t="s">
        <v>424</v>
      </c>
      <c r="AI4" s="793"/>
      <c r="AJ4" s="789"/>
      <c r="AK4" s="789"/>
      <c r="AN4" s="786" t="s">
        <v>416</v>
      </c>
      <c r="AO4" s="792" t="s">
        <v>247</v>
      </c>
      <c r="AP4" s="793"/>
      <c r="AQ4" s="793"/>
      <c r="AR4" s="793"/>
      <c r="AT4" s="792" t="s">
        <v>187</v>
      </c>
      <c r="AU4" s="793"/>
      <c r="AV4" s="793"/>
      <c r="AX4" s="792" t="s">
        <v>186</v>
      </c>
      <c r="AY4" s="793"/>
      <c r="AZ4" s="793"/>
      <c r="BA4" s="789"/>
      <c r="BB4" s="792" t="s">
        <v>450</v>
      </c>
      <c r="BC4" s="793"/>
      <c r="BD4" s="793"/>
      <c r="BE4" s="789"/>
      <c r="BF4" s="792" t="s">
        <v>424</v>
      </c>
      <c r="BG4" s="793"/>
      <c r="BH4" s="789"/>
      <c r="BI4" s="789"/>
      <c r="BJ4" s="789"/>
      <c r="BK4" s="789"/>
      <c r="BL4" s="789"/>
      <c r="BM4" s="789"/>
    </row>
    <row r="5" spans="1:66" s="795" customFormat="1" ht="16" customHeight="1" x14ac:dyDescent="0.25">
      <c r="B5" s="1209" t="s">
        <v>426</v>
      </c>
      <c r="C5" s="1181">
        <f ca="1">+A2</f>
        <v>46105</v>
      </c>
      <c r="D5" s="1181"/>
      <c r="E5" s="1181" t="s">
        <v>428</v>
      </c>
      <c r="F5" s="1181"/>
      <c r="G5" s="1182" t="s">
        <v>429</v>
      </c>
      <c r="H5" s="1182" t="s">
        <v>430</v>
      </c>
      <c r="I5" s="1183"/>
      <c r="J5" s="1182" t="str">
        <f ca="1">"CY"&amp;AP5&amp;"A"</f>
        <v>CY2025A</v>
      </c>
      <c r="K5" s="1182" t="str">
        <f ca="1">"CY"&amp;AQ5&amp;"E"</f>
        <v>CY2026E</v>
      </c>
      <c r="L5" s="1182" t="str">
        <f ca="1">"CY"&amp;AR5&amp;"E"</f>
        <v>CY2027E</v>
      </c>
      <c r="M5" s="1182"/>
      <c r="N5" s="1182" t="str">
        <f ca="1">J5</f>
        <v>CY2025A</v>
      </c>
      <c r="O5" s="1182" t="str">
        <f ca="1">K5</f>
        <v>CY2026E</v>
      </c>
      <c r="P5" s="1210" t="str">
        <f ca="1">L5</f>
        <v>CY2027E</v>
      </c>
      <c r="Q5" s="1192"/>
      <c r="R5" s="800" t="str">
        <f ca="1">"'"&amp;RIGHT(AO5,2)&amp;"A/'"&amp;RIGHT(N5,3)</f>
        <v>'24A/'25A</v>
      </c>
      <c r="S5" s="800" t="str">
        <f ca="1">"'"&amp;RIGHT(N5,3)&amp;"/'"&amp;RIGHT(O5,3)</f>
        <v>'25A/'26E</v>
      </c>
      <c r="T5" s="800" t="str">
        <f ca="1">"'"&amp;RIGHT(O5,3)&amp;"/'"&amp;RIGHT(P5,3)</f>
        <v>'26E/'27E</v>
      </c>
      <c r="U5" s="799"/>
      <c r="V5" s="797" t="str">
        <f ca="1">J5</f>
        <v>CY2025A</v>
      </c>
      <c r="W5" s="797" t="str">
        <f ca="1">K5</f>
        <v>CY2026E</v>
      </c>
      <c r="X5" s="797" t="str">
        <f ca="1">L5</f>
        <v>CY2027E</v>
      </c>
      <c r="Y5" s="799"/>
      <c r="Z5" s="797" t="str">
        <f ca="1">J5</f>
        <v>CY2025A</v>
      </c>
      <c r="AA5" s="797" t="str">
        <f ca="1">K5</f>
        <v>CY2026E</v>
      </c>
      <c r="AB5" s="797" t="str">
        <f ca="1">L5</f>
        <v>CY2027E</v>
      </c>
      <c r="AC5" s="798"/>
      <c r="AD5" s="797" t="str">
        <f ca="1">J5</f>
        <v>CY2025A</v>
      </c>
      <c r="AE5" s="797" t="str">
        <f ca="1">K5</f>
        <v>CY2026E</v>
      </c>
      <c r="AF5" s="797" t="str">
        <f ca="1">L5</f>
        <v>CY2027E</v>
      </c>
      <c r="AG5" s="798"/>
      <c r="AH5" s="797" t="str">
        <f ca="1">N5</f>
        <v>CY2025A</v>
      </c>
      <c r="AI5" s="797" t="str">
        <f ca="1">O5</f>
        <v>CY2026E</v>
      </c>
      <c r="AJ5" s="801"/>
      <c r="AN5" s="796" t="s">
        <v>427</v>
      </c>
      <c r="AO5" s="802">
        <f ca="1">$A$4</f>
        <v>2024</v>
      </c>
      <c r="AP5" s="802">
        <f ca="1">AO5+1</f>
        <v>2025</v>
      </c>
      <c r="AQ5" s="803">
        <f ca="1">AP5+1</f>
        <v>2026</v>
      </c>
      <c r="AR5" s="803">
        <f ca="1">AQ5+1</f>
        <v>2027</v>
      </c>
      <c r="AT5" s="802">
        <f ca="1">AP5</f>
        <v>2025</v>
      </c>
      <c r="AU5" s="803">
        <f ca="1">AQ5</f>
        <v>2026</v>
      </c>
      <c r="AV5" s="803">
        <f ca="1">AR5</f>
        <v>2027</v>
      </c>
      <c r="AX5" s="802">
        <f ca="1">AT5</f>
        <v>2025</v>
      </c>
      <c r="AY5" s="802">
        <f t="shared" ref="AY5:AZ5" ca="1" si="0">AU5</f>
        <v>2026</v>
      </c>
      <c r="AZ5" s="802">
        <f t="shared" ca="1" si="0"/>
        <v>2027</v>
      </c>
      <c r="BB5" s="802">
        <f ca="1">AX5</f>
        <v>2025</v>
      </c>
      <c r="BC5" s="802">
        <f t="shared" ref="BC5:BD5" ca="1" si="1">AY5</f>
        <v>2026</v>
      </c>
      <c r="BD5" s="802">
        <f t="shared" ca="1" si="1"/>
        <v>2027</v>
      </c>
      <c r="BF5" s="802">
        <f ca="1">BB5</f>
        <v>2025</v>
      </c>
      <c r="BG5" s="802">
        <f ca="1">BC5</f>
        <v>2026</v>
      </c>
      <c r="BJ5" s="789"/>
      <c r="BK5" s="789"/>
      <c r="BL5" s="789"/>
      <c r="BM5" s="789"/>
      <c r="BN5" s="789"/>
    </row>
    <row r="6" spans="1:66" s="789" customFormat="1" ht="5.15" customHeight="1" x14ac:dyDescent="0.25">
      <c r="B6" s="1211"/>
      <c r="C6" s="1184"/>
      <c r="D6" s="1184"/>
      <c r="E6" s="1184"/>
      <c r="F6" s="1184"/>
      <c r="G6" s="1184"/>
      <c r="H6" s="1184"/>
      <c r="I6" s="1184"/>
      <c r="J6" s="1185"/>
      <c r="K6" s="1185"/>
      <c r="L6" s="1185"/>
      <c r="M6" s="1184"/>
      <c r="N6" s="1184"/>
      <c r="O6" s="1184"/>
      <c r="P6" s="1212"/>
      <c r="Q6" s="1193"/>
    </row>
    <row r="7" spans="1:66" s="789" customFormat="1" ht="25" customHeight="1" x14ac:dyDescent="0.25">
      <c r="B7" s="1213"/>
      <c r="C7" s="1177"/>
      <c r="D7" s="1186"/>
      <c r="E7" s="1186"/>
      <c r="F7" s="1186"/>
      <c r="G7" s="1177"/>
      <c r="H7" s="1177"/>
      <c r="I7" s="1177"/>
      <c r="J7" s="1187"/>
      <c r="K7" s="1187"/>
      <c r="L7" s="1187"/>
      <c r="M7" s="1187"/>
      <c r="N7" s="1187"/>
      <c r="O7" s="1187"/>
      <c r="P7" s="1214"/>
      <c r="Q7" s="1191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805"/>
      <c r="AC7" s="805"/>
      <c r="AD7" s="805"/>
      <c r="AE7" s="805"/>
      <c r="AF7" s="805"/>
      <c r="AG7" s="805"/>
      <c r="AH7" s="805"/>
      <c r="AI7" s="805"/>
      <c r="AN7" s="804"/>
      <c r="AO7" s="806"/>
      <c r="AQ7" s="806"/>
      <c r="AR7" s="806"/>
    </row>
    <row r="8" spans="1:66" s="789" customFormat="1" ht="12" customHeight="1" x14ac:dyDescent="0.25">
      <c r="A8" s="785"/>
      <c r="B8" s="1215" t="s">
        <v>451</v>
      </c>
      <c r="C8" s="1188"/>
      <c r="D8" s="1186"/>
      <c r="E8" s="1186"/>
      <c r="F8" s="1186"/>
      <c r="G8" s="1189"/>
      <c r="H8" s="1189"/>
      <c r="I8" s="1177"/>
      <c r="J8" s="1187"/>
      <c r="K8" s="1187"/>
      <c r="L8" s="1187"/>
      <c r="M8" s="1190"/>
      <c r="N8" s="1187"/>
      <c r="O8" s="1187"/>
      <c r="P8" s="1214"/>
      <c r="Q8" s="1191"/>
      <c r="R8" s="805"/>
      <c r="S8" s="805"/>
      <c r="T8" s="805"/>
      <c r="U8" s="785"/>
      <c r="V8" s="785"/>
      <c r="W8" s="785"/>
      <c r="X8" s="785"/>
      <c r="Y8" s="785"/>
      <c r="Z8" s="805"/>
      <c r="AA8" s="805"/>
      <c r="AB8" s="805"/>
      <c r="AC8" s="805"/>
      <c r="AD8" s="805"/>
      <c r="AE8" s="805"/>
      <c r="AF8" s="805"/>
      <c r="AG8" s="805"/>
      <c r="AH8" s="805"/>
      <c r="AI8" s="805"/>
      <c r="AN8" s="804"/>
    </row>
    <row r="9" spans="1:66" s="785" customFormat="1" ht="25" customHeight="1" x14ac:dyDescent="0.35">
      <c r="A9" s="807" t="s">
        <v>452</v>
      </c>
      <c r="B9" s="1216" t="str">
        <f>_xll.FDSC("--",A9,"PROPER_NAME(0,,,""SECURITY"",""NAME"")")</f>
        <v>salesforce.com, inc.</v>
      </c>
      <c r="C9" s="1188" t="e">
        <f ca="1">_xll.FDSC("--",A9,"P_PRICE("&amp;$A$2&amp;",,,USD)")</f>
        <v>#NAME?</v>
      </c>
      <c r="D9" s="1186"/>
      <c r="E9" s="1186" t="str">
        <f ca="1">IFERROR(+C9/AN9, "NA")</f>
        <v>NA</v>
      </c>
      <c r="F9" s="1186"/>
      <c r="G9" s="1189" t="e">
        <f ca="1">_xll.FDSC("--",$A9,"FREF_MARKET_VALUE_COMPANY("&amp;$A$2&amp;",,,USD,,0,,""LEGACY"")")</f>
        <v>#NAME?</v>
      </c>
      <c r="H9" s="1189" t="e">
        <f ca="1">_xll.FDSC("--",$A9,"FF_ENTRPR_VAL_DAILY("&amp;$A$2&amp;",,,,USD,""DIL"")")</f>
        <v>#NAME?</v>
      </c>
      <c r="I9" s="1177"/>
      <c r="J9" s="1187" t="str">
        <f t="shared" ref="J9:L15" ca="1" si="2">IFERROR($H9/AP9,"NA")</f>
        <v>NA</v>
      </c>
      <c r="K9" s="1187" t="str">
        <f t="shared" ca="1" si="2"/>
        <v>NA</v>
      </c>
      <c r="L9" s="1187" t="str">
        <f t="shared" ca="1" si="2"/>
        <v>NA</v>
      </c>
      <c r="M9" s="1190"/>
      <c r="N9" s="1187" t="str">
        <f ca="1">IFERROR(IF(AX9&gt;0,$H9/AX9,"NA"),"NA")</f>
        <v>NA</v>
      </c>
      <c r="O9" s="1187" t="str">
        <f t="shared" ref="N9:P15" ca="1" si="3">IFERROR(IF(AY9&gt;0,$H9/AY9,"NA"),"NA")</f>
        <v>NA</v>
      </c>
      <c r="P9" s="1214" t="str">
        <f t="shared" ca="1" si="3"/>
        <v>NA</v>
      </c>
      <c r="Q9" s="1191"/>
      <c r="R9" s="805" t="str">
        <f t="shared" ref="R9:T15" ca="1" si="4">+IFERROR(AP9/AO9-1,"NA")</f>
        <v>NA</v>
      </c>
      <c r="S9" s="805" t="str">
        <f t="shared" ca="1" si="4"/>
        <v>NA</v>
      </c>
      <c r="T9" s="805" t="str">
        <f t="shared" ca="1" si="4"/>
        <v>NA</v>
      </c>
      <c r="V9" s="805" t="str">
        <f ca="1">IFERROR(BB9/AP9,"NA")</f>
        <v>NA</v>
      </c>
      <c r="W9" s="805" t="str">
        <f t="shared" ref="W9:X15" ca="1" si="5">IFERROR(BC9/AQ9,"NA")</f>
        <v>NA</v>
      </c>
      <c r="X9" s="805" t="str">
        <f t="shared" ca="1" si="5"/>
        <v>NA</v>
      </c>
      <c r="Z9" s="805" t="str">
        <f t="shared" ref="Z9:AB15" ca="1" si="6">IFERROR(AX9/AP9,"NA")</f>
        <v>NA</v>
      </c>
      <c r="AA9" s="805" t="str">
        <f t="shared" ca="1" si="6"/>
        <v>NA</v>
      </c>
      <c r="AB9" s="805" t="str">
        <f t="shared" ca="1" si="6"/>
        <v>NA</v>
      </c>
      <c r="AC9" s="805"/>
      <c r="AD9" s="805" t="str">
        <f ca="1">IFERROR(BB9/AP9,"NA")</f>
        <v>NA</v>
      </c>
      <c r="AE9" s="805" t="str">
        <f t="shared" ref="AE9:AF15" ca="1" si="7">IFERROR(BC9/AQ9,"NA")</f>
        <v>NA</v>
      </c>
      <c r="AF9" s="805" t="str">
        <f t="shared" ca="1" si="7"/>
        <v>NA</v>
      </c>
      <c r="AG9" s="805"/>
      <c r="AH9" s="808" t="e">
        <f ca="1">BF9</f>
        <v>#NAME?</v>
      </c>
      <c r="AI9" s="808" t="e">
        <f ca="1">BG9</f>
        <v>#NAME?</v>
      </c>
      <c r="AN9" s="778" t="e">
        <f ca="1">_xll.FDSC("--",A9,"P_PRICE_HIGH_PR("&amp;$A$2&amp;",,,USD,,,""PRICE"",""INTRA"",""52W"")")</f>
        <v>#NAME?</v>
      </c>
      <c r="AO9" s="779" t="e">
        <f ca="1">_xll.FDSR($A9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9" s="779" t="e">
        <f ca="1">_xll.FDSR($A9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9" s="779" t="e">
        <f ca="1">_xll.FDSR($A9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9" s="779" t="e">
        <f ca="1">_xll.FDSR($A9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9" s="809"/>
      <c r="AT9" s="779" t="e">
        <f ca="1">_xll.FDSR($A9,"IF(P_DATE(0,,,""DATEN"")&gt;FE_ESTIMATE_DATE(RPT_DATE,,ANN_ROLL,"&amp;AT$5&amp;",'YYYYMMDD',0,,,''),AVAIL(AVAIL(FF_ADJ_EBIT(ANN,"&amp;AT$5&amp;"),FF_ARPT_SERIES('OPERATING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9" s="779" t="e">
        <f ca="1">_xll.FDSR($A9,"IF(P_DATE(0,,,""DATEN"")&gt;FE_ESTIMATE_DATE(RPT_DATE,,ANN_ROLL,"&amp;AU$5&amp;",'YYYYMMDD',0,,,''),AVAIL(AVAIL(FF_ADJ_EBIT(ANN,"&amp;AU$5&amp;"),FF_ARPT_SERIES('OPERATING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9" s="779" t="e">
        <f ca="1">_xll.FDSR($A9,"IF(P_DATE(0,,,""DATEN"")&gt;FE_ESTIMATE_DATE(RPT_DATE,,ANN_ROLL,"&amp;AV$5&amp;",'YYYYMMDD',0,,,''),AVAIL(AVAIL(FF_ADJ_EBIT(ANN,"&amp;AV$5&amp;"),FF_ARPT_SERIES('OPERATING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9" s="809"/>
      <c r="AX9" s="779" t="e">
        <f ca="1">_xll.FDSR($A9,"IF(P_DATE(0,,,""DATEN"")&gt;FE_ESTIMATE_DATE(RPT_DATE,,ANN_ROLL,"&amp;AX$5&amp;",'YYYYMMDD',0,,,''),AVAIL(AVAIL(FF_ADJ_EBITDA(ANN,"&amp;AX$5&amp;"),FF_ARPT_SERIES('ADJUSTED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9" s="779" t="e">
        <f ca="1">_xll.FDSR($A9,"IF(P_DATE(0,,,""DATEN"")&gt;FE_ESTIMATE_DATE(RPT_DATE,,ANN_ROLL,"&amp;AY$5&amp;",'YYYYMMDD',0,,,''),AVAIL(AVAIL(FF_ADJ_EBITDA(ANN,"&amp;AY$5&amp;"),FF_ARPT_SERIES('ADJUSTED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9" s="779" t="e">
        <f ca="1">_xll.FDSR($A9,"IF(P_DATE(0,,,""DATEN"")&gt;FE_ESTIMATE_DATE(RPT_DATE,,ANN_ROLL,"&amp;AZ$5&amp;",'YYYYMMDD',0,,,''),AVAIL(AVAIL(FF_ADJ_EBITDA(ANN,"&amp;AZ$5&amp;"),FF_ARPT_SERIES('ADJUSTED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9" s="810"/>
      <c r="BB9" s="779" t="e">
        <f ca="1">_xll.FDSR($A9,"IF(P_DATE(0,,,""DATEN"")&gt;FE_ESTIMATE_DATE(RPT_DATE,,ANN_ROLL,"&amp;BB$5&amp;",'YYYYMMDD',0,,,''),FF_FREE_CF(ANN_R_FCF,"&amp;BB$5&amp;"),FE_ESTIMATE(FCF,MEAN,ANN_ROLL,"&amp;BB$5&amp;",NOW,,,''))")</f>
        <v>#NAME?</v>
      </c>
      <c r="BC9" s="779" t="e">
        <f ca="1">_xll.FDSR($A9,"IF(P_DATE(0,,,""DATEN"")&gt;FE_ESTIMATE_DATE(RPT_DATE,,ANN_ROLL,"&amp;BC$5&amp;",'YYYYMMDD',0,,,''),FF_FREE_CF(ANN_R_FCF,"&amp;BC$5&amp;"),FE_ESTIMATE(FCF,MEAN,ANN_ROLL,"&amp;BC$5&amp;",NOW,,,''))")</f>
        <v>#NAME?</v>
      </c>
      <c r="BD9" s="779" t="e">
        <f ca="1">_xll.FDSR($A9,"IF(P_DATE(0,,,""DATEN"")&gt;FE_ESTIMATE_DATE(RPT_DATE,,ANN_ROLL,"&amp;BD$5&amp;",'YYYYMMDD',0,,,''),FF_FREE_CF(ANN_R_FCF,"&amp;BD$5&amp;"),FE_ESTIMATE(FCF,MEAN,ANN_ROLL,"&amp;BD$5&amp;",NOW,,,''))")</f>
        <v>#NAME?</v>
      </c>
      <c r="BE9" s="810"/>
      <c r="BF9" s="780" t="e">
        <f ca="1">_xll.FDSR($A9,"IF(P_DATE(0,,,""DATEN"")&gt;FE_ESTIMATE_DATE(RPT_DATE,,ANN_ROLL,"&amp;BF$5&amp;",'YYYYMMDD',0,,,''),AVAIL(AVAIL(FF_ADJ_GROSS_INC(ANN,"&amp;BF$5&amp;")/FF_ADJ_SALES(ANN,"&amp;BF$5&amp;"),AVAIL(FF_ARPT_SERIES('GROSS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9" s="780" t="e">
        <f ca="1">_xll.FDSR($A9,"IF(P_DATE(0,,,""DATEN"")&gt;FE_ESTIMATE_DATE(RPT_DATE,,ANN_ROLL,"&amp;BG$5&amp;",'YYYYMMDD',0,,,''),AVAIL(AVAIL(FF_ADJ_GROSS_INC(ANN,"&amp;BG$5&amp;")/FF_ADJ_SALES(ANN,"&amp;BG$5&amp;"),AVAIL(FF_ARPT_SERIES('GROSS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9" s="810"/>
    </row>
    <row r="10" spans="1:66" s="785" customFormat="1" ht="25" customHeight="1" x14ac:dyDescent="0.35">
      <c r="A10" s="807" t="s">
        <v>453</v>
      </c>
      <c r="B10" s="1216" t="str">
        <f>_xll.FDSC("--",A10,"PROPER_NAME(0,,,""SECURITY"",""NAME"")")</f>
        <v>ServiceNow, Inc.</v>
      </c>
      <c r="C10" s="1188" t="e">
        <f ca="1">_xll.FDSC("--",A10,"P_PRICE("&amp;$A$2&amp;",,,USD)")</f>
        <v>#NAME?</v>
      </c>
      <c r="D10" s="1186"/>
      <c r="E10" s="1186" t="str">
        <f t="shared" ref="E10:E15" ca="1" si="8">IFERROR(+C10/AN10, "NA")</f>
        <v>NA</v>
      </c>
      <c r="F10" s="1186"/>
      <c r="G10" s="1189" t="e">
        <f ca="1">_xll.FDSC("--",$A10,"FREF_MARKET_VALUE_COMPANY("&amp;$A$2&amp;",,,USD,,0,,""LEGACY"")")</f>
        <v>#NAME?</v>
      </c>
      <c r="H10" s="1189" t="e">
        <f ca="1">_xll.FDSC("--",$A10,"FF_ENTRPR_VAL_DAILY("&amp;$A$2&amp;",,,,USD,""DIL"")")</f>
        <v>#NAME?</v>
      </c>
      <c r="I10" s="1177"/>
      <c r="J10" s="1187" t="str">
        <f t="shared" ca="1" si="2"/>
        <v>NA</v>
      </c>
      <c r="K10" s="1187" t="str">
        <f t="shared" ca="1" si="2"/>
        <v>NA</v>
      </c>
      <c r="L10" s="1187" t="str">
        <f t="shared" ca="1" si="2"/>
        <v>NA</v>
      </c>
      <c r="M10" s="1190"/>
      <c r="N10" s="1187" t="str">
        <f t="shared" ca="1" si="3"/>
        <v>NA</v>
      </c>
      <c r="O10" s="1187" t="str">
        <f t="shared" ca="1" si="3"/>
        <v>NA</v>
      </c>
      <c r="P10" s="1214" t="str">
        <f t="shared" ca="1" si="3"/>
        <v>NA</v>
      </c>
      <c r="Q10" s="1191"/>
      <c r="R10" s="805" t="str">
        <f t="shared" ca="1" si="4"/>
        <v>NA</v>
      </c>
      <c r="S10" s="805" t="str">
        <f t="shared" ca="1" si="4"/>
        <v>NA</v>
      </c>
      <c r="T10" s="805" t="str">
        <f t="shared" ca="1" si="4"/>
        <v>NA</v>
      </c>
      <c r="V10" s="805" t="str">
        <f t="shared" ref="V10:V15" ca="1" si="9">IFERROR(BB10/AP10,"NA")</f>
        <v>NA</v>
      </c>
      <c r="W10" s="805" t="str">
        <f t="shared" ca="1" si="5"/>
        <v>NA</v>
      </c>
      <c r="X10" s="805" t="str">
        <f t="shared" ca="1" si="5"/>
        <v>NA</v>
      </c>
      <c r="Z10" s="805" t="str">
        <f t="shared" ca="1" si="6"/>
        <v>NA</v>
      </c>
      <c r="AA10" s="805" t="str">
        <f t="shared" ca="1" si="6"/>
        <v>NA</v>
      </c>
      <c r="AB10" s="805" t="str">
        <f t="shared" ca="1" si="6"/>
        <v>NA</v>
      </c>
      <c r="AC10" s="805"/>
      <c r="AD10" s="805" t="str">
        <f t="shared" ref="AD10:AD15" ca="1" si="10">IFERROR(BB10/AP10,"NA")</f>
        <v>NA</v>
      </c>
      <c r="AE10" s="805" t="str">
        <f t="shared" ca="1" si="7"/>
        <v>NA</v>
      </c>
      <c r="AF10" s="805" t="str">
        <f t="shared" ca="1" si="7"/>
        <v>NA</v>
      </c>
      <c r="AG10" s="805"/>
      <c r="AH10" s="808" t="e">
        <f t="shared" ref="AH10:AI15" ca="1" si="11">BF10</f>
        <v>#NAME?</v>
      </c>
      <c r="AI10" s="808" t="e">
        <f t="shared" ca="1" si="11"/>
        <v>#NAME?</v>
      </c>
      <c r="AN10" s="778" t="e">
        <f ca="1">_xll.FDSC("--",A10,"P_PRICE_HIGH_PR("&amp;$A$2&amp;",,,USD,,,""PRICE"",""INTRA"",""52W"")")</f>
        <v>#NAME?</v>
      </c>
      <c r="AO10" s="779" t="e">
        <f ca="1">_xll.FDSR($A10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0" s="779" t="e">
        <f ca="1">_xll.FDSR($A10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0" s="779" t="e">
        <f ca="1">_xll.FDSR($A10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0" s="779" t="e">
        <f ca="1">_xll.FDSR($A10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0" s="809"/>
      <c r="AT10" s="779" t="e">
        <f ca="1">_xll.FDSR($A10,"IF(P_DATE(0,,,""DATEN"")&gt;FE_ESTIMATE_DATE(RPT_DATE,,ANN_ROLL,"&amp;AT$5&amp;",'YYYYMMDD',0,,,''),AVAIL(AVAIL(FF_ADJ_EBIT(ANN,"&amp;AT$5&amp;"),FF_ARPT_SERIES('OPERATING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0" s="779" t="e">
        <f ca="1">_xll.FDSR($A10,"IF(P_DATE(0,,,""DATEN"")&gt;FE_ESTIMATE_DATE(RPT_DATE,,ANN_ROLL,"&amp;AU$5&amp;",'YYYYMMDD',0,,,''),AVAIL(AVAIL(FF_ADJ_EBIT(ANN,"&amp;AU$5&amp;"),FF_ARPT_SERIES('OPERATING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0" s="779" t="e">
        <f ca="1">_xll.FDSR($A10,"IF(P_DATE(0,,,""DATEN"")&gt;FE_ESTIMATE_DATE(RPT_DATE,,ANN_ROLL,"&amp;AV$5&amp;",'YYYYMMDD',0,,,''),AVAIL(AVAIL(FF_ADJ_EBIT(ANN,"&amp;AV$5&amp;"),FF_ARPT_SERIES('OPERATING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0" s="809"/>
      <c r="AX10" s="779" t="e">
        <f ca="1">_xll.FDSR($A10,"IF(P_DATE(0,,,""DATEN"")&gt;FE_ESTIMATE_DATE(RPT_DATE,,ANN_ROLL,"&amp;AX$5&amp;",'YYYYMMDD',0,,,''),AVAIL(AVAIL(FF_ADJ_EBITDA(ANN,"&amp;AX$5&amp;"),FF_ARPT_SERIES('ADJUSTED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0" s="779" t="e">
        <f ca="1">_xll.FDSR($A10,"IF(P_DATE(0,,,""DATEN"")&gt;FE_ESTIMATE_DATE(RPT_DATE,,ANN_ROLL,"&amp;AY$5&amp;",'YYYYMMDD',0,,,''),AVAIL(AVAIL(FF_ADJ_EBITDA(ANN,"&amp;AY$5&amp;"),FF_ARPT_SERIES('ADJUSTED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0" s="779" t="e">
        <f ca="1">_xll.FDSR($A10,"IF(P_DATE(0,,,""DATEN"")&gt;FE_ESTIMATE_DATE(RPT_DATE,,ANN_ROLL,"&amp;AZ$5&amp;",'YYYYMMDD',0,,,''),AVAIL(AVAIL(FF_ADJ_EBITDA(ANN,"&amp;AZ$5&amp;"),FF_ARPT_SERIES('ADJUSTED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0" s="810"/>
      <c r="BB10" s="779" t="e">
        <f ca="1">_xll.FDSR($A10,"IF(P_DATE(0,,,""DATEN"")&gt;FE_ESTIMATE_DATE(RPT_DATE,,ANN_ROLL,"&amp;BB$5&amp;",'YYYYMMDD',0,,,''),FF_FREE_CF(ANN_R_FCF,"&amp;BB$5&amp;"),FE_ESTIMATE(FCF,MEAN,ANN_ROLL,"&amp;BB$5&amp;",NOW,,,''))")</f>
        <v>#NAME?</v>
      </c>
      <c r="BC10" s="779" t="e">
        <f ca="1">_xll.FDSR($A10,"IF(P_DATE(0,,,""DATEN"")&gt;FE_ESTIMATE_DATE(RPT_DATE,,ANN_ROLL,"&amp;BC$5&amp;",'YYYYMMDD',0,,,''),FF_FREE_CF(ANN_R_FCF,"&amp;BC$5&amp;"),FE_ESTIMATE(FCF,MEAN,ANN_ROLL,"&amp;BC$5&amp;",NOW,,,''))")</f>
        <v>#NAME?</v>
      </c>
      <c r="BD10" s="779" t="e">
        <f ca="1">_xll.FDSR($A10,"IF(P_DATE(0,,,""DATEN"")&gt;FE_ESTIMATE_DATE(RPT_DATE,,ANN_ROLL,"&amp;BD$5&amp;",'YYYYMMDD',0,,,''),FF_FREE_CF(ANN_R_FCF,"&amp;BD$5&amp;"),FE_ESTIMATE(FCF,MEAN,ANN_ROLL,"&amp;BD$5&amp;",NOW,,,''))")</f>
        <v>#NAME?</v>
      </c>
      <c r="BE10" s="810"/>
      <c r="BF10" s="780" t="e">
        <f ca="1">_xll.FDSR($A10,"IF(P_DATE(0,,,""DATEN"")&gt;FE_ESTIMATE_DATE(RPT_DATE,,ANN_ROLL,"&amp;BF$5&amp;",'YYYYMMDD',0,,,''),AVAIL(AVAIL(FF_ADJ_GROSS_INC(ANN,"&amp;BF$5&amp;")/FF_ADJ_SALES(ANN,"&amp;BF$5&amp;"),AVAIL(FF_ARPT_SERIES('GROSS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0" s="780" t="e">
        <f ca="1">_xll.FDSR($A10,"IF(P_DATE(0,,,""DATEN"")&gt;FE_ESTIMATE_DATE(RPT_DATE,,ANN_ROLL,"&amp;BG$5&amp;",'YYYYMMDD',0,,,''),AVAIL(AVAIL(FF_ADJ_GROSS_INC(ANN,"&amp;BG$5&amp;")/FF_ADJ_SALES(ANN,"&amp;BG$5&amp;"),AVAIL(FF_ARPT_SERIES('GROSS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0" s="810"/>
    </row>
    <row r="11" spans="1:66" s="785" customFormat="1" ht="25" customHeight="1" x14ac:dyDescent="0.35">
      <c r="A11" s="807" t="s">
        <v>454</v>
      </c>
      <c r="B11" s="1216" t="str">
        <f>_xll.FDSC("--",A11,"PROPER_NAME(0,,,""SECURITY"",""NAME"")")</f>
        <v>Workday, Inc. Class A</v>
      </c>
      <c r="C11" s="1188" t="e">
        <f ca="1">_xll.FDSC("--",A11,"P_PRICE("&amp;$A$2&amp;",,,USD)")</f>
        <v>#NAME?</v>
      </c>
      <c r="D11" s="1186"/>
      <c r="E11" s="1186" t="str">
        <f t="shared" ca="1" si="8"/>
        <v>NA</v>
      </c>
      <c r="F11" s="1186"/>
      <c r="G11" s="1189" t="e">
        <f ca="1">_xll.FDSC("--",$A11,"FREF_MARKET_VALUE_COMPANY("&amp;$A$2&amp;",,,USD,,0,,""LEGACY"")")</f>
        <v>#NAME?</v>
      </c>
      <c r="H11" s="1189" t="e">
        <f ca="1">_xll.FDSC("--",$A11,"FF_ENTRPR_VAL_DAILY("&amp;$A$2&amp;",,,,USD,""DIL"")")</f>
        <v>#NAME?</v>
      </c>
      <c r="I11" s="1177"/>
      <c r="J11" s="1187" t="str">
        <f t="shared" ca="1" si="2"/>
        <v>NA</v>
      </c>
      <c r="K11" s="1187" t="str">
        <f t="shared" ca="1" si="2"/>
        <v>NA</v>
      </c>
      <c r="L11" s="1187" t="str">
        <f t="shared" ca="1" si="2"/>
        <v>NA</v>
      </c>
      <c r="M11" s="1190"/>
      <c r="N11" s="1187" t="str">
        <f t="shared" ca="1" si="3"/>
        <v>NA</v>
      </c>
      <c r="O11" s="1187" t="str">
        <f t="shared" ca="1" si="3"/>
        <v>NA</v>
      </c>
      <c r="P11" s="1214" t="str">
        <f t="shared" ca="1" si="3"/>
        <v>NA</v>
      </c>
      <c r="Q11" s="1191"/>
      <c r="R11" s="805" t="str">
        <f t="shared" ca="1" si="4"/>
        <v>NA</v>
      </c>
      <c r="S11" s="805" t="str">
        <f t="shared" ca="1" si="4"/>
        <v>NA</v>
      </c>
      <c r="T11" s="805" t="str">
        <f t="shared" ca="1" si="4"/>
        <v>NA</v>
      </c>
      <c r="V11" s="805" t="str">
        <f t="shared" ca="1" si="9"/>
        <v>NA</v>
      </c>
      <c r="W11" s="805" t="str">
        <f t="shared" ca="1" si="5"/>
        <v>NA</v>
      </c>
      <c r="X11" s="805" t="str">
        <f t="shared" ca="1" si="5"/>
        <v>NA</v>
      </c>
      <c r="Z11" s="805" t="str">
        <f t="shared" ca="1" si="6"/>
        <v>NA</v>
      </c>
      <c r="AA11" s="805" t="str">
        <f t="shared" ca="1" si="6"/>
        <v>NA</v>
      </c>
      <c r="AB11" s="805" t="str">
        <f t="shared" ca="1" si="6"/>
        <v>NA</v>
      </c>
      <c r="AC11" s="805"/>
      <c r="AD11" s="805" t="str">
        <f t="shared" ca="1" si="10"/>
        <v>NA</v>
      </c>
      <c r="AE11" s="805" t="str">
        <f t="shared" ca="1" si="7"/>
        <v>NA</v>
      </c>
      <c r="AF11" s="805" t="str">
        <f t="shared" ca="1" si="7"/>
        <v>NA</v>
      </c>
      <c r="AG11" s="805"/>
      <c r="AH11" s="808" t="e">
        <f t="shared" ca="1" si="11"/>
        <v>#NAME?</v>
      </c>
      <c r="AI11" s="808" t="e">
        <f t="shared" ca="1" si="11"/>
        <v>#NAME?</v>
      </c>
      <c r="AN11" s="778" t="e">
        <f ca="1">_xll.FDSC("--",A11,"P_PRICE_HIGH_PR("&amp;$A$2&amp;",,,USD,,,""PRICE"",""INTRA"",""52W"")")</f>
        <v>#NAME?</v>
      </c>
      <c r="AO11" s="779" t="e">
        <f ca="1">_xll.FDSR($A11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1" s="779" t="e">
        <f ca="1">_xll.FDSR($A11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1" s="779" t="e">
        <f ca="1">_xll.FDSR($A11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1" s="779" t="e">
        <f ca="1">_xll.FDSR($A11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1" s="809"/>
      <c r="AT11" s="779" t="e">
        <f ca="1">_xll.FDSR($A11,"IF(P_DATE(0,,,""DATEN"")&gt;FE_ESTIMATE_DATE(RPT_DATE,,ANN_ROLL,"&amp;AT$5&amp;",'YYYYMMDD',0,,,''),AVAIL(AVAIL(FF_ADJ_EBIT(ANN,"&amp;AT$5&amp;"),FF_ARPT_SERIES('OPERATING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1" s="779" t="e">
        <f ca="1">_xll.FDSR($A11,"IF(P_DATE(0,,,""DATEN"")&gt;FE_ESTIMATE_DATE(RPT_DATE,,ANN_ROLL,"&amp;AU$5&amp;",'YYYYMMDD',0,,,''),AVAIL(AVAIL(FF_ADJ_EBIT(ANN,"&amp;AU$5&amp;"),FF_ARPT_SERIES('OPERATING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1" s="779" t="e">
        <f ca="1">_xll.FDSR($A11,"IF(P_DATE(0,,,""DATEN"")&gt;FE_ESTIMATE_DATE(RPT_DATE,,ANN_ROLL,"&amp;AV$5&amp;",'YYYYMMDD',0,,,''),AVAIL(AVAIL(FF_ADJ_EBIT(ANN,"&amp;AV$5&amp;"),FF_ARPT_SERIES('OPERATING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1" s="809"/>
      <c r="AX11" s="779" t="e">
        <f ca="1">_xll.FDSR($A11,"IF(P_DATE(0,,,""DATEN"")&gt;FE_ESTIMATE_DATE(RPT_DATE,,ANN_ROLL,"&amp;AX$5&amp;",'YYYYMMDD',0,,,''),AVAIL(AVAIL(FF_ADJ_EBITDA(ANN,"&amp;AX$5&amp;"),FF_ARPT_SERIES('ADJUSTED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1" s="779" t="e">
        <f ca="1">_xll.FDSR($A11,"IF(P_DATE(0,,,""DATEN"")&gt;FE_ESTIMATE_DATE(RPT_DATE,,ANN_ROLL,"&amp;AY$5&amp;",'YYYYMMDD',0,,,''),AVAIL(AVAIL(FF_ADJ_EBITDA(ANN,"&amp;AY$5&amp;"),FF_ARPT_SERIES('ADJUSTED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1" s="779" t="e">
        <f ca="1">_xll.FDSR($A11,"IF(P_DATE(0,,,""DATEN"")&gt;FE_ESTIMATE_DATE(RPT_DATE,,ANN_ROLL,"&amp;AZ$5&amp;",'YYYYMMDD',0,,,''),AVAIL(AVAIL(FF_ADJ_EBITDA(ANN,"&amp;AZ$5&amp;"),FF_ARPT_SERIES('ADJUSTED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1" s="810"/>
      <c r="BB11" s="779" t="e">
        <f ca="1">_xll.FDSR($A11,"IF(P_DATE(0,,,""DATEN"")&gt;FE_ESTIMATE_DATE(RPT_DATE,,ANN_ROLL,"&amp;BB$5&amp;",'YYYYMMDD',0,,,''),FF_FREE_CF(ANN_R_FCF,"&amp;BB$5&amp;"),FE_ESTIMATE(FCF,MEAN,ANN_ROLL,"&amp;BB$5&amp;",NOW,,,''))")</f>
        <v>#NAME?</v>
      </c>
      <c r="BC11" s="779" t="e">
        <f ca="1">_xll.FDSR($A11,"IF(P_DATE(0,,,""DATEN"")&gt;FE_ESTIMATE_DATE(RPT_DATE,,ANN_ROLL,"&amp;BC$5&amp;",'YYYYMMDD',0,,,''),FF_FREE_CF(ANN_R_FCF,"&amp;BC$5&amp;"),FE_ESTIMATE(FCF,MEAN,ANN_ROLL,"&amp;BC$5&amp;",NOW,,,''))")</f>
        <v>#NAME?</v>
      </c>
      <c r="BD11" s="779" t="e">
        <f ca="1">_xll.FDSR($A11,"IF(P_DATE(0,,,""DATEN"")&gt;FE_ESTIMATE_DATE(RPT_DATE,,ANN_ROLL,"&amp;BD$5&amp;",'YYYYMMDD',0,,,''),FF_FREE_CF(ANN_R_FCF,"&amp;BD$5&amp;"),FE_ESTIMATE(FCF,MEAN,ANN_ROLL,"&amp;BD$5&amp;",NOW,,,''))")</f>
        <v>#NAME?</v>
      </c>
      <c r="BE11" s="810"/>
      <c r="BF11" s="780" t="e">
        <f ca="1">_xll.FDSR($A11,"IF(P_DATE(0,,,""DATEN"")&gt;FE_ESTIMATE_DATE(RPT_DATE,,ANN_ROLL,"&amp;BF$5&amp;",'YYYYMMDD',0,,,''),AVAIL(AVAIL(FF_ADJ_GROSS_INC(ANN,"&amp;BF$5&amp;")/FF_ADJ_SALES(ANN,"&amp;BF$5&amp;"),AVAIL(FF_ARPT_SERIES('GROSS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1" s="780" t="e">
        <f ca="1">_xll.FDSR($A11,"IF(P_DATE(0,,,""DATEN"")&gt;FE_ESTIMATE_DATE(RPT_DATE,,ANN_ROLL,"&amp;BG$5&amp;",'YYYYMMDD',0,,,''),AVAIL(AVAIL(FF_ADJ_GROSS_INC(ANN,"&amp;BG$5&amp;")/FF_ADJ_SALES(ANN,"&amp;BG$5&amp;"),AVAIL(FF_ARPT_SERIES('GROSS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1" s="810"/>
    </row>
    <row r="12" spans="1:66" s="785" customFormat="1" ht="25" customHeight="1" x14ac:dyDescent="0.35">
      <c r="A12" s="807" t="s">
        <v>455</v>
      </c>
      <c r="B12" s="1216" t="str">
        <f>_xll.FDSC("--",A12,"PROPER_NAME(0,,,""SECURITY"",""NAME"")")</f>
        <v>Proofpoint, Inc.</v>
      </c>
      <c r="C12" s="1188" t="e">
        <f ca="1">_xll.FDSC("--",A12,"P_PRICE("&amp;$A$2&amp;",,,USD)")</f>
        <v>#NAME?</v>
      </c>
      <c r="D12" s="1186"/>
      <c r="E12" s="1186" t="str">
        <f t="shared" ca="1" si="8"/>
        <v>NA</v>
      </c>
      <c r="F12" s="1186"/>
      <c r="G12" s="1189" t="e">
        <f ca="1">_xll.FDSC("--",$A12,"FREF_MARKET_VALUE_COMPANY("&amp;$A$2&amp;",,,USD,,0,,""LEGACY"")")</f>
        <v>#NAME?</v>
      </c>
      <c r="H12" s="1189" t="e">
        <f ca="1">_xll.FDSC("--",$A12,"FF_ENTRPR_VAL_DAILY("&amp;$A$2&amp;",,,,USD,""DIL"")")</f>
        <v>#NAME?</v>
      </c>
      <c r="I12" s="1177"/>
      <c r="J12" s="1187" t="str">
        <f t="shared" ca="1" si="2"/>
        <v>NA</v>
      </c>
      <c r="K12" s="1187" t="str">
        <f t="shared" ca="1" si="2"/>
        <v>NA</v>
      </c>
      <c r="L12" s="1187" t="str">
        <f t="shared" ca="1" si="2"/>
        <v>NA</v>
      </c>
      <c r="M12" s="1190"/>
      <c r="N12" s="1187" t="str">
        <f t="shared" ca="1" si="3"/>
        <v>NA</v>
      </c>
      <c r="O12" s="1187" t="str">
        <f t="shared" ca="1" si="3"/>
        <v>NA</v>
      </c>
      <c r="P12" s="1214" t="str">
        <f t="shared" ca="1" si="3"/>
        <v>NA</v>
      </c>
      <c r="Q12" s="1191"/>
      <c r="R12" s="805" t="str">
        <f t="shared" ca="1" si="4"/>
        <v>NA</v>
      </c>
      <c r="S12" s="805" t="str">
        <f t="shared" ca="1" si="4"/>
        <v>NA</v>
      </c>
      <c r="T12" s="805" t="str">
        <f t="shared" ca="1" si="4"/>
        <v>NA</v>
      </c>
      <c r="V12" s="805" t="str">
        <f t="shared" ca="1" si="9"/>
        <v>NA</v>
      </c>
      <c r="W12" s="805" t="str">
        <f t="shared" ca="1" si="5"/>
        <v>NA</v>
      </c>
      <c r="X12" s="805" t="str">
        <f t="shared" ca="1" si="5"/>
        <v>NA</v>
      </c>
      <c r="Z12" s="805" t="str">
        <f t="shared" ca="1" si="6"/>
        <v>NA</v>
      </c>
      <c r="AA12" s="805" t="str">
        <f t="shared" ca="1" si="6"/>
        <v>NA</v>
      </c>
      <c r="AB12" s="805" t="str">
        <f t="shared" ca="1" si="6"/>
        <v>NA</v>
      </c>
      <c r="AC12" s="805"/>
      <c r="AD12" s="805" t="str">
        <f t="shared" ca="1" si="10"/>
        <v>NA</v>
      </c>
      <c r="AE12" s="805" t="str">
        <f t="shared" ca="1" si="7"/>
        <v>NA</v>
      </c>
      <c r="AF12" s="805" t="str">
        <f t="shared" ca="1" si="7"/>
        <v>NA</v>
      </c>
      <c r="AG12" s="805"/>
      <c r="AH12" s="808" t="e">
        <f t="shared" ca="1" si="11"/>
        <v>#NAME?</v>
      </c>
      <c r="AI12" s="808" t="e">
        <f t="shared" ca="1" si="11"/>
        <v>#NAME?</v>
      </c>
      <c r="AN12" s="778" t="e">
        <f ca="1">_xll.FDSC("--",A12,"P_PRICE_HIGH_PR("&amp;$A$2&amp;",,,USD,,,""PRICE"",""INTRA"",""52W"")")</f>
        <v>#NAME?</v>
      </c>
      <c r="AO12" s="779" t="e">
        <f ca="1">_xll.FDSR($A12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2" s="779" t="e">
        <f ca="1">_xll.FDSR($A12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2" s="779" t="e">
        <f ca="1">_xll.FDSR($A12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2" s="779" t="e">
        <f ca="1">_xll.FDSR($A12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2" s="809"/>
      <c r="AT12" s="779" t="e">
        <f ca="1">_xll.FDSR($A12,"IF(P_DATE(0,,,""DATEN"")&gt;FE_ESTIMATE_DATE(RPT_DATE,,ANN_ROLL,"&amp;AT$5&amp;",'YYYYMMDD',0,,,''),AVAIL(AVAIL(FF_ADJ_EBIT(ANN,"&amp;AT$5&amp;"),FF_ARPT_SERIES('OPERATING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2" s="779" t="e">
        <f ca="1">_xll.FDSR($A12,"IF(P_DATE(0,,,""DATEN"")&gt;FE_ESTIMATE_DATE(RPT_DATE,,ANN_ROLL,"&amp;AU$5&amp;",'YYYYMMDD',0,,,''),AVAIL(AVAIL(FF_ADJ_EBIT(ANN,"&amp;AU$5&amp;"),FF_ARPT_SERIES('OPERATING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2" s="779" t="e">
        <f ca="1">_xll.FDSR($A12,"IF(P_DATE(0,,,""DATEN"")&gt;FE_ESTIMATE_DATE(RPT_DATE,,ANN_ROLL,"&amp;AV$5&amp;",'YYYYMMDD',0,,,''),AVAIL(AVAIL(FF_ADJ_EBIT(ANN,"&amp;AV$5&amp;"),FF_ARPT_SERIES('OPERATING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2" s="809"/>
      <c r="AX12" s="779" t="e">
        <f ca="1">_xll.FDSR($A12,"IF(P_DATE(0,,,""DATEN"")&gt;FE_ESTIMATE_DATE(RPT_DATE,,ANN_ROLL,"&amp;AX$5&amp;",'YYYYMMDD',0,,,''),AVAIL(AVAIL(FF_ADJ_EBITDA(ANN,"&amp;AX$5&amp;"),FF_ARPT_SERIES('ADJUSTED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2" s="779" t="e">
        <f ca="1">_xll.FDSR($A12,"IF(P_DATE(0,,,""DATEN"")&gt;FE_ESTIMATE_DATE(RPT_DATE,,ANN_ROLL,"&amp;AY$5&amp;",'YYYYMMDD',0,,,''),AVAIL(AVAIL(FF_ADJ_EBITDA(ANN,"&amp;AY$5&amp;"),FF_ARPT_SERIES('ADJUSTED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2" s="779" t="e">
        <f ca="1">_xll.FDSR($A12,"IF(P_DATE(0,,,""DATEN"")&gt;FE_ESTIMATE_DATE(RPT_DATE,,ANN_ROLL,"&amp;AZ$5&amp;",'YYYYMMDD',0,,,''),AVAIL(AVAIL(FF_ADJ_EBITDA(ANN,"&amp;AZ$5&amp;"),FF_ARPT_SERIES('ADJUSTED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2" s="810"/>
      <c r="BB12" s="779" t="e">
        <f ca="1">_xll.FDSR($A12,"IF(P_DATE(0,,,""DATEN"")&gt;FE_ESTIMATE_DATE(RPT_DATE,,ANN_ROLL,"&amp;BB$5&amp;",'YYYYMMDD',0,,,''),FF_FREE_CF(ANN_R_FCF,"&amp;BB$5&amp;"),FE_ESTIMATE(FCF,MEAN,ANN_ROLL,"&amp;BB$5&amp;",NOW,,,''))")</f>
        <v>#NAME?</v>
      </c>
      <c r="BC12" s="779" t="e">
        <f ca="1">_xll.FDSR($A12,"IF(P_DATE(0,,,""DATEN"")&gt;FE_ESTIMATE_DATE(RPT_DATE,,ANN_ROLL,"&amp;BC$5&amp;",'YYYYMMDD',0,,,''),FF_FREE_CF(ANN_R_FCF,"&amp;BC$5&amp;"),FE_ESTIMATE(FCF,MEAN,ANN_ROLL,"&amp;BC$5&amp;",NOW,,,''))")</f>
        <v>#NAME?</v>
      </c>
      <c r="BD12" s="779" t="e">
        <f ca="1">_xll.FDSR($A12,"IF(P_DATE(0,,,""DATEN"")&gt;FE_ESTIMATE_DATE(RPT_DATE,,ANN_ROLL,"&amp;BD$5&amp;",'YYYYMMDD',0,,,''),FF_FREE_CF(ANN_R_FCF,"&amp;BD$5&amp;"),FE_ESTIMATE(FCF,MEAN,ANN_ROLL,"&amp;BD$5&amp;",NOW,,,''))")</f>
        <v>#NAME?</v>
      </c>
      <c r="BE12" s="810"/>
      <c r="BF12" s="780" t="e">
        <f ca="1">_xll.FDSR($A12,"IF(P_DATE(0,,,""DATEN"")&gt;FE_ESTIMATE_DATE(RPT_DATE,,ANN_ROLL,"&amp;BF$5&amp;",'YYYYMMDD',0,,,''),AVAIL(AVAIL(FF_ADJ_GROSS_INC(ANN,"&amp;BF$5&amp;")/FF_ADJ_SALES(ANN,"&amp;BF$5&amp;"),AVAIL(FF_ARPT_SERIES('GROSS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2" s="780" t="e">
        <f ca="1">_xll.FDSR($A12,"IF(P_DATE(0,,,""DATEN"")&gt;FE_ESTIMATE_DATE(RPT_DATE,,ANN_ROLL,"&amp;BG$5&amp;",'YYYYMMDD',0,,,''),AVAIL(AVAIL(FF_ADJ_GROSS_INC(ANN,"&amp;BG$5&amp;")/FF_ADJ_SALES(ANN,"&amp;BG$5&amp;"),AVAIL(FF_ARPT_SERIES('GROSS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2" s="810"/>
    </row>
    <row r="13" spans="1:66" s="785" customFormat="1" ht="25" customHeight="1" x14ac:dyDescent="0.35">
      <c r="A13" s="807" t="s">
        <v>456</v>
      </c>
      <c r="B13" s="1216" t="str">
        <f>_xll.FDSC("--",A13,"PROPER_NAME(0,,,""SECURITY"",""NAME"")")</f>
        <v>Cornerstone Ondemand, Inc.</v>
      </c>
      <c r="C13" s="1188" t="e">
        <f ca="1">_xll.FDSC("--",A13,"P_PRICE("&amp;$A$2&amp;",,,USD)")</f>
        <v>#NAME?</v>
      </c>
      <c r="D13" s="1186"/>
      <c r="E13" s="1186" t="str">
        <f t="shared" ca="1" si="8"/>
        <v>NA</v>
      </c>
      <c r="F13" s="1186"/>
      <c r="G13" s="1189" t="e">
        <f ca="1">_xll.FDSC("--",$A13,"FREF_MARKET_VALUE_COMPANY("&amp;$A$2&amp;",,,USD,,0,,""LEGACY"")")</f>
        <v>#NAME?</v>
      </c>
      <c r="H13" s="1189" t="e">
        <f ca="1">_xll.FDSC("--",$A13,"FF_ENTRPR_VAL_DAILY("&amp;$A$2&amp;",,,,USD,""DIL"")")</f>
        <v>#NAME?</v>
      </c>
      <c r="I13" s="1177"/>
      <c r="J13" s="1187" t="str">
        <f t="shared" ca="1" si="2"/>
        <v>NA</v>
      </c>
      <c r="K13" s="1187" t="str">
        <f t="shared" ca="1" si="2"/>
        <v>NA</v>
      </c>
      <c r="L13" s="1187" t="str">
        <f t="shared" ca="1" si="2"/>
        <v>NA</v>
      </c>
      <c r="M13" s="1190"/>
      <c r="N13" s="1187" t="str">
        <f t="shared" ca="1" si="3"/>
        <v>NA</v>
      </c>
      <c r="O13" s="1187" t="str">
        <f t="shared" ca="1" si="3"/>
        <v>NA</v>
      </c>
      <c r="P13" s="1214" t="str">
        <f t="shared" ca="1" si="3"/>
        <v>NA</v>
      </c>
      <c r="Q13" s="1191"/>
      <c r="R13" s="805" t="str">
        <f t="shared" ca="1" si="4"/>
        <v>NA</v>
      </c>
      <c r="S13" s="805" t="str">
        <f t="shared" ca="1" si="4"/>
        <v>NA</v>
      </c>
      <c r="T13" s="805" t="str">
        <f t="shared" ca="1" si="4"/>
        <v>NA</v>
      </c>
      <c r="V13" s="805" t="str">
        <f t="shared" ca="1" si="9"/>
        <v>NA</v>
      </c>
      <c r="W13" s="805" t="str">
        <f t="shared" ca="1" si="5"/>
        <v>NA</v>
      </c>
      <c r="X13" s="805" t="str">
        <f t="shared" ca="1" si="5"/>
        <v>NA</v>
      </c>
      <c r="Z13" s="805" t="str">
        <f t="shared" ca="1" si="6"/>
        <v>NA</v>
      </c>
      <c r="AA13" s="805" t="str">
        <f t="shared" ca="1" si="6"/>
        <v>NA</v>
      </c>
      <c r="AB13" s="805" t="str">
        <f t="shared" ca="1" si="6"/>
        <v>NA</v>
      </c>
      <c r="AC13" s="805"/>
      <c r="AD13" s="805" t="str">
        <f t="shared" ca="1" si="10"/>
        <v>NA</v>
      </c>
      <c r="AE13" s="805" t="str">
        <f t="shared" ca="1" si="7"/>
        <v>NA</v>
      </c>
      <c r="AF13" s="805" t="str">
        <f t="shared" ca="1" si="7"/>
        <v>NA</v>
      </c>
      <c r="AG13" s="805"/>
      <c r="AH13" s="808" t="e">
        <f t="shared" ca="1" si="11"/>
        <v>#NAME?</v>
      </c>
      <c r="AI13" s="808" t="e">
        <f t="shared" ca="1" si="11"/>
        <v>#NAME?</v>
      </c>
      <c r="AN13" s="778" t="e">
        <f ca="1">_xll.FDSC("--",A13,"P_PRICE_HIGH_PR("&amp;$A$2&amp;",,,USD,,,""PRICE"",""INTRA"",""52W"")")</f>
        <v>#NAME?</v>
      </c>
      <c r="AO13" s="779" t="e">
        <f ca="1">_xll.FDSR($A13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3" s="779" t="e">
        <f ca="1">_xll.FDSR($A13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3" s="779" t="e">
        <f ca="1">_xll.FDSR($A13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3" s="779" t="e">
        <f ca="1">_xll.FDSR($A13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3" s="809"/>
      <c r="AT13" s="779" t="e">
        <f ca="1">_xll.FDSR($A13,"IF(P_DATE(0,,,""DATEN"")&gt;FE_ESTIMATE_DATE(RPT_DATE,,ANN_ROLL,"&amp;AT$5&amp;",'YYYYMMDD',0,,,''),AVAIL(AVAIL(FF_ADJ_EBIT(ANN,"&amp;AT$5&amp;"),FF_ARPT_SERIES('OPERATING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3" s="779" t="e">
        <f ca="1">_xll.FDSR($A13,"IF(P_DATE(0,,,""DATEN"")&gt;FE_ESTIMATE_DATE(RPT_DATE,,ANN_ROLL,"&amp;AU$5&amp;",'YYYYMMDD',0,,,''),AVAIL(AVAIL(FF_ADJ_EBIT(ANN,"&amp;AU$5&amp;"),FF_ARPT_SERIES('OPERATING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3" s="779" t="e">
        <f ca="1">_xll.FDSR($A13,"IF(P_DATE(0,,,""DATEN"")&gt;FE_ESTIMATE_DATE(RPT_DATE,,ANN_ROLL,"&amp;AV$5&amp;",'YYYYMMDD',0,,,''),AVAIL(AVAIL(FF_ADJ_EBIT(ANN,"&amp;AV$5&amp;"),FF_ARPT_SERIES('OPERATING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3" s="809"/>
      <c r="AX13" s="779" t="e">
        <f ca="1">_xll.FDSR($A13,"IF(P_DATE(0,,,""DATEN"")&gt;FE_ESTIMATE_DATE(RPT_DATE,,ANN_ROLL,"&amp;AX$5&amp;",'YYYYMMDD',0,,,''),AVAIL(AVAIL(FF_ADJ_EBITDA(ANN,"&amp;AX$5&amp;"),FF_ARPT_SERIES('ADJUSTED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3" s="779" t="e">
        <f ca="1">_xll.FDSR($A13,"IF(P_DATE(0,,,""DATEN"")&gt;FE_ESTIMATE_DATE(RPT_DATE,,ANN_ROLL,"&amp;AY$5&amp;",'YYYYMMDD',0,,,''),AVAIL(AVAIL(FF_ADJ_EBITDA(ANN,"&amp;AY$5&amp;"),FF_ARPT_SERIES('ADJUSTED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3" s="779" t="e">
        <f ca="1">_xll.FDSR($A13,"IF(P_DATE(0,,,""DATEN"")&gt;FE_ESTIMATE_DATE(RPT_DATE,,ANN_ROLL,"&amp;AZ$5&amp;",'YYYYMMDD',0,,,''),AVAIL(AVAIL(FF_ADJ_EBITDA(ANN,"&amp;AZ$5&amp;"),FF_ARPT_SERIES('ADJUSTED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3" s="810"/>
      <c r="BB13" s="779" t="e">
        <f ca="1">_xll.FDSR($A13,"IF(P_DATE(0,,,""DATEN"")&gt;FE_ESTIMATE_DATE(RPT_DATE,,ANN_ROLL,"&amp;BB$5&amp;",'YYYYMMDD',0,,,''),FF_FREE_CF(ANN_R_FCF,"&amp;BB$5&amp;"),FE_ESTIMATE(FCF,MEAN,ANN_ROLL,"&amp;BB$5&amp;",NOW,,,''))")</f>
        <v>#NAME?</v>
      </c>
      <c r="BC13" s="779" t="e">
        <f ca="1">_xll.FDSR($A13,"IF(P_DATE(0,,,""DATEN"")&gt;FE_ESTIMATE_DATE(RPT_DATE,,ANN_ROLL,"&amp;BC$5&amp;",'YYYYMMDD',0,,,''),FF_FREE_CF(ANN_R_FCF,"&amp;BC$5&amp;"),FE_ESTIMATE(FCF,MEAN,ANN_ROLL,"&amp;BC$5&amp;",NOW,,,''))")</f>
        <v>#NAME?</v>
      </c>
      <c r="BD13" s="779" t="e">
        <f ca="1">_xll.FDSR($A13,"IF(P_DATE(0,,,""DATEN"")&gt;FE_ESTIMATE_DATE(RPT_DATE,,ANN_ROLL,"&amp;BD$5&amp;",'YYYYMMDD',0,,,''),FF_FREE_CF(ANN_R_FCF,"&amp;BD$5&amp;"),FE_ESTIMATE(FCF,MEAN,ANN_ROLL,"&amp;BD$5&amp;",NOW,,,''))")</f>
        <v>#NAME?</v>
      </c>
      <c r="BE13" s="810"/>
      <c r="BF13" s="780" t="e">
        <f ca="1">_xll.FDSR($A13,"IF(P_DATE(0,,,""DATEN"")&gt;FE_ESTIMATE_DATE(RPT_DATE,,ANN_ROLL,"&amp;BF$5&amp;",'YYYYMMDD',0,,,''),AVAIL(AVAIL(FF_ADJ_GROSS_INC(ANN,"&amp;BF$5&amp;")/FF_ADJ_SALES(ANN,"&amp;BF$5&amp;"),AVAIL(FF_ARPT_SERIES('GROSS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3" s="780" t="e">
        <f ca="1">_xll.FDSR($A13,"IF(P_DATE(0,,,""DATEN"")&gt;FE_ESTIMATE_DATE(RPT_DATE,,ANN_ROLL,"&amp;BG$5&amp;",'YYYYMMDD',0,,,''),AVAIL(AVAIL(FF_ADJ_GROSS_INC(ANN,"&amp;BG$5&amp;")/FF_ADJ_SALES(ANN,"&amp;BG$5&amp;"),AVAIL(FF_ARPT_SERIES('GROSS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3" s="810"/>
    </row>
    <row r="14" spans="1:66" s="785" customFormat="1" ht="25" customHeight="1" x14ac:dyDescent="0.35">
      <c r="A14" s="807" t="s">
        <v>457</v>
      </c>
      <c r="B14" s="1216" t="str">
        <f>_xll.FDSC("--",A14,"PROPER_NAME(0,,,""SECURITY"",""NAME"")")</f>
        <v>Cloudera, Inc.</v>
      </c>
      <c r="C14" s="1188" t="e">
        <f ca="1">_xll.FDSC("--",A14,"P_PRICE("&amp;$A$2&amp;",,,USD)")</f>
        <v>#NAME?</v>
      </c>
      <c r="D14" s="1186"/>
      <c r="E14" s="1186" t="str">
        <f t="shared" ca="1" si="8"/>
        <v>NA</v>
      </c>
      <c r="F14" s="1186"/>
      <c r="G14" s="1189" t="e">
        <f ca="1">_xll.FDSC("--",$A14,"FREF_MARKET_VALUE_COMPANY("&amp;$A$2&amp;",,,USD,,0,,""LEGACY"")")</f>
        <v>#NAME?</v>
      </c>
      <c r="H14" s="1189" t="e">
        <f ca="1">_xll.FDSC("--",$A14,"FF_ENTRPR_VAL_DAILY("&amp;$A$2&amp;",,,,USD,""DIL"")")</f>
        <v>#NAME?</v>
      </c>
      <c r="I14" s="1177"/>
      <c r="J14" s="1187" t="str">
        <f t="shared" ca="1" si="2"/>
        <v>NA</v>
      </c>
      <c r="K14" s="1187" t="str">
        <f t="shared" ca="1" si="2"/>
        <v>NA</v>
      </c>
      <c r="L14" s="1187" t="str">
        <f t="shared" ca="1" si="2"/>
        <v>NA</v>
      </c>
      <c r="M14" s="1190"/>
      <c r="N14" s="1187" t="str">
        <f t="shared" ca="1" si="3"/>
        <v>NA</v>
      </c>
      <c r="O14" s="1187" t="str">
        <f t="shared" ca="1" si="3"/>
        <v>NA</v>
      </c>
      <c r="P14" s="1214" t="str">
        <f t="shared" ca="1" si="3"/>
        <v>NA</v>
      </c>
      <c r="Q14" s="1191"/>
      <c r="R14" s="805" t="str">
        <f t="shared" ca="1" si="4"/>
        <v>NA</v>
      </c>
      <c r="S14" s="805" t="str">
        <f t="shared" ca="1" si="4"/>
        <v>NA</v>
      </c>
      <c r="T14" s="805" t="str">
        <f t="shared" ca="1" si="4"/>
        <v>NA</v>
      </c>
      <c r="V14" s="805" t="str">
        <f t="shared" ca="1" si="9"/>
        <v>NA</v>
      </c>
      <c r="W14" s="805" t="str">
        <f t="shared" ca="1" si="5"/>
        <v>NA</v>
      </c>
      <c r="X14" s="805" t="str">
        <f t="shared" ca="1" si="5"/>
        <v>NA</v>
      </c>
      <c r="Z14" s="805" t="str">
        <f t="shared" ca="1" si="6"/>
        <v>NA</v>
      </c>
      <c r="AA14" s="805" t="str">
        <f t="shared" ca="1" si="6"/>
        <v>NA</v>
      </c>
      <c r="AB14" s="805" t="str">
        <f t="shared" ca="1" si="6"/>
        <v>NA</v>
      </c>
      <c r="AC14" s="805"/>
      <c r="AD14" s="805" t="str">
        <f t="shared" ca="1" si="10"/>
        <v>NA</v>
      </c>
      <c r="AE14" s="805" t="str">
        <f t="shared" ca="1" si="7"/>
        <v>NA</v>
      </c>
      <c r="AF14" s="805" t="str">
        <f t="shared" ca="1" si="7"/>
        <v>NA</v>
      </c>
      <c r="AG14" s="805"/>
      <c r="AH14" s="808" t="e">
        <f t="shared" ca="1" si="11"/>
        <v>#NAME?</v>
      </c>
      <c r="AI14" s="808" t="e">
        <f t="shared" ca="1" si="11"/>
        <v>#NAME?</v>
      </c>
      <c r="AN14" s="778" t="e">
        <f ca="1">_xll.FDSC("--",A14,"P_PRICE_HIGH_PR("&amp;$A$2&amp;",,,USD,,,""PRICE"",""INTRA"",""52W"")")</f>
        <v>#NAME?</v>
      </c>
      <c r="AO14" s="779" t="e">
        <f ca="1">_xll.FDSR($A14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4" s="779" t="e">
        <f ca="1">_xll.FDSR($A14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4" s="779" t="e">
        <f ca="1">_xll.FDSR($A14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4" s="779" t="e">
        <f ca="1">_xll.FDSR($A14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4" s="809"/>
      <c r="AT14" s="779" t="e">
        <f ca="1">_xll.FDSR($A14,"IF(P_DATE(0,,,""DATEN"")&gt;FE_ESTIMATE_DATE(RPT_DATE,,ANN_ROLL,"&amp;AT$5&amp;",'YYYYMMDD',0,,,''),AVAIL(AVAIL(FF_ADJ_EBIT(ANN,"&amp;AT$5&amp;"),FF_ARPT_SERIES('OPERATING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4" s="779" t="e">
        <f ca="1">_xll.FDSR($A14,"IF(P_DATE(0,,,""DATEN"")&gt;FE_ESTIMATE_DATE(RPT_DATE,,ANN_ROLL,"&amp;AU$5&amp;",'YYYYMMDD',0,,,''),AVAIL(AVAIL(FF_ADJ_EBIT(ANN,"&amp;AU$5&amp;"),FF_ARPT_SERIES('OPERATING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4" s="779" t="e">
        <f ca="1">_xll.FDSR($A14,"IF(P_DATE(0,,,""DATEN"")&gt;FE_ESTIMATE_DATE(RPT_DATE,,ANN_ROLL,"&amp;AV$5&amp;",'YYYYMMDD',0,,,''),AVAIL(AVAIL(FF_ADJ_EBIT(ANN,"&amp;AV$5&amp;"),FF_ARPT_SERIES('OPERATING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4" s="809"/>
      <c r="AX14" s="779" t="e">
        <f ca="1">_xll.FDSR($A14,"IF(P_DATE(0,,,""DATEN"")&gt;FE_ESTIMATE_DATE(RPT_DATE,,ANN_ROLL,"&amp;AX$5&amp;",'YYYYMMDD',0,,,''),AVAIL(AVAIL(FF_ADJ_EBITDA(ANN,"&amp;AX$5&amp;"),FF_ARPT_SERIES('ADJUSTED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4" s="779" t="e">
        <f ca="1">_xll.FDSR($A14,"IF(P_DATE(0,,,""DATEN"")&gt;FE_ESTIMATE_DATE(RPT_DATE,,ANN_ROLL,"&amp;AY$5&amp;",'YYYYMMDD',0,,,''),AVAIL(AVAIL(FF_ADJ_EBITDA(ANN,"&amp;AY$5&amp;"),FF_ARPT_SERIES('ADJUSTED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4" s="779" t="e">
        <f ca="1">_xll.FDSR($A14,"IF(P_DATE(0,,,""DATEN"")&gt;FE_ESTIMATE_DATE(RPT_DATE,,ANN_ROLL,"&amp;AZ$5&amp;",'YYYYMMDD',0,,,''),AVAIL(AVAIL(FF_ADJ_EBITDA(ANN,"&amp;AZ$5&amp;"),FF_ARPT_SERIES('ADJUSTED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4" s="810"/>
      <c r="BB14" s="779" t="e">
        <f ca="1">_xll.FDSR($A14,"IF(P_DATE(0,,,""DATEN"")&gt;FE_ESTIMATE_DATE(RPT_DATE,,ANN_ROLL,"&amp;BB$5&amp;",'YYYYMMDD',0,,,''),FF_FREE_CF(ANN_R_FCF,"&amp;BB$5&amp;"),FE_ESTIMATE(FCF,MEAN,ANN_ROLL,"&amp;BB$5&amp;",NOW,,,''))")</f>
        <v>#NAME?</v>
      </c>
      <c r="BC14" s="779" t="e">
        <f ca="1">_xll.FDSR($A14,"IF(P_DATE(0,,,""DATEN"")&gt;FE_ESTIMATE_DATE(RPT_DATE,,ANN_ROLL,"&amp;BC$5&amp;",'YYYYMMDD',0,,,''),FF_FREE_CF(ANN_R_FCF,"&amp;BC$5&amp;"),FE_ESTIMATE(FCF,MEAN,ANN_ROLL,"&amp;BC$5&amp;",NOW,,,''))")</f>
        <v>#NAME?</v>
      </c>
      <c r="BD14" s="779" t="e">
        <f ca="1">_xll.FDSR($A14,"IF(P_DATE(0,,,""DATEN"")&gt;FE_ESTIMATE_DATE(RPT_DATE,,ANN_ROLL,"&amp;BD$5&amp;",'YYYYMMDD',0,,,''),FF_FREE_CF(ANN_R_FCF,"&amp;BD$5&amp;"),FE_ESTIMATE(FCF,MEAN,ANN_ROLL,"&amp;BD$5&amp;",NOW,,,''))")</f>
        <v>#NAME?</v>
      </c>
      <c r="BE14" s="810"/>
      <c r="BF14" s="780" t="e">
        <f ca="1">_xll.FDSR($A14,"IF(P_DATE(0,,,""DATEN"")&gt;FE_ESTIMATE_DATE(RPT_DATE,,ANN_ROLL,"&amp;BF$5&amp;",'YYYYMMDD',0,,,''),AVAIL(AVAIL(FF_ADJ_GROSS_INC(ANN,"&amp;BF$5&amp;")/FF_ADJ_SALES(ANN,"&amp;BF$5&amp;"),AVAIL(FF_ARPT_SERIES('GROSS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4" s="780" t="e">
        <f ca="1">_xll.FDSR($A14,"IF(P_DATE(0,,,""DATEN"")&gt;FE_ESTIMATE_DATE(RPT_DATE,,ANN_ROLL,"&amp;BG$5&amp;",'YYYYMMDD',0,,,''),AVAIL(AVAIL(FF_ADJ_GROSS_INC(ANN,"&amp;BG$5&amp;")/FF_ADJ_SALES(ANN,"&amp;BG$5&amp;"),AVAIL(FF_ARPT_SERIES('GROSS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4" s="810"/>
    </row>
    <row r="15" spans="1:66" s="785" customFormat="1" ht="25" customHeight="1" thickBot="1" x14ac:dyDescent="0.4">
      <c r="A15" s="807" t="s">
        <v>458</v>
      </c>
      <c r="B15" s="1229" t="str">
        <f>_xll.FDSC("--",A15,"PROPER_NAME(0,,,""SECURITY"",""NAME"")")</f>
        <v>Carbonite, Inc.</v>
      </c>
      <c r="C15" s="1230" t="e">
        <f ca="1">_xll.FDSC("--",A15,"P_PRICE("&amp;$A$2&amp;",,,USD)")</f>
        <v>#NAME?</v>
      </c>
      <c r="D15" s="1218"/>
      <c r="E15" s="1218" t="str">
        <f t="shared" ca="1" si="8"/>
        <v>NA</v>
      </c>
      <c r="F15" s="1218"/>
      <c r="G15" s="1231" t="e">
        <f ca="1">_xll.FDSC("--",$A15,"FREF_MARKET_VALUE_COMPANY("&amp;$A$2&amp;",,,USD,,0,,""LEGACY"")")</f>
        <v>#NAME?</v>
      </c>
      <c r="H15" s="1231" t="e">
        <f ca="1">_xll.FDSC("--",$A15,"FF_ENTRPR_VAL_DAILY("&amp;$A$2&amp;",,,,USD,""DIL"")")</f>
        <v>#NAME?</v>
      </c>
      <c r="I15" s="1217"/>
      <c r="J15" s="1219" t="str">
        <f t="shared" ca="1" si="2"/>
        <v>NA</v>
      </c>
      <c r="K15" s="1219" t="str">
        <f t="shared" ca="1" si="2"/>
        <v>NA</v>
      </c>
      <c r="L15" s="1219" t="str">
        <f t="shared" ca="1" si="2"/>
        <v>NA</v>
      </c>
      <c r="M15" s="1232"/>
      <c r="N15" s="1219" t="str">
        <f t="shared" ca="1" si="3"/>
        <v>NA</v>
      </c>
      <c r="O15" s="1219" t="str">
        <f t="shared" ca="1" si="3"/>
        <v>NA</v>
      </c>
      <c r="P15" s="1220" t="str">
        <f t="shared" ca="1" si="3"/>
        <v>NA</v>
      </c>
      <c r="Q15" s="1191"/>
      <c r="R15" s="805" t="str">
        <f t="shared" ca="1" si="4"/>
        <v>NA</v>
      </c>
      <c r="S15" s="805" t="str">
        <f t="shared" ca="1" si="4"/>
        <v>NA</v>
      </c>
      <c r="T15" s="805" t="str">
        <f t="shared" ca="1" si="4"/>
        <v>NA</v>
      </c>
      <c r="V15" s="805" t="str">
        <f t="shared" ca="1" si="9"/>
        <v>NA</v>
      </c>
      <c r="W15" s="805" t="str">
        <f t="shared" ca="1" si="5"/>
        <v>NA</v>
      </c>
      <c r="X15" s="805" t="str">
        <f t="shared" ca="1" si="5"/>
        <v>NA</v>
      </c>
      <c r="Z15" s="805" t="str">
        <f t="shared" ca="1" si="6"/>
        <v>NA</v>
      </c>
      <c r="AA15" s="805" t="str">
        <f t="shared" ca="1" si="6"/>
        <v>NA</v>
      </c>
      <c r="AB15" s="805" t="str">
        <f t="shared" ca="1" si="6"/>
        <v>NA</v>
      </c>
      <c r="AC15" s="805"/>
      <c r="AD15" s="805" t="str">
        <f t="shared" ca="1" si="10"/>
        <v>NA</v>
      </c>
      <c r="AE15" s="805" t="str">
        <f t="shared" ca="1" si="7"/>
        <v>NA</v>
      </c>
      <c r="AF15" s="805" t="str">
        <f t="shared" ca="1" si="7"/>
        <v>NA</v>
      </c>
      <c r="AG15" s="805"/>
      <c r="AH15" s="808" t="e">
        <f t="shared" ca="1" si="11"/>
        <v>#NAME?</v>
      </c>
      <c r="AI15" s="808" t="e">
        <f t="shared" ca="1" si="11"/>
        <v>#NAME?</v>
      </c>
      <c r="AN15" s="778" t="e">
        <f ca="1">_xll.FDSC("--",A15,"P_PRICE_HIGH_PR("&amp;$A$2&amp;",,,USD,,,""PRICE"",""INTRA"",""52W"")")</f>
        <v>#NAME?</v>
      </c>
      <c r="AO15" s="779" t="e">
        <f ca="1">_xll.FDSR($A15,"IF(P_DATE(0,,,""DATEN"")&gt;FE_ESTIMATE_DATE(RPT_DATE,,ANN_ROLL,"&amp;AO$5&amp;",'YYYYMMDD',0,,,''),AVAIL(AVAIL(FF_ADJ_SALES(ANN,"&amp;AO$5&amp;"),FF_ARPT_SERIES('RV','ANN',"&amp;AO$5&amp;",,'M','IS')),FF_SALES(ANN,"&amp;AO$5&amp;")),FE_ESTIMATE(SALES,MEAN,ANN_ROLL,"&amp;AO$5&amp;",NOW,,,''))")</f>
        <v>#NAME?</v>
      </c>
      <c r="AP15" s="779" t="e">
        <f ca="1">_xll.FDSR($A15,"IF(P_DATE(0,,,""DATEN"")&gt;FE_ESTIMATE_DATE(RPT_DATE,,ANN_ROLL,"&amp;AP$5&amp;",'YYYYMMDD',0,,,''),AVAIL(AVAIL(FF_ADJ_SALES(ANN,"&amp;AP$5&amp;"),FF_ARPT_SERIES('RV','ANN',"&amp;AP$5&amp;",,'M','IS')),FF_SALES(ANN,"&amp;AP$5&amp;")),FE_ESTIMATE(SALES,MEAN,ANN_ROLL,"&amp;AP$5&amp;",NOW,,,''))")</f>
        <v>#NAME?</v>
      </c>
      <c r="AQ15" s="779" t="e">
        <f ca="1">_xll.FDSR($A15,"IF(P_DATE(0,,,""DATEN"")&gt;FE_ESTIMATE_DATE(RPT_DATE,,ANN_ROLL,"&amp;AQ$5&amp;",'YYYYMMDD',0,,,''),AVAIL(AVAIL(FF_ADJ_SALES(ANN,"&amp;AQ$5&amp;"),FF_ARPT_SERIES('RV','ANN',"&amp;AQ$5&amp;",,'M','IS')),FF_SALES(ANN,"&amp;AQ$5&amp;")),FE_ESTIMATE(SALES,MEAN,ANN_ROLL,"&amp;AQ$5&amp;",NOW,,,''))")</f>
        <v>#NAME?</v>
      </c>
      <c r="AR15" s="779" t="e">
        <f ca="1">_xll.FDSR($A15,"IF(P_DATE(0,,,""DATEN"")&gt;FE_ESTIMATE_DATE(RPT_DATE,,ANN_ROLL,"&amp;AR$5&amp;",'YYYYMMDD',0,,,''),AVAIL(AVAIL(FF_ADJ_SALES(ANN,"&amp;AR$5&amp;"),FF_ARPT_SERIES('RV','ANN',"&amp;AR$5&amp;",,'M','IS')),FF_SALES(ANN,"&amp;AR$5&amp;")),FE_ESTIMATE(SALES,MEAN,ANN_ROLL,"&amp;AR$5&amp;",NOW,,,''))")</f>
        <v>#NAME?</v>
      </c>
      <c r="AS15" s="809"/>
      <c r="AT15" s="779" t="e">
        <f ca="1">_xll.FDSR($A15,"IF(P_DATE(0,,,""DATEN"")&gt;FE_ESTIMATE_DATE(RPT_DATE,,ANN_ROLL,"&amp;AT$5&amp;",'YYYYMMDD',0,,,''),AVAIL(AVAIL(FF_ADJ_EBIT(ANN,"&amp;AT$5&amp;"),FF_ARPT_SERIES('OPERATING INCOME / LOSS','ANN',"&amp;AT$5&amp;",,'M','IS')),FF_EBIT_OPER(ANN,"&amp;AT$5&amp;")),FE_ESTIMATE(EBIT_ADJ,MEAN,ANN_ROLL,"&amp;AT$5&amp;",NOW,,,''))")</f>
        <v>#NAME?</v>
      </c>
      <c r="AU15" s="779" t="e">
        <f ca="1">_xll.FDSR($A15,"IF(P_DATE(0,,,""DATEN"")&gt;FE_ESTIMATE_DATE(RPT_DATE,,ANN_ROLL,"&amp;AU$5&amp;",'YYYYMMDD',0,,,''),AVAIL(AVAIL(FF_ADJ_EBIT(ANN,"&amp;AU$5&amp;"),FF_ARPT_SERIES('OPERATING INCOME / LOSS','ANN',"&amp;AU$5&amp;",,'M','IS')),FF_EBIT_OPER(ANN,"&amp;AU$5&amp;")),FE_ESTIMATE(EBIT_ADJ,MEAN,ANN_ROLL,"&amp;AU$5&amp;",NOW,,,''))")</f>
        <v>#NAME?</v>
      </c>
      <c r="AV15" s="779" t="e">
        <f ca="1">_xll.FDSR($A15,"IF(P_DATE(0,,,""DATEN"")&gt;FE_ESTIMATE_DATE(RPT_DATE,,ANN_ROLL,"&amp;AV$5&amp;",'YYYYMMDD',0,,,''),AVAIL(AVAIL(FF_ADJ_EBIT(ANN,"&amp;AV$5&amp;"),FF_ARPT_SERIES('OPERATING INCOME / LOSS','ANN',"&amp;AV$5&amp;",,'M','IS')),FF_EBIT_OPER(ANN,"&amp;AV$5&amp;")),FE_ESTIMATE(EBIT_ADJ,MEAN,ANN_ROLL,"&amp;AV$5&amp;",NOW,,,''))")</f>
        <v>#NAME?</v>
      </c>
      <c r="AW15" s="809"/>
      <c r="AX15" s="779" t="e">
        <f ca="1">_xll.FDSR($A15,"IF(P_DATE(0,,,""DATEN"")&gt;FE_ESTIMATE_DATE(RPT_DATE,,ANN_ROLL,"&amp;AX$5&amp;",'YYYYMMDD',0,,,''),AVAIL(AVAIL(FF_ADJ_EBITDA(ANN,"&amp;AX$5&amp;"),FF_ARPT_SERIES('ADJUSTED EBITDA','ANN',"&amp;AX$5&amp;",,'M','NG-IS')),FF_EBITDA_OPER(ANN,"&amp;AX$5&amp;")),FE_ESTIMATE(EBITDA_ADJ,MEAN,ANN_ROLL,"&amp;AX$5&amp;",NOW,,,''))")</f>
        <v>#NAME?</v>
      </c>
      <c r="AY15" s="779" t="e">
        <f ca="1">_xll.FDSR($A15,"IF(P_DATE(0,,,""DATEN"")&gt;FE_ESTIMATE_DATE(RPT_DATE,,ANN_ROLL,"&amp;AY$5&amp;",'YYYYMMDD',0,,,''),AVAIL(AVAIL(FF_ADJ_EBITDA(ANN,"&amp;AY$5&amp;"),FF_ARPT_SERIES('ADJUSTED EBITDA','ANN',"&amp;AY$5&amp;",,'M','NG-IS')),FF_EBITDA_OPER(ANN,"&amp;AY$5&amp;")),FE_ESTIMATE(EBITDA_ADJ,MEAN,ANN_ROLL,"&amp;AY$5&amp;",NOW,,,''))")</f>
        <v>#NAME?</v>
      </c>
      <c r="AZ15" s="779" t="e">
        <f ca="1">_xll.FDSR($A15,"IF(P_DATE(0,,,""DATEN"")&gt;FE_ESTIMATE_DATE(RPT_DATE,,ANN_ROLL,"&amp;AZ$5&amp;",'YYYYMMDD',0,,,''),AVAIL(AVAIL(FF_ADJ_EBITDA(ANN,"&amp;AZ$5&amp;"),FF_ARPT_SERIES('ADJUSTED EBITDA','ANN',"&amp;AZ$5&amp;",,'M','NG-IS')),FF_EBITDA_OPER(ANN,"&amp;AZ$5&amp;")),FE_ESTIMATE(EBITDA_ADJ,MEAN,ANN_ROLL,"&amp;AZ$5&amp;",NOW,,,''))")</f>
        <v>#NAME?</v>
      </c>
      <c r="BA15" s="810"/>
      <c r="BB15" s="779" t="e">
        <f ca="1">_xll.FDSR($A15,"IF(P_DATE(0,,,""DATEN"")&gt;FE_ESTIMATE_DATE(RPT_DATE,,ANN_ROLL,"&amp;BB$5&amp;",'YYYYMMDD',0,,,''),FF_FREE_CF(ANN_R_FCF,"&amp;BB$5&amp;"),FE_ESTIMATE(FCF,MEAN,ANN_ROLL,"&amp;BB$5&amp;",NOW,,,''))")</f>
        <v>#NAME?</v>
      </c>
      <c r="BC15" s="779" t="e">
        <f ca="1">_xll.FDSR($A15,"IF(P_DATE(0,,,""DATEN"")&gt;FE_ESTIMATE_DATE(RPT_DATE,,ANN_ROLL,"&amp;BC$5&amp;",'YYYYMMDD',0,,,''),FF_FREE_CF(ANN_R_FCF,"&amp;BC$5&amp;"),FE_ESTIMATE(FCF,MEAN,ANN_ROLL,"&amp;BC$5&amp;",NOW,,,''))")</f>
        <v>#NAME?</v>
      </c>
      <c r="BD15" s="779" t="e">
        <f ca="1">_xll.FDSR($A15,"IF(P_DATE(0,,,""DATEN"")&gt;FE_ESTIMATE_DATE(RPT_DATE,,ANN_ROLL,"&amp;BD$5&amp;",'YYYYMMDD',0,,,''),FF_FREE_CF(ANN_R_FCF,"&amp;BD$5&amp;"),FE_ESTIMATE(FCF,MEAN,ANN_ROLL,"&amp;BD$5&amp;",NOW,,,''))")</f>
        <v>#NAME?</v>
      </c>
      <c r="BE15" s="810"/>
      <c r="BF15" s="780" t="e">
        <f ca="1">_xll.FDSR($A15,"IF(P_DATE(0,,,""DATEN"")&gt;FE_ESTIMATE_DATE(RPT_DATE,,ANN_ROLL,"&amp;BF$5&amp;",'YYYYMMDD',0,,,''),AVAIL(AVAIL(FF_ADJ_GROSS_INC(ANN,"&amp;BF$5&amp;")/FF_ADJ_SALES(ANN,"&amp;BF$5&amp;"),AVAIL(FF_ARPT_SERIES('GROSS MARGIN','ANN',"&amp;BF$5&amp;",,'M','IS'),FF_ARPT_SERIES('GROSS PROFIT','ANN',"&amp;BF$5&amp;",,'M','IS'))/FF_ARPT_SERIES('RV','ANN',"&amp;BF$5&amp;",,'M','IS')),FF_GROSS_MGN(ANN,"&amp;BF$5&amp;")),FE_VALUATION(GROSS_MARGIN,MEAN,ANN_ROLL,"&amp;BF$5&amp;",0,,,'')/100)")</f>
        <v>#NAME?</v>
      </c>
      <c r="BG15" s="780" t="e">
        <f ca="1">_xll.FDSR($A15,"IF(P_DATE(0,,,""DATEN"")&gt;FE_ESTIMATE_DATE(RPT_DATE,,ANN_ROLL,"&amp;BG$5&amp;",'YYYYMMDD',0,,,''),AVAIL(AVAIL(FF_ADJ_GROSS_INC(ANN,"&amp;BG$5&amp;")/FF_ADJ_SALES(ANN,"&amp;BG$5&amp;"),AVAIL(FF_ARPT_SERIES('GROSS MARGIN','ANN',"&amp;BG$5&amp;",,'M','IS'),FF_ARPT_SERIES('GROSS PROFIT','ANN',"&amp;BG$5&amp;",,'M','IS'))/FF_ARPT_SERIES('RV','ANN',"&amp;BG$5&amp;",,'M','IS')),FF_GROSS_MGN(ANN,"&amp;BG$5&amp;")),FE_VALUATION(GROSS_MARGIN,MEAN,ANN_ROLL,"&amp;BG$5&amp;",0,,,'')/100)")</f>
        <v>#NAME?</v>
      </c>
      <c r="BH15" s="810"/>
    </row>
    <row r="16" spans="1:66" s="789" customFormat="1" ht="4.5" customHeight="1" x14ac:dyDescent="0.35">
      <c r="B16" s="1221"/>
      <c r="C16" s="1222"/>
      <c r="D16" s="1223"/>
      <c r="E16" s="1223"/>
      <c r="F16" s="1223"/>
      <c r="G16" s="1224"/>
      <c r="H16" s="1224"/>
      <c r="I16" s="1225"/>
      <c r="J16" s="1226"/>
      <c r="K16" s="1226"/>
      <c r="L16" s="1226"/>
      <c r="M16" s="1227"/>
      <c r="N16" s="1226"/>
      <c r="O16" s="1226"/>
      <c r="P16" s="1228"/>
      <c r="Q16" s="1193"/>
      <c r="R16" s="813"/>
      <c r="S16" s="813"/>
      <c r="T16" s="813"/>
      <c r="Z16" s="813"/>
      <c r="AA16" s="813"/>
      <c r="AB16" s="813"/>
      <c r="AC16" s="813"/>
      <c r="AD16" s="813"/>
      <c r="AE16" s="813"/>
      <c r="AF16" s="813"/>
      <c r="AG16" s="813"/>
      <c r="AH16" s="813"/>
      <c r="AI16" s="813"/>
      <c r="AN16" s="794"/>
    </row>
    <row r="17" spans="1:62" s="789" customFormat="1" ht="25" customHeight="1" outlineLevel="1" x14ac:dyDescent="0.35">
      <c r="B17" s="1233" t="s">
        <v>459</v>
      </c>
      <c r="C17" s="1234"/>
      <c r="D17" s="1235"/>
      <c r="E17" s="1235" t="e">
        <f ca="1">QUARTILE(E9:E15,1)</f>
        <v>#NUM!</v>
      </c>
      <c r="F17" s="1235"/>
      <c r="G17" s="1234"/>
      <c r="H17" s="1234"/>
      <c r="I17" s="1234"/>
      <c r="J17" s="1236" t="e">
        <f ca="1">QUARTILE(J9:J15,1)</f>
        <v>#NUM!</v>
      </c>
      <c r="K17" s="1236" t="e">
        <f ca="1">QUARTILE(K9:K15,1)</f>
        <v>#NUM!</v>
      </c>
      <c r="L17" s="1236" t="e">
        <f ca="1">QUARTILE(L9:L15,1)</f>
        <v>#NUM!</v>
      </c>
      <c r="M17" s="1236"/>
      <c r="N17" s="1236" t="e">
        <f ca="1">QUARTILE(N9:N15,1)</f>
        <v>#NUM!</v>
      </c>
      <c r="O17" s="1236" t="e">
        <f ca="1">QUARTILE(O9:O15,1)</f>
        <v>#NUM!</v>
      </c>
      <c r="P17" s="1237" t="e">
        <f ca="1">QUARTILE(P9:P15,1)</f>
        <v>#NUM!</v>
      </c>
      <c r="Q17" s="1191"/>
      <c r="R17" s="814" t="e">
        <f ca="1">QUARTILE(R9:R15,1)</f>
        <v>#NUM!</v>
      </c>
      <c r="S17" s="814" t="e">
        <f ca="1">QUARTILE(S9:S15,1)</f>
        <v>#NUM!</v>
      </c>
      <c r="T17" s="814" t="e">
        <f ca="1">QUARTILE(T9:T15,1)</f>
        <v>#NUM!</v>
      </c>
      <c r="U17" s="814"/>
      <c r="V17" s="814"/>
      <c r="W17" s="814"/>
      <c r="X17" s="814"/>
      <c r="Y17" s="814"/>
      <c r="Z17" s="814" t="e">
        <f ca="1">QUARTILE(Z9:Z15,1)</f>
        <v>#NUM!</v>
      </c>
      <c r="AA17" s="814" t="e">
        <f ca="1">QUARTILE(AA9:AA15,1)</f>
        <v>#NUM!</v>
      </c>
      <c r="AB17" s="814" t="e">
        <f ca="1">QUARTILE(AB9:AB15,1)</f>
        <v>#NUM!</v>
      </c>
      <c r="AC17" s="814" t="e">
        <f t="shared" ref="AC17:AI17" si="12">QUARTILE(AC9:AC15,1)</f>
        <v>#NUM!</v>
      </c>
      <c r="AD17" s="814" t="e">
        <f t="shared" ca="1" si="12"/>
        <v>#NUM!</v>
      </c>
      <c r="AE17" s="814" t="e">
        <f t="shared" ca="1" si="12"/>
        <v>#NUM!</v>
      </c>
      <c r="AF17" s="814" t="e">
        <f t="shared" ca="1" si="12"/>
        <v>#NUM!</v>
      </c>
      <c r="AG17" s="814" t="e">
        <f t="shared" si="12"/>
        <v>#NUM!</v>
      </c>
      <c r="AH17" s="814" t="e">
        <f t="shared" ca="1" si="12"/>
        <v>#NAME?</v>
      </c>
      <c r="AI17" s="814" t="e">
        <f t="shared" ca="1" si="12"/>
        <v>#NAME?</v>
      </c>
      <c r="AJ17" s="815"/>
      <c r="AN17" s="794"/>
      <c r="AO17" s="782"/>
      <c r="AP17" s="782"/>
      <c r="AQ17" s="782"/>
      <c r="AR17" s="782"/>
    </row>
    <row r="18" spans="1:62" s="789" customFormat="1" ht="25" customHeight="1" x14ac:dyDescent="0.35">
      <c r="B18" s="1251" t="s">
        <v>138</v>
      </c>
      <c r="C18" s="1243"/>
      <c r="D18" s="1244"/>
      <c r="E18" s="1245" t="e">
        <f ca="1">MEDIAN(E9:E15)</f>
        <v>#NUM!</v>
      </c>
      <c r="F18" s="1244"/>
      <c r="G18" s="1243"/>
      <c r="H18" s="1243"/>
      <c r="I18" s="1243"/>
      <c r="J18" s="1246" t="e">
        <f ca="1">MEDIAN(J9:J15)</f>
        <v>#NUM!</v>
      </c>
      <c r="K18" s="1246" t="e">
        <f ca="1">MEDIAN(K9:K15)</f>
        <v>#NUM!</v>
      </c>
      <c r="L18" s="1246" t="e">
        <f ca="1">MEDIAN(L9:L15)</f>
        <v>#NUM!</v>
      </c>
      <c r="M18" s="1246"/>
      <c r="N18" s="1246" t="e">
        <f ca="1">MEDIAN(N9:N15)</f>
        <v>#NUM!</v>
      </c>
      <c r="O18" s="1246" t="e">
        <f ca="1">MEDIAN(O9:O15)</f>
        <v>#NUM!</v>
      </c>
      <c r="P18" s="1252" t="e">
        <f ca="1">MEDIAN(P9:P15)</f>
        <v>#NUM!</v>
      </c>
      <c r="Q18" s="1194"/>
      <c r="R18" s="816" t="e">
        <f ca="1">MEDIAN(R9:R15)</f>
        <v>#NUM!</v>
      </c>
      <c r="S18" s="816" t="e">
        <f ca="1">MEDIAN(S9:S15)</f>
        <v>#NUM!</v>
      </c>
      <c r="T18" s="816" t="e">
        <f ca="1">MEDIAN(T9:T15)</f>
        <v>#NUM!</v>
      </c>
      <c r="U18" s="816"/>
      <c r="V18" s="816" t="e">
        <f ca="1">MEDIAN(V9:V15)</f>
        <v>#NUM!</v>
      </c>
      <c r="W18" s="816" t="e">
        <f ca="1">MEDIAN(W9:W15)</f>
        <v>#NUM!</v>
      </c>
      <c r="X18" s="816" t="e">
        <f ca="1">MEDIAN(X9:X15)</f>
        <v>#NUM!</v>
      </c>
      <c r="Y18" s="816"/>
      <c r="Z18" s="816" t="e">
        <f ca="1">MEDIAN(Z9:Z15)</f>
        <v>#NUM!</v>
      </c>
      <c r="AA18" s="816" t="e">
        <f ca="1">MEDIAN(AA9:AA15)</f>
        <v>#NUM!</v>
      </c>
      <c r="AB18" s="816" t="e">
        <f ca="1">MEDIAN(AB9:AB15)</f>
        <v>#NUM!</v>
      </c>
      <c r="AC18" s="816" t="e">
        <f t="shared" ref="AC18:AI18" si="13">MEDIAN(AC9:AC15)</f>
        <v>#NUM!</v>
      </c>
      <c r="AD18" s="816" t="e">
        <f t="shared" ca="1" si="13"/>
        <v>#NUM!</v>
      </c>
      <c r="AE18" s="816" t="e">
        <f t="shared" ca="1" si="13"/>
        <v>#NUM!</v>
      </c>
      <c r="AF18" s="816" t="e">
        <f t="shared" ca="1" si="13"/>
        <v>#NUM!</v>
      </c>
      <c r="AG18" s="816" t="e">
        <f t="shared" si="13"/>
        <v>#NUM!</v>
      </c>
      <c r="AH18" s="816" t="e">
        <f t="shared" ca="1" si="13"/>
        <v>#NAME?</v>
      </c>
      <c r="AI18" s="816" t="e">
        <f t="shared" ca="1" si="13"/>
        <v>#NAME?</v>
      </c>
      <c r="AJ18" s="815"/>
      <c r="AN18" s="794"/>
      <c r="AO18" s="782"/>
      <c r="AP18" s="782"/>
      <c r="AQ18" s="782"/>
      <c r="AR18" s="782"/>
      <c r="BF18" s="811"/>
    </row>
    <row r="19" spans="1:62" s="789" customFormat="1" ht="25" customHeight="1" x14ac:dyDescent="0.35">
      <c r="B19" s="1253" t="s">
        <v>137</v>
      </c>
      <c r="C19" s="1247"/>
      <c r="D19" s="1248"/>
      <c r="E19" s="1249" t="e">
        <f ca="1">AVERAGE(E9:E15)</f>
        <v>#DIV/0!</v>
      </c>
      <c r="F19" s="1248"/>
      <c r="G19" s="1247"/>
      <c r="H19" s="1247"/>
      <c r="I19" s="1247"/>
      <c r="J19" s="1250" t="e">
        <f ca="1">AVERAGE(J9:J15)</f>
        <v>#DIV/0!</v>
      </c>
      <c r="K19" s="1250" t="e">
        <f ca="1">AVERAGE(K9:K15)</f>
        <v>#DIV/0!</v>
      </c>
      <c r="L19" s="1250" t="e">
        <f ca="1">AVERAGE(L9:L15)</f>
        <v>#DIV/0!</v>
      </c>
      <c r="M19" s="1250"/>
      <c r="N19" s="1250" t="e">
        <f ca="1">AVERAGE(N9:N15)</f>
        <v>#DIV/0!</v>
      </c>
      <c r="O19" s="1250" t="e">
        <f ca="1">AVERAGE(O9:O15)</f>
        <v>#DIV/0!</v>
      </c>
      <c r="P19" s="1254" t="e">
        <f ca="1">AVERAGE(P9:P15)</f>
        <v>#DIV/0!</v>
      </c>
      <c r="Q19" s="1194"/>
      <c r="R19" s="817" t="e">
        <f ca="1">AVERAGE(R9:R15)</f>
        <v>#DIV/0!</v>
      </c>
      <c r="S19" s="817" t="e">
        <f ca="1">AVERAGE(S9:S15)</f>
        <v>#DIV/0!</v>
      </c>
      <c r="T19" s="817" t="e">
        <f ca="1">AVERAGE(T9:T15)</f>
        <v>#DIV/0!</v>
      </c>
      <c r="U19" s="817"/>
      <c r="V19" s="817" t="e">
        <f ca="1">AVERAGE(V9:V15)</f>
        <v>#DIV/0!</v>
      </c>
      <c r="W19" s="817" t="e">
        <f ca="1">AVERAGE(W9:W15)</f>
        <v>#DIV/0!</v>
      </c>
      <c r="X19" s="817" t="e">
        <f ca="1">AVERAGE(X9:X15)</f>
        <v>#DIV/0!</v>
      </c>
      <c r="Y19" s="817"/>
      <c r="Z19" s="817" t="e">
        <f ca="1">AVERAGE(Z9:Z15)</f>
        <v>#DIV/0!</v>
      </c>
      <c r="AA19" s="817" t="e">
        <f ca="1">AVERAGE(AA9:AA15)</f>
        <v>#DIV/0!</v>
      </c>
      <c r="AB19" s="817" t="e">
        <f ca="1">AVERAGE(AB9:AB15)</f>
        <v>#DIV/0!</v>
      </c>
      <c r="AC19" s="817" t="e">
        <f t="shared" ref="AC19:AI19" si="14">AVERAGE(AC9:AC15)</f>
        <v>#DIV/0!</v>
      </c>
      <c r="AD19" s="817" t="e">
        <f t="shared" ca="1" si="14"/>
        <v>#DIV/0!</v>
      </c>
      <c r="AE19" s="817" t="e">
        <f t="shared" ca="1" si="14"/>
        <v>#DIV/0!</v>
      </c>
      <c r="AF19" s="817" t="e">
        <f t="shared" ca="1" si="14"/>
        <v>#DIV/0!</v>
      </c>
      <c r="AG19" s="817" t="e">
        <f t="shared" si="14"/>
        <v>#DIV/0!</v>
      </c>
      <c r="AH19" s="817" t="e">
        <f t="shared" ca="1" si="14"/>
        <v>#NAME?</v>
      </c>
      <c r="AI19" s="817" t="e">
        <f t="shared" ca="1" si="14"/>
        <v>#NAME?</v>
      </c>
      <c r="AJ19" s="815"/>
      <c r="AN19" s="794"/>
      <c r="AO19" s="812"/>
    </row>
    <row r="20" spans="1:62" s="789" customFormat="1" ht="25" customHeight="1" outlineLevel="1" thickBot="1" x14ac:dyDescent="0.3">
      <c r="B20" s="1238" t="s">
        <v>460</v>
      </c>
      <c r="C20" s="1239"/>
      <c r="D20" s="1240"/>
      <c r="E20" s="1240" t="e">
        <f ca="1">QUARTILE(E9:E15,3)</f>
        <v>#NUM!</v>
      </c>
      <c r="F20" s="1240"/>
      <c r="G20" s="1239"/>
      <c r="H20" s="1239"/>
      <c r="I20" s="1239"/>
      <c r="J20" s="1241" t="e">
        <f ca="1">QUARTILE(J9:J15,3)</f>
        <v>#NUM!</v>
      </c>
      <c r="K20" s="1241" t="e">
        <f ca="1">QUARTILE(K9:K15,3)</f>
        <v>#NUM!</v>
      </c>
      <c r="L20" s="1241" t="e">
        <f ca="1">QUARTILE(L9:L15,3)</f>
        <v>#NUM!</v>
      </c>
      <c r="M20" s="1241"/>
      <c r="N20" s="1241" t="e">
        <f ca="1">QUARTILE(N9:N15,3)</f>
        <v>#NUM!</v>
      </c>
      <c r="O20" s="1241" t="e">
        <f ca="1">QUARTILE(O9:O15,3)</f>
        <v>#NUM!</v>
      </c>
      <c r="P20" s="1242" t="e">
        <f ca="1">QUARTILE(P9:P15,3)</f>
        <v>#NUM!</v>
      </c>
      <c r="Q20" s="1191"/>
      <c r="R20" s="818" t="e">
        <f ca="1">QUARTILE(R9:R15,3)</f>
        <v>#NUM!</v>
      </c>
      <c r="S20" s="818" t="e">
        <f ca="1">QUARTILE(S9:S15,3)</f>
        <v>#NUM!</v>
      </c>
      <c r="T20" s="818" t="e">
        <f ca="1">QUARTILE(T9:T15,3)</f>
        <v>#NUM!</v>
      </c>
      <c r="U20" s="818"/>
      <c r="V20" s="818"/>
      <c r="W20" s="818"/>
      <c r="X20" s="818"/>
      <c r="Y20" s="818"/>
      <c r="Z20" s="818" t="e">
        <f ca="1">QUARTILE(Z9:Z15,3)</f>
        <v>#NUM!</v>
      </c>
      <c r="AA20" s="818" t="e">
        <f ca="1">QUARTILE(AA9:AA15,3)</f>
        <v>#NUM!</v>
      </c>
      <c r="AB20" s="818" t="e">
        <f ca="1">QUARTILE(AB9:AB15,3)</f>
        <v>#NUM!</v>
      </c>
      <c r="AC20" s="818" t="e">
        <f t="shared" ref="AC20:AI20" si="15">QUARTILE(AC9:AC15,3)</f>
        <v>#NUM!</v>
      </c>
      <c r="AD20" s="818" t="e">
        <f t="shared" ca="1" si="15"/>
        <v>#NUM!</v>
      </c>
      <c r="AE20" s="818" t="e">
        <f t="shared" ca="1" si="15"/>
        <v>#NUM!</v>
      </c>
      <c r="AF20" s="818" t="e">
        <f t="shared" ca="1" si="15"/>
        <v>#NUM!</v>
      </c>
      <c r="AG20" s="818" t="e">
        <f t="shared" si="15"/>
        <v>#NUM!</v>
      </c>
      <c r="AH20" s="818" t="e">
        <f t="shared" ca="1" si="15"/>
        <v>#NAME?</v>
      </c>
      <c r="AI20" s="818" t="e">
        <f t="shared" ca="1" si="15"/>
        <v>#NAME?</v>
      </c>
      <c r="AJ20" s="815"/>
      <c r="AN20" s="804"/>
      <c r="AO20" s="790"/>
      <c r="AP20" s="790"/>
      <c r="AQ20" s="790"/>
      <c r="AR20" s="790"/>
      <c r="AS20" s="791"/>
      <c r="AT20" s="791"/>
      <c r="AU20" s="791"/>
      <c r="AV20" s="791"/>
      <c r="AW20" s="791"/>
      <c r="AX20" s="819" t="s">
        <v>461</v>
      </c>
      <c r="AY20" s="790"/>
      <c r="AZ20" s="790"/>
      <c r="BA20" s="791"/>
      <c r="BB20" s="791"/>
      <c r="BC20" s="791"/>
      <c r="BD20" s="791"/>
      <c r="BE20" s="791"/>
      <c r="BF20" s="791"/>
      <c r="BG20" s="791"/>
      <c r="BH20" s="791"/>
      <c r="BI20" s="791"/>
      <c r="BJ20" s="791"/>
    </row>
    <row r="21" spans="1:62" s="789" customFormat="1" ht="25" customHeight="1" x14ac:dyDescent="0.3">
      <c r="A21" s="782"/>
      <c r="B21" s="1197"/>
      <c r="C21" s="1198"/>
      <c r="D21" s="1199"/>
      <c r="E21" s="1199"/>
      <c r="F21" s="1199"/>
      <c r="G21" s="1198"/>
      <c r="H21" s="1198"/>
      <c r="I21" s="1198"/>
      <c r="J21" s="1200"/>
      <c r="K21" s="1200"/>
      <c r="L21" s="1200"/>
      <c r="M21" s="1200"/>
      <c r="N21" s="1200"/>
      <c r="O21" s="1200"/>
      <c r="P21" s="1200"/>
      <c r="Q21" s="1177"/>
      <c r="R21" s="805"/>
      <c r="S21" s="805"/>
      <c r="T21" s="805"/>
      <c r="U21" s="805"/>
      <c r="V21" s="805"/>
      <c r="W21" s="805"/>
      <c r="X21" s="805"/>
      <c r="Y21" s="805"/>
      <c r="Z21" s="805"/>
      <c r="AA21" s="805"/>
      <c r="AB21" s="805"/>
      <c r="AC21" s="805"/>
      <c r="AD21" s="805"/>
      <c r="AE21" s="805"/>
      <c r="AF21" s="805"/>
      <c r="AG21" s="805"/>
      <c r="AH21" s="805"/>
      <c r="AI21" s="805"/>
      <c r="AN21" s="804"/>
      <c r="AO21" s="792" t="s">
        <v>247</v>
      </c>
      <c r="AP21" s="793"/>
      <c r="AQ21" s="793"/>
      <c r="AR21" s="793"/>
      <c r="AS21" s="785"/>
      <c r="AT21" s="792" t="s">
        <v>187</v>
      </c>
      <c r="AU21" s="793"/>
      <c r="AV21" s="793"/>
      <c r="AW21" s="785"/>
      <c r="AX21" s="792" t="s">
        <v>186</v>
      </c>
      <c r="AY21" s="793"/>
      <c r="AZ21" s="793"/>
      <c r="BB21" s="792" t="s">
        <v>450</v>
      </c>
      <c r="BC21" s="793"/>
      <c r="BD21" s="793"/>
      <c r="BF21" s="792" t="s">
        <v>424</v>
      </c>
      <c r="BG21" s="793"/>
      <c r="BI21" s="792" t="s">
        <v>462</v>
      </c>
      <c r="BJ21" s="793"/>
    </row>
    <row r="22" spans="1:62" x14ac:dyDescent="0.3">
      <c r="B22" s="1176"/>
      <c r="C22" s="1176"/>
      <c r="D22" s="1176"/>
      <c r="E22" s="1176"/>
      <c r="F22" s="1176"/>
      <c r="G22" s="1176"/>
      <c r="H22" s="1176"/>
      <c r="I22" s="1176"/>
      <c r="J22" s="1176"/>
      <c r="K22" s="1176"/>
      <c r="L22" s="1176"/>
      <c r="M22" s="1176"/>
      <c r="N22" s="1176"/>
      <c r="O22" s="1176"/>
      <c r="P22" s="1176"/>
      <c r="Q22" s="1176"/>
      <c r="AO22" s="802">
        <f ca="1">$A$4</f>
        <v>2024</v>
      </c>
      <c r="AP22" s="802">
        <f ca="1">AO22+1</f>
        <v>2025</v>
      </c>
      <c r="AQ22" s="803">
        <f ca="1">AP22+1</f>
        <v>2026</v>
      </c>
      <c r="AR22" s="803">
        <f ca="1">AQ22+1</f>
        <v>2027</v>
      </c>
      <c r="AS22" s="795"/>
      <c r="AT22" s="802">
        <f ca="1">AP22</f>
        <v>2025</v>
      </c>
      <c r="AU22" s="803">
        <f ca="1">AQ22</f>
        <v>2026</v>
      </c>
      <c r="AV22" s="803">
        <f ca="1">AR22</f>
        <v>2027</v>
      </c>
      <c r="AW22" s="795"/>
      <c r="AX22" s="802">
        <f ca="1">AT22</f>
        <v>2025</v>
      </c>
      <c r="AY22" s="802">
        <f t="shared" ref="AY22:AZ22" ca="1" si="16">AU22</f>
        <v>2026</v>
      </c>
      <c r="AZ22" s="802">
        <f t="shared" ca="1" si="16"/>
        <v>2027</v>
      </c>
      <c r="BA22" s="795"/>
      <c r="BB22" s="802">
        <f ca="1">AX22</f>
        <v>2025</v>
      </c>
      <c r="BC22" s="802">
        <f t="shared" ref="BC22:BD22" ca="1" si="17">AY22</f>
        <v>2026</v>
      </c>
      <c r="BD22" s="802">
        <f t="shared" ca="1" si="17"/>
        <v>2027</v>
      </c>
      <c r="BE22" s="795"/>
      <c r="BF22" s="802">
        <f ca="1">BB22</f>
        <v>2025</v>
      </c>
      <c r="BG22" s="802">
        <f ca="1">BC22</f>
        <v>2026</v>
      </c>
      <c r="BH22" s="795"/>
      <c r="BI22" s="802">
        <v>2017</v>
      </c>
      <c r="BJ22" s="802">
        <v>2018</v>
      </c>
    </row>
    <row r="23" spans="1:62" x14ac:dyDescent="0.3">
      <c r="AO23" s="779" t="e">
        <f ca="1">_xll.FDSC("--",$A23,"FF_ADJ_SALES(ANN,"&amp;AO$5&amp;")")</f>
        <v>#NAME?</v>
      </c>
      <c r="AP23" s="779" t="e">
        <f ca="1">_xll.FDSC("--",$A23,"FF_ADJ_SALES(ANN,"&amp;AP$5&amp;")")</f>
        <v>#NAME?</v>
      </c>
      <c r="AQ23" s="779" t="e">
        <f ca="1">_xll.FDSC("--",$A23,"FF_ADJ_SALES(ANN,"&amp;AQ$5&amp;")")</f>
        <v>#NAME?</v>
      </c>
      <c r="AR23" s="779"/>
      <c r="AT23" s="779" t="e">
        <f ca="1">_xll.FDSC("--",$A23,"FF_ADJ_EBIT(ANN,"&amp;AT$5&amp;")")</f>
        <v>#NAME?</v>
      </c>
      <c r="AU23" s="779" t="e">
        <f ca="1">_xll.FDSC("--",$A23,"FF_ADJ_EBIT(ANN,"&amp;AU$5&amp;")")</f>
        <v>#NAME?</v>
      </c>
      <c r="AV23" s="779"/>
      <c r="AX23" s="779" t="e">
        <f ca="1">_xll.FDSC("--",$A23,"FF_ADJ_EBITDA(ANN,"&amp;AX$5&amp;")")</f>
        <v>#NAME?</v>
      </c>
      <c r="AY23" s="779" t="e">
        <f ca="1">_xll.FDSC("--",$A23,"FF_ADJ_EBITDA(ANN,"&amp;AY$5&amp;")")</f>
        <v>#NAME?</v>
      </c>
      <c r="BF23" s="780" t="e">
        <f ca="1">_xll.FDSC("--",$A23,"FF_ADJ_GROSS_INC(ANN,"&amp;BF$5&amp;")/FF_ADJ_SALES(ANN,"&amp;BF$5&amp;")")</f>
        <v>#NAME?</v>
      </c>
      <c r="BG23" s="780" t="e">
        <f ca="1">_xll.FDSC("--",$A23,"FF_ADJ_GROSS_INC(ANN,"&amp;BG$5&amp;")/FF_ADJ_SALES(ANN,"&amp;BG$5&amp;")")</f>
        <v>#NAME?</v>
      </c>
      <c r="BI23" s="779" t="e">
        <f ca="1">_xll.FDSC("--",$A23,"FF_ADJ_GROSS_INC(ANN,"&amp;BF$5&amp;")")</f>
        <v>#NAME?</v>
      </c>
      <c r="BJ23" s="779" t="e">
        <f ca="1">_xll.FDSC("--",$A23,"FF_ADJ_GROSS_INC(ANN,"&amp;BG$5&amp;")")</f>
        <v>#NAME?</v>
      </c>
    </row>
    <row r="24" spans="1:62" x14ac:dyDescent="0.3">
      <c r="AO24" s="779" t="e">
        <f ca="1">_xll.FDSC("--",$A24,"FF_ADJ_SALES(ANN,"&amp;AO$5&amp;")")</f>
        <v>#NAME?</v>
      </c>
      <c r="AP24" s="779" t="e">
        <f ca="1">_xll.FDSC("--",$A24,"FF_ADJ_SALES(ANN,"&amp;AP$5&amp;")")</f>
        <v>#NAME?</v>
      </c>
      <c r="AQ24" s="779" t="e">
        <f ca="1">_xll.FDSC("--",$A24,"FF_ADJ_SALES(ANN,"&amp;AQ$5&amp;")")</f>
        <v>#NAME?</v>
      </c>
      <c r="AR24" s="779"/>
      <c r="AT24" s="779" t="e">
        <f ca="1">_xll.FDSC("--",$A24,"FF_ADJ_EBIT(ANN,"&amp;AT$5&amp;")")</f>
        <v>#NAME?</v>
      </c>
      <c r="AU24" s="779" t="e">
        <f ca="1">_xll.FDSC("--",$A24,"FF_ADJ_EBIT(ANN,"&amp;AU$5&amp;")")</f>
        <v>#NAME?</v>
      </c>
      <c r="AV24" s="779"/>
      <c r="AX24" s="779" t="e">
        <f ca="1">_xll.FDSC("--",$A24,"FF_ADJ_EBITDA(ANN,"&amp;AX$5&amp;")")</f>
        <v>#NAME?</v>
      </c>
      <c r="AY24" s="779" t="e">
        <f ca="1">_xll.FDSC("--",$A24,"FF_ADJ_EBITDA(ANN,"&amp;AY$5&amp;")")</f>
        <v>#NAME?</v>
      </c>
      <c r="BF24" s="780" t="e">
        <f ca="1">_xll.FDSC("--",$A24,"FF_ADJ_GROSS_INC(ANN,"&amp;BF$5&amp;")/FF_ADJ_SALES(ANN,"&amp;BF$5&amp;")")</f>
        <v>#NAME?</v>
      </c>
      <c r="BG24" s="780" t="e">
        <f ca="1">_xll.FDSC("--",$A24,"FF_ADJ_GROSS_INC(ANN,"&amp;BG$5&amp;")/FF_ADJ_SALES(ANN,"&amp;BG$5&amp;")")</f>
        <v>#NAME?</v>
      </c>
      <c r="BI24" s="779" t="e">
        <f ca="1">_xll.FDSC("--",$A24,"FF_ADJ_GROSS_INC(ANN,"&amp;BF$5&amp;")")</f>
        <v>#NAME?</v>
      </c>
      <c r="BJ24" s="779" t="e">
        <f ca="1">_xll.FDSC("--",$A24,"FF_ADJ_GROSS_INC(ANN,"&amp;BG$5&amp;")")</f>
        <v>#NAME?</v>
      </c>
    </row>
    <row r="25" spans="1:62" x14ac:dyDescent="0.3">
      <c r="AO25" s="779" t="e">
        <f ca="1">_xll.FDSC("--",$A25,"FF_ADJ_SALES(ANN,"&amp;AO$5&amp;")")</f>
        <v>#NAME?</v>
      </c>
      <c r="AP25" s="779" t="e">
        <f ca="1">_xll.FDSC("--",$A25,"FF_ADJ_SALES(ANN,"&amp;AP$5&amp;")")</f>
        <v>#NAME?</v>
      </c>
      <c r="AQ25" s="779" t="e">
        <f ca="1">_xll.FDSC("--",$A25,"FF_ADJ_SALES(ANN,"&amp;AQ$5&amp;")")</f>
        <v>#NAME?</v>
      </c>
      <c r="AR25" s="779"/>
      <c r="AT25" s="779" t="e">
        <f ca="1">_xll.FDSC("--",$A25,"FF_ADJ_EBIT(ANN,"&amp;AT$5&amp;")")</f>
        <v>#NAME?</v>
      </c>
      <c r="AU25" s="779" t="e">
        <f ca="1">_xll.FDSC("--",$A25,"FF_ADJ_EBIT(ANN,"&amp;AU$5&amp;")")</f>
        <v>#NAME?</v>
      </c>
      <c r="AV25" s="779"/>
      <c r="AX25" s="779" t="e">
        <f ca="1">_xll.FDSC("--",$A25,"FF_ADJ_EBITDA(ANN,"&amp;AX$5&amp;")")</f>
        <v>#NAME?</v>
      </c>
      <c r="AY25" s="779" t="e">
        <f ca="1">_xll.FDSC("--",$A25,"FF_ADJ_EBITDA(ANN,"&amp;AY$5&amp;")")</f>
        <v>#NAME?</v>
      </c>
      <c r="BF25" s="780" t="e">
        <f ca="1">_xll.FDSC("--",$A25,"FF_ADJ_GROSS_INC(ANN,"&amp;BF$5&amp;")/FF_ADJ_SALES(ANN,"&amp;BF$5&amp;")")</f>
        <v>#NAME?</v>
      </c>
      <c r="BG25" s="780" t="e">
        <f ca="1">_xll.FDSC("--",$A25,"FF_ADJ_GROSS_INC(ANN,"&amp;BG$5&amp;")/FF_ADJ_SALES(ANN,"&amp;BG$5&amp;")")</f>
        <v>#NAME?</v>
      </c>
      <c r="BI25" s="779" t="e">
        <f ca="1">_xll.FDSC("--",$A25,"FF_ADJ_GROSS_INC(ANN,"&amp;BF$5&amp;")")</f>
        <v>#NAME?</v>
      </c>
      <c r="BJ25" s="779" t="e">
        <f ca="1">_xll.FDSC("--",$A25,"FF_ADJ_GROSS_INC(ANN,"&amp;BG$5&amp;")")</f>
        <v>#NAME?</v>
      </c>
    </row>
    <row r="26" spans="1:62" x14ac:dyDescent="0.3">
      <c r="AO26" s="779" t="e">
        <f ca="1">_xll.FDSC("--",$A26,"FF_ADJ_SALES(ANN,"&amp;AO$5&amp;")")</f>
        <v>#NAME?</v>
      </c>
      <c r="AP26" s="779" t="e">
        <f ca="1">_xll.FDSC("--",$A26,"FF_ADJ_SALES(ANN,"&amp;AP$5&amp;")")</f>
        <v>#NAME?</v>
      </c>
      <c r="AQ26" s="779" t="e">
        <f ca="1">_xll.FDSC("--",$A26,"FF_ADJ_SALES(ANN,"&amp;AQ$5&amp;")")</f>
        <v>#NAME?</v>
      </c>
      <c r="AR26" s="779"/>
      <c r="AT26" s="779" t="e">
        <f ca="1">_xll.FDSC("--",$A26,"FF_ADJ_EBIT(ANN,"&amp;AT$5&amp;")")</f>
        <v>#NAME?</v>
      </c>
      <c r="AU26" s="779" t="e">
        <f ca="1">_xll.FDSC("--",$A26,"FF_ADJ_EBIT(ANN,"&amp;AU$5&amp;")")</f>
        <v>#NAME?</v>
      </c>
      <c r="AV26" s="779"/>
      <c r="AX26" s="779" t="e">
        <f ca="1">_xll.FDSC("--",$A26,"FF_ADJ_EBITDA(ANN,"&amp;AX$5&amp;")")</f>
        <v>#NAME?</v>
      </c>
      <c r="AY26" s="779" t="e">
        <f ca="1">_xll.FDSC("--",$A26,"FF_ADJ_EBITDA(ANN,"&amp;AY$5&amp;")")</f>
        <v>#NAME?</v>
      </c>
      <c r="BF26" s="780" t="e">
        <f ca="1">_xll.FDSC("--",$A26,"FF_ADJ_GROSS_INC(ANN,"&amp;BF$5&amp;")/FF_ADJ_SALES(ANN,"&amp;BF$5&amp;")")</f>
        <v>#NAME?</v>
      </c>
      <c r="BG26" s="780" t="e">
        <f ca="1">_xll.FDSC("--",$A26,"FF_ADJ_GROSS_INC(ANN,"&amp;BG$5&amp;")/FF_ADJ_SALES(ANN,"&amp;BG$5&amp;")")</f>
        <v>#NAME?</v>
      </c>
      <c r="BI26" s="779" t="e">
        <f ca="1">_xll.FDSC("--",$A26,"FF_ADJ_GROSS_INC(ANN,"&amp;BF$5&amp;")")</f>
        <v>#NAME?</v>
      </c>
      <c r="BJ26" s="779" t="e">
        <f ca="1">_xll.FDSC("--",$A26,"FF_ADJ_GROSS_INC(ANN,"&amp;BG$5&amp;")")</f>
        <v>#NAME?</v>
      </c>
    </row>
    <row r="27" spans="1:62" x14ac:dyDescent="0.3">
      <c r="AO27" s="779" t="e">
        <f ca="1">_xll.FDSC("--",$A27,"FF_ADJ_SALES(ANN,"&amp;AO$5&amp;")")</f>
        <v>#NAME?</v>
      </c>
      <c r="AP27" s="779" t="e">
        <f ca="1">_xll.FDSC("--",$A27,"FF_ADJ_SALES(ANN,"&amp;AP$5&amp;")")</f>
        <v>#NAME?</v>
      </c>
      <c r="AQ27" s="779" t="e">
        <f ca="1">_xll.FDSC("--",$A27,"FF_ADJ_SALES(ANN,"&amp;AQ$5&amp;")")</f>
        <v>#NAME?</v>
      </c>
      <c r="AR27" s="779"/>
      <c r="AT27" s="779" t="e">
        <f ca="1">_xll.FDSC("--",$A27,"FF_ADJ_EBIT(ANN,"&amp;AT$5&amp;")")</f>
        <v>#NAME?</v>
      </c>
      <c r="AU27" s="779" t="e">
        <f ca="1">_xll.FDSC("--",$A27,"FF_ADJ_EBIT(ANN,"&amp;AU$5&amp;")")</f>
        <v>#NAME?</v>
      </c>
      <c r="AV27" s="779"/>
      <c r="AX27" s="779" t="e">
        <f ca="1">_xll.FDSC("--",$A27,"FF_ADJ_EBITDA(ANN,"&amp;AX$5&amp;")")</f>
        <v>#NAME?</v>
      </c>
      <c r="AY27" s="779" t="e">
        <f ca="1">_xll.FDSC("--",$A27,"FF_ADJ_EBITDA(ANN,"&amp;AY$5&amp;")")</f>
        <v>#NAME?</v>
      </c>
      <c r="BF27" s="780" t="e">
        <f ca="1">_xll.FDSC("--",$A27,"FF_ADJ_GROSS_INC(ANN,"&amp;BF$5&amp;")/FF_ADJ_SALES(ANN,"&amp;BF$5&amp;")")</f>
        <v>#NAME?</v>
      </c>
      <c r="BG27" s="780" t="e">
        <f ca="1">_xll.FDSC("--",$A27,"FF_ADJ_GROSS_INC(ANN,"&amp;BG$5&amp;")/FF_ADJ_SALES(ANN,"&amp;BG$5&amp;")")</f>
        <v>#NAME?</v>
      </c>
      <c r="BI27" s="779" t="e">
        <f ca="1">_xll.FDSC("--",$A27,"FF_ADJ_GROSS_INC(ANN,"&amp;BF$5&amp;")")</f>
        <v>#NAME?</v>
      </c>
      <c r="BJ27" s="779" t="e">
        <f ca="1">_xll.FDSC("--",$A27,"FF_ADJ_GROSS_INC(ANN,"&amp;BG$5&amp;")")</f>
        <v>#NAME?</v>
      </c>
    </row>
    <row r="28" spans="1:62" x14ac:dyDescent="0.3">
      <c r="AO28" s="779" t="e">
        <f ca="1">_xll.FDSC("--",$A28,"FF_ADJ_SALES(ANN,"&amp;AO$5&amp;")")</f>
        <v>#NAME?</v>
      </c>
      <c r="AP28" s="779" t="e">
        <f ca="1">_xll.FDSC("--",$A28,"FF_ADJ_SALES(ANN,"&amp;AP$5&amp;")")</f>
        <v>#NAME?</v>
      </c>
      <c r="AQ28" s="779" t="e">
        <f ca="1">_xll.FDSC("--",$A28,"FF_ADJ_SALES(ANN,"&amp;AQ$5&amp;")")</f>
        <v>#NAME?</v>
      </c>
      <c r="AR28" s="779"/>
      <c r="AT28" s="779" t="e">
        <f ca="1">_xll.FDSC("--",$A28,"FF_ADJ_EBIT(ANN,"&amp;AT$5&amp;")")</f>
        <v>#NAME?</v>
      </c>
      <c r="AU28" s="779" t="e">
        <f ca="1">_xll.FDSC("--",$A28,"FF_ADJ_EBIT(ANN,"&amp;AU$5&amp;")")</f>
        <v>#NAME?</v>
      </c>
      <c r="AV28" s="779"/>
      <c r="AX28" s="779" t="e">
        <f ca="1">_xll.FDSC("--",$A28,"FF_ADJ_EBITDA(ANN,"&amp;AX$5&amp;")")</f>
        <v>#NAME?</v>
      </c>
      <c r="AY28" s="779" t="e">
        <f ca="1">_xll.FDSC("--",$A28,"FF_ADJ_EBITDA(ANN,"&amp;AY$5&amp;")")</f>
        <v>#NAME?</v>
      </c>
      <c r="BF28" s="780" t="e">
        <f ca="1">_xll.FDSC("--",$A28,"FF_ADJ_GROSS_INC(ANN,"&amp;BF$5&amp;")/FF_ADJ_SALES(ANN,"&amp;BF$5&amp;")")</f>
        <v>#NAME?</v>
      </c>
      <c r="BG28" s="780" t="e">
        <f ca="1">_xll.FDSC("--",$A28,"FF_ADJ_GROSS_INC(ANN,"&amp;BG$5&amp;")/FF_ADJ_SALES(ANN,"&amp;BG$5&amp;")")</f>
        <v>#NAME?</v>
      </c>
      <c r="BI28" s="779" t="e">
        <f ca="1">_xll.FDSC("--",$A28,"FF_ADJ_GROSS_INC(ANN,"&amp;BF$5&amp;")")</f>
        <v>#NAME?</v>
      </c>
      <c r="BJ28" s="779" t="e">
        <f ca="1">_xll.FDSC("--",$A28,"FF_ADJ_GROSS_INC(ANN,"&amp;BG$5&amp;")")</f>
        <v>#NAME?</v>
      </c>
    </row>
    <row r="29" spans="1:62" x14ac:dyDescent="0.3">
      <c r="AO29" s="779" t="e">
        <f ca="1">_xll.FDSC("--",$A29,"FF_ADJ_SALES(ANN,"&amp;AO$5&amp;")")</f>
        <v>#NAME?</v>
      </c>
      <c r="AP29" s="779" t="e">
        <f ca="1">_xll.FDSC("--",$A29,"FF_ADJ_SALES(ANN,"&amp;AP$5&amp;")")</f>
        <v>#NAME?</v>
      </c>
      <c r="AQ29" s="779" t="e">
        <f ca="1">_xll.FDSC("--",$A29,"FF_ADJ_SALES(ANN,"&amp;AQ$5&amp;")")</f>
        <v>#NAME?</v>
      </c>
      <c r="AR29" s="779"/>
      <c r="AT29" s="779" t="e">
        <f ca="1">_xll.FDSC("--",$A29,"FF_ADJ_EBIT(ANN,"&amp;AT$5&amp;")")</f>
        <v>#NAME?</v>
      </c>
      <c r="AU29" s="779" t="e">
        <f ca="1">_xll.FDSC("--",$A29,"FF_ADJ_EBIT(ANN,"&amp;AU$5&amp;")")</f>
        <v>#NAME?</v>
      </c>
      <c r="AV29" s="779"/>
      <c r="AX29" s="779" t="e">
        <f ca="1">_xll.FDSC("--",$A29,"FF_ADJ_EBITDA(ANN,"&amp;AX$5&amp;")")</f>
        <v>#NAME?</v>
      </c>
      <c r="AY29" s="779" t="e">
        <f ca="1">_xll.FDSC("--",$A29,"FF_ADJ_EBITDA(ANN,"&amp;AY$5&amp;")")</f>
        <v>#NAME?</v>
      </c>
      <c r="BF29" s="780" t="e">
        <f ca="1">_xll.FDSC("--",$A29,"FF_ADJ_GROSS_INC(ANN,"&amp;BF$5&amp;")/FF_ADJ_SALES(ANN,"&amp;BF$5&amp;")")</f>
        <v>#NAME?</v>
      </c>
      <c r="BG29" s="780" t="e">
        <f ca="1">_xll.FDSC("--",$A29,"FF_ADJ_GROSS_INC(ANN,"&amp;BG$5&amp;")/FF_ADJ_SALES(ANN,"&amp;BG$5&amp;")")</f>
        <v>#NAME?</v>
      </c>
      <c r="BI29" s="779" t="e">
        <f ca="1">_xll.FDSC("--",$A29,"FF_ADJ_GROSS_INC(ANN,"&amp;BF$5&amp;")")</f>
        <v>#NAME?</v>
      </c>
      <c r="BJ29" s="779" t="e">
        <f ca="1">_xll.FDSC("--",$A29,"FF_ADJ_GROSS_INC(ANN,"&amp;BG$5&amp;")")</f>
        <v>#NAME?</v>
      </c>
    </row>
    <row r="30" spans="1:62" x14ac:dyDescent="0.3">
      <c r="AO30" s="779" t="e">
        <f ca="1">_xll.FDSC("--",$A30,"FF_ADJ_SALES(ANN,"&amp;AO$5&amp;")")</f>
        <v>#NAME?</v>
      </c>
      <c r="AP30" s="779" t="e">
        <f ca="1">_xll.FDSC("--",$A30,"FF_ADJ_SALES(ANN,"&amp;AP$5&amp;")")</f>
        <v>#NAME?</v>
      </c>
      <c r="AQ30" s="779" t="e">
        <f ca="1">_xll.FDSC("--",$A30,"FF_ADJ_SALES(ANN,"&amp;AQ$5&amp;")")</f>
        <v>#NAME?</v>
      </c>
      <c r="AR30" s="779"/>
      <c r="AT30" s="779" t="e">
        <f ca="1">_xll.FDSC("--",$A30,"FF_ADJ_EBIT(ANN,"&amp;AT$5&amp;")")</f>
        <v>#NAME?</v>
      </c>
      <c r="AU30" s="779" t="e">
        <f ca="1">_xll.FDSC("--",$A30,"FF_ADJ_EBIT(ANN,"&amp;AU$5&amp;")")</f>
        <v>#NAME?</v>
      </c>
      <c r="AV30" s="779"/>
      <c r="AX30" s="779" t="e">
        <f ca="1">_xll.FDSC("--",$A30,"FF_ADJ_EBITDA(ANN,"&amp;AX$5&amp;")")</f>
        <v>#NAME?</v>
      </c>
      <c r="AY30" s="779" t="e">
        <f ca="1">_xll.FDSC("--",$A30,"FF_ADJ_EBITDA(ANN,"&amp;AY$5&amp;")")</f>
        <v>#NAME?</v>
      </c>
      <c r="BF30" s="780" t="e">
        <f ca="1">_xll.FDSC("--",$A30,"FF_ADJ_GROSS_INC(ANN,"&amp;BF$5&amp;")/FF_ADJ_SALES(ANN,"&amp;BF$5&amp;")")</f>
        <v>#NAME?</v>
      </c>
      <c r="BG30" s="780" t="e">
        <f ca="1">_xll.FDSC("--",$A30,"FF_ADJ_GROSS_INC(ANN,"&amp;BG$5&amp;")/FF_ADJ_SALES(ANN,"&amp;BG$5&amp;")")</f>
        <v>#NAME?</v>
      </c>
      <c r="BI30" s="779" t="e">
        <f ca="1">_xll.FDSC("--",$A30,"FF_ADJ_GROSS_INC(ANN,"&amp;BF$5&amp;")")</f>
        <v>#NAME?</v>
      </c>
      <c r="BJ30" s="779" t="e">
        <f ca="1">_xll.FDSC("--",$A30,"FF_ADJ_GROSS_INC(ANN,"&amp;BG$5&amp;")")</f>
        <v>#NAME?</v>
      </c>
    </row>
    <row r="32" spans="1:62" x14ac:dyDescent="0.3">
      <c r="AO32" s="790"/>
      <c r="AP32" s="790"/>
      <c r="AQ32" s="790"/>
      <c r="AR32" s="790"/>
      <c r="AS32" s="791"/>
      <c r="AT32" s="791"/>
      <c r="AU32" s="791"/>
      <c r="AV32" s="791"/>
      <c r="AW32" s="791"/>
      <c r="AX32" s="819" t="s">
        <v>463</v>
      </c>
      <c r="AY32" s="790"/>
      <c r="AZ32" s="790"/>
      <c r="BA32" s="791"/>
      <c r="BB32" s="791"/>
      <c r="BC32" s="791"/>
      <c r="BD32" s="791"/>
      <c r="BE32" s="791"/>
      <c r="BF32" s="791"/>
      <c r="BG32" s="791"/>
      <c r="BH32" s="791"/>
      <c r="BI32" s="791"/>
      <c r="BJ32" s="791"/>
    </row>
    <row r="33" spans="41:62" x14ac:dyDescent="0.3">
      <c r="AO33" s="792" t="s">
        <v>247</v>
      </c>
      <c r="AP33" s="793"/>
      <c r="AQ33" s="793"/>
      <c r="AR33" s="793"/>
      <c r="AS33" s="785"/>
      <c r="AT33" s="792" t="s">
        <v>187</v>
      </c>
      <c r="AU33" s="793"/>
      <c r="AV33" s="793"/>
      <c r="AW33" s="785"/>
      <c r="AX33" s="792" t="s">
        <v>186</v>
      </c>
      <c r="AY33" s="793"/>
      <c r="AZ33" s="793"/>
      <c r="BA33" s="789"/>
      <c r="BB33" s="792" t="s">
        <v>450</v>
      </c>
      <c r="BC33" s="793"/>
      <c r="BD33" s="793"/>
      <c r="BE33" s="789"/>
      <c r="BF33" s="792" t="s">
        <v>424</v>
      </c>
      <c r="BG33" s="793"/>
      <c r="BH33" s="789"/>
      <c r="BI33" s="792" t="s">
        <v>462</v>
      </c>
      <c r="BJ33" s="793"/>
    </row>
    <row r="34" spans="41:62" x14ac:dyDescent="0.3">
      <c r="AO34" s="802">
        <f ca="1">$A$4</f>
        <v>2024</v>
      </c>
      <c r="AP34" s="802">
        <f ca="1">AO34+1</f>
        <v>2025</v>
      </c>
      <c r="AQ34" s="803">
        <f ca="1">AP34+1</f>
        <v>2026</v>
      </c>
      <c r="AR34" s="803">
        <f ca="1">AQ34+1</f>
        <v>2027</v>
      </c>
      <c r="AS34" s="795"/>
      <c r="AT34" s="802">
        <f ca="1">AP34</f>
        <v>2025</v>
      </c>
      <c r="AU34" s="803">
        <f ca="1">AQ34</f>
        <v>2026</v>
      </c>
      <c r="AV34" s="803">
        <f ca="1">AR34</f>
        <v>2027</v>
      </c>
      <c r="AW34" s="795"/>
      <c r="AX34" s="802">
        <f ca="1">AT34</f>
        <v>2025</v>
      </c>
      <c r="AY34" s="802">
        <f t="shared" ref="AY34:AZ34" ca="1" si="18">AU34</f>
        <v>2026</v>
      </c>
      <c r="AZ34" s="802">
        <f t="shared" ca="1" si="18"/>
        <v>2027</v>
      </c>
      <c r="BA34" s="795"/>
      <c r="BB34" s="802">
        <f ca="1">AX34</f>
        <v>2025</v>
      </c>
      <c r="BC34" s="802">
        <f t="shared" ref="BC34:BD34" ca="1" si="19">AY34</f>
        <v>2026</v>
      </c>
      <c r="BD34" s="802">
        <f t="shared" ca="1" si="19"/>
        <v>2027</v>
      </c>
      <c r="BE34" s="795"/>
      <c r="BF34" s="802">
        <f ca="1">BB34</f>
        <v>2025</v>
      </c>
      <c r="BG34" s="802">
        <f ca="1">BC34</f>
        <v>2026</v>
      </c>
      <c r="BH34" s="795"/>
      <c r="BI34" s="802">
        <v>2017</v>
      </c>
      <c r="BJ34" s="802">
        <v>2018</v>
      </c>
    </row>
    <row r="35" spans="41:62" x14ac:dyDescent="0.3">
      <c r="AO35" s="779" t="e">
        <f ca="1">_xll.FDSC("--",$A35,"FF_ARPT_SERIES('NG-RV','ANN',"&amp;AO$5&amp;",,'M','NG-IS')")</f>
        <v>#NAME?</v>
      </c>
      <c r="AP35" s="779" t="e">
        <f ca="1">_xll.FDSC("--",$A35,"FF_ARPT_SERIES('NG-RV','ANN',"&amp;AP$5&amp;",,'M','NG-IS')")</f>
        <v>#NAME?</v>
      </c>
      <c r="AQ35" s="779" t="e">
        <f ca="1">_xll.FDSC("--",$A35,"FF_ARPT_SERIES('NG-RV','ANN',"&amp;AQ$5&amp;",,'M','NG-IS')")</f>
        <v>#NAME?</v>
      </c>
      <c r="AR35" s="779"/>
      <c r="AT35" s="779" t="e">
        <f ca="1">_xll.FDSRC("-",$A35,"AVAIL(FF_ARPT_SERIES('NON-GAAP OPERATING INCOME','ANN',"&amp;AT$5&amp;",,'M','NG-IS'),FF_ARPT_SERIES('NON-GAAP INCOME FROM OPERATIONS','ANN',"&amp;AT$5&amp;",,'M','NG-IS'))")</f>
        <v>#NAME?</v>
      </c>
      <c r="AU35" s="779" t="e">
        <f ca="1">_xll.FDSRC("-",$A35,"AVAIL(FF_ARPT_SERIES('NON-GAAP OPERATING INCOME','ANN',"&amp;AU$5&amp;",,'M','NG-IS'),FF_ARPT_SERIES('NON-GAAP INCOME FROM OPERATIONS','ANN',"&amp;AU$5&amp;",,'M','NG-IS'))")</f>
        <v>#NAME?</v>
      </c>
      <c r="AX35" s="779" t="e">
        <f ca="1">_xll.FDSRC("-",$A35,"FF_ARPT_SERIES('ADJUSTED EBITDA','ANN',"&amp;AX$5&amp;",,'M','NG-IS')")</f>
        <v>#NAME?</v>
      </c>
      <c r="AY35" s="779" t="e">
        <f ca="1">_xll.FDSRC("-",$A35,"FF_ARPT_SERIES('ADJUSTED EBITDA','ANN',"&amp;AY$5&amp;",,'M','NG-IS')")</f>
        <v>#NAME?</v>
      </c>
      <c r="AZ35" s="779"/>
      <c r="BB35" s="779" t="e">
        <f ca="1">_xll.FDSRC("-",$A35,"AVAIL(AVAIL(AVAIL(FF_ARPT_SERIES('NET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35" s="779" t="e">
        <f ca="1">_xll.FDSRC("-",$A35,"AVAIL(AVAIL(AVAIL(FF_ARPT_SERIES('NET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35" s="779"/>
      <c r="BF35" s="780" t="e">
        <f ca="1">_xll.FDSRC("--",$A35,"AVAIL(FF_ARPT_SERIES('NON-GAAP GROSS MARGIN','ANN',"&amp;BF$5&amp;",,'M','NG-IS'),FF_ARPT_SERIES('NON-GAAP GROSS PROFIT','ANN',"&amp;BF$5&amp;",,'M','NG-IS'))/FF_ARPT_SERIES('NG-RV','ANN',"&amp;BF$5&amp;",,'M','NG-IS')")</f>
        <v>#NAME?</v>
      </c>
      <c r="BG35" s="780" t="e">
        <f ca="1">_xll.FDSRC("--",$A35,"AVAIL(FF_ARPT_SERIES('NON-GAAP GROSS MARGIN','ANN',"&amp;BG$5&amp;",,'M','NG-IS'),FF_ARPT_SERIES('NON-GAAP GROSS PROFIT','ANN',"&amp;BG$5&amp;",,'M','NG-IS'))/FF_ARPT_SERIES('NG-RV','ANN',"&amp;BG$5&amp;",,'M','NG-IS')")</f>
        <v>#NAME?</v>
      </c>
      <c r="BI35" s="779" t="e">
        <f ca="1">_xll.FDSRC("--",$A35,"AVAIL(FF_ARPT_SERIES('NON-GAAP GROSS MARGIN','ANN',"&amp;BF$5&amp;",,'M','NG-IS'),FF_ARPT_SERIES('NON-GAAP GROSS PROFIT','ANN',"&amp;BF$5&amp;",,'M','NG-IS'))")</f>
        <v>#NAME?</v>
      </c>
      <c r="BJ35" s="779" t="e">
        <f ca="1">_xll.FDSRC("--",$A35,"AVAIL(FF_ARPT_SERIES('NON-GAAP GROSS MARGIN','ANN',"&amp;BG$5&amp;",,'M','NG-IS'),FF_ARPT_SERIES('NON-GAAP GROSS PROFIT','ANN',"&amp;BG$5&amp;",,'M','NG-IS'))")</f>
        <v>#NAME?</v>
      </c>
    </row>
    <row r="36" spans="41:62" x14ac:dyDescent="0.3">
      <c r="AO36" s="779" t="e">
        <f ca="1">_xll.FDSC("--",$A36,"FF_ARPT_SERIES('NG-RV','ANN',"&amp;AO$5&amp;",,'M','NG-IS')")</f>
        <v>#NAME?</v>
      </c>
      <c r="AP36" s="779" t="e">
        <f ca="1">_xll.FDSC("--",$A36,"FF_ARPT_SERIES('NG-RV','ANN',"&amp;AP$5&amp;",,'M','NG-IS')")</f>
        <v>#NAME?</v>
      </c>
      <c r="AQ36" s="779" t="e">
        <f ca="1">_xll.FDSC("--",$A36,"FF_ARPT_SERIES('NG-RV','ANN',"&amp;AQ$5&amp;",,'M','NG-IS')")</f>
        <v>#NAME?</v>
      </c>
      <c r="AR36" s="779"/>
      <c r="AT36" s="779" t="e">
        <f ca="1">_xll.FDSRC("-",$A36,"AVAIL(FF_ARPT_SERIES('NON-GAAP OPERATING INCOME','ANN',"&amp;AT$5&amp;",,'M','NG-IS'),FF_ARPT_SERIES('NON-GAAP INCOME FROM OPERATIONS','ANN',"&amp;AT$5&amp;",,'M','NG-IS'))")</f>
        <v>#NAME?</v>
      </c>
      <c r="AU36" s="779" t="e">
        <f ca="1">_xll.FDSRC("-",$A36,"AVAIL(FF_ARPT_SERIES('NON-GAAP OPERATING INCOME','ANN',"&amp;AU$5&amp;",,'M','NG-IS'),FF_ARPT_SERIES('NON-GAAP INCOME FROM OPERATIONS','ANN',"&amp;AU$5&amp;",,'M','NG-IS'))")</f>
        <v>#NAME?</v>
      </c>
      <c r="AX36" s="779" t="e">
        <f ca="1">_xll.FDSRC("-",$A36,"FF_ARPT_SERIES('ADJUSTED EBITDA','ANN',"&amp;AX$5&amp;",,'M','NG-IS')")</f>
        <v>#NAME?</v>
      </c>
      <c r="AY36" s="779" t="e">
        <f ca="1">_xll.FDSRC("-",$A36,"FF_ARPT_SERIES('ADJUSTED EBITDA','ANN',"&amp;AY$5&amp;",,'M','NG-IS')")</f>
        <v>#NAME?</v>
      </c>
      <c r="AZ36" s="779"/>
      <c r="BB36" s="779" t="e">
        <f ca="1">_xll.FDSRC("-",$A36,"AVAIL(AVAIL(AVAIL(FF_ARPT_SERIES('NET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36" s="779" t="e">
        <f ca="1">_xll.FDSRC("-",$A36,"AVAIL(AVAIL(AVAIL(FF_ARPT_SERIES('NET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36" s="779"/>
      <c r="BF36" s="780" t="e">
        <f ca="1">_xll.FDSRC("--",$A36,"AVAIL(FF_ARPT_SERIES('NON-GAAP GROSS MARGIN','ANN',"&amp;BF$5&amp;",,'M','NG-IS'),FF_ARPT_SERIES('NON-GAAP GROSS PROFIT','ANN',"&amp;BF$5&amp;",,'M','NG-IS'))/FF_ARPT_SERIES('NG-RV','ANN',"&amp;BF$5&amp;",,'M','NG-IS')")</f>
        <v>#NAME?</v>
      </c>
      <c r="BG36" s="780" t="e">
        <f ca="1">_xll.FDSRC("--",$A36,"AVAIL(FF_ARPT_SERIES('NON-GAAP GROSS MARGIN','ANN',"&amp;BG$5&amp;",,'M','NG-IS'),FF_ARPT_SERIES('NON-GAAP GROSS PROFIT','ANN',"&amp;BG$5&amp;",,'M','NG-IS'))/FF_ARPT_SERIES('NG-RV','ANN',"&amp;BG$5&amp;",,'M','NG-IS')")</f>
        <v>#NAME?</v>
      </c>
      <c r="BI36" s="779" t="e">
        <f ca="1">_xll.FDSRC("--",$A36,"AVAIL(FF_ARPT_SERIES('NON-GAAP GROSS MARGIN','ANN',"&amp;BF$5&amp;",,'M','NG-IS'),FF_ARPT_SERIES('NON-GAAP GROSS PROFIT','ANN',"&amp;BF$5&amp;",,'M','NG-IS'))")</f>
        <v>#NAME?</v>
      </c>
      <c r="BJ36" s="779" t="e">
        <f ca="1">_xll.FDSRC("--",$A36,"AVAIL(FF_ARPT_SERIES('NON-GAAP GROSS MARGIN','ANN',"&amp;BG$5&amp;",,'M','NG-IS'),FF_ARPT_SERIES('NON-GAAP GROSS PROFIT','ANN',"&amp;BG$5&amp;",,'M','NG-IS'))")</f>
        <v>#NAME?</v>
      </c>
    </row>
    <row r="37" spans="41:62" x14ac:dyDescent="0.3">
      <c r="AO37" s="779" t="e">
        <f ca="1">_xll.FDSC("--",$A37,"FF_ARPT_SERIES('NG-RV','ANN',"&amp;AO$5&amp;",,'M','NG-IS')")</f>
        <v>#NAME?</v>
      </c>
      <c r="AP37" s="779" t="e">
        <f ca="1">_xll.FDSC("--",$A37,"FF_ARPT_SERIES('NG-RV','ANN',"&amp;AP$5&amp;",,'M','NG-IS')")</f>
        <v>#NAME?</v>
      </c>
      <c r="AQ37" s="779" t="e">
        <f ca="1">_xll.FDSC("--",$A37,"FF_ARPT_SERIES('NG-RV','ANN',"&amp;AQ$5&amp;",,'M','NG-IS')")</f>
        <v>#NAME?</v>
      </c>
      <c r="AR37" s="779"/>
      <c r="AT37" s="779" t="e">
        <f ca="1">_xll.FDSRC("-",$A37,"AVAIL(FF_ARPT_SERIES('NON-GAAP OPERATING INCOME','ANN',"&amp;AT$5&amp;",,'M','NG-IS'),FF_ARPT_SERIES('NON-GAAP INCOME FROM OPERATIONS','ANN',"&amp;AT$5&amp;",,'M','NG-IS'))")</f>
        <v>#NAME?</v>
      </c>
      <c r="AU37" s="779" t="e">
        <f ca="1">_xll.FDSRC("-",$A37,"AVAIL(FF_ARPT_SERIES('NON-GAAP OPERATING INCOME','ANN',"&amp;AU$5&amp;",,'M','NG-IS'),FF_ARPT_SERIES('NON-GAAP INCOME FROM OPERATIONS','ANN',"&amp;AU$5&amp;",,'M','NG-IS'))")</f>
        <v>#NAME?</v>
      </c>
      <c r="AX37" s="779" t="e">
        <f ca="1">_xll.FDSRC("-",$A37,"FF_ARPT_SERIES('ADJUSTED EBITDA','ANN',"&amp;AX$5&amp;",,'M','NG-IS')")</f>
        <v>#NAME?</v>
      </c>
      <c r="AY37" s="779" t="e">
        <f ca="1">_xll.FDSRC("-",$A37,"FF_ARPT_SERIES('ADJUSTED EBITDA','ANN',"&amp;AY$5&amp;",,'M','NG-IS')")</f>
        <v>#NAME?</v>
      </c>
      <c r="AZ37" s="779"/>
      <c r="BB37" s="779" t="e">
        <f ca="1">_xll.FDSRC("-",$A37,"AVAIL(AVAIL(AVAIL(FF_ARPT_SERIES('NET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37" s="779" t="e">
        <f ca="1">_xll.FDSRC("-",$A37,"AVAIL(AVAIL(AVAIL(FF_ARPT_SERIES('NET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37" s="779"/>
      <c r="BF37" s="780" t="e">
        <f ca="1">_xll.FDSRC("--",$A37,"AVAIL(FF_ARPT_SERIES('NON-GAAP GROSS MARGIN','ANN',"&amp;BF$5&amp;",,'M','NG-IS'),FF_ARPT_SERIES('NON-GAAP GROSS PROFIT','ANN',"&amp;BF$5&amp;",,'M','NG-IS'))/FF_ARPT_SERIES('NG-RV','ANN',"&amp;BF$5&amp;",,'M','NG-IS')")</f>
        <v>#NAME?</v>
      </c>
      <c r="BG37" s="780" t="e">
        <f ca="1">_xll.FDSRC("--",$A37,"AVAIL(FF_ARPT_SERIES('NON-GAAP GROSS MARGIN','ANN',"&amp;BG$5&amp;",,'M','NG-IS'),FF_ARPT_SERIES('NON-GAAP GROSS PROFIT','ANN',"&amp;BG$5&amp;",,'M','NG-IS'))/FF_ARPT_SERIES('NG-RV','ANN',"&amp;BG$5&amp;",,'M','NG-IS')")</f>
        <v>#NAME?</v>
      </c>
      <c r="BI37" s="779" t="e">
        <f ca="1">_xll.FDSRC("--",$A37,"AVAIL(FF_ARPT_SERIES('NON-GAAP GROSS MARGIN','ANN',"&amp;BF$5&amp;",,'M','NG-IS'),FF_ARPT_SERIES('NON-GAAP GROSS PROFIT','ANN',"&amp;BF$5&amp;",,'M','NG-IS'))")</f>
        <v>#NAME?</v>
      </c>
      <c r="BJ37" s="779" t="e">
        <f ca="1">_xll.FDSRC("--",$A37,"AVAIL(FF_ARPT_SERIES('NON-GAAP GROSS MARGIN','ANN',"&amp;BG$5&amp;",,'M','NG-IS'),FF_ARPT_SERIES('NON-GAAP GROSS PROFIT','ANN',"&amp;BG$5&amp;",,'M','NG-IS'))")</f>
        <v>#NAME?</v>
      </c>
    </row>
    <row r="38" spans="41:62" x14ac:dyDescent="0.3">
      <c r="AO38" s="779" t="e">
        <f ca="1">_xll.FDSC("--",$A38,"FF_ARPT_SERIES('NG-RV','ANN',"&amp;AO$5&amp;",,'M','NG-IS')")</f>
        <v>#NAME?</v>
      </c>
      <c r="AP38" s="779" t="e">
        <f ca="1">_xll.FDSC("--",$A38,"FF_ARPT_SERIES('NG-RV','ANN',"&amp;AP$5&amp;",,'M','NG-IS')")</f>
        <v>#NAME?</v>
      </c>
      <c r="AQ38" s="779" t="e">
        <f ca="1">_xll.FDSC("--",$A38,"FF_ARPT_SERIES('NG-RV','ANN',"&amp;AQ$5&amp;",,'M','NG-IS')")</f>
        <v>#NAME?</v>
      </c>
      <c r="AR38" s="779"/>
      <c r="AT38" s="779" t="e">
        <f ca="1">_xll.FDSRC("-",$A38,"AVAIL(FF_ARPT_SERIES('NON-GAAP OPERATING INCOME','ANN',"&amp;AT$5&amp;",,'M','NG-IS'),FF_ARPT_SERIES('NON-GAAP INCOME FROM OPERATIONS','ANN',"&amp;AT$5&amp;",,'M','NG-IS'))")</f>
        <v>#NAME?</v>
      </c>
      <c r="AU38" s="779" t="e">
        <f ca="1">_xll.FDSRC("-",$A38,"AVAIL(FF_ARPT_SERIES('NON-GAAP OPERATING INCOME','ANN',"&amp;AU$5&amp;",,'M','NG-IS'),FF_ARPT_SERIES('NON-GAAP INCOME FROM OPERATIONS','ANN',"&amp;AU$5&amp;",,'M','NG-IS'))")</f>
        <v>#NAME?</v>
      </c>
      <c r="AX38" s="779" t="e">
        <f ca="1">_xll.FDSRC("-",$A38,"FF_ARPT_SERIES('ADJUSTED EBITDA','ANN',"&amp;AX$5&amp;",,'M','NG-IS')")</f>
        <v>#NAME?</v>
      </c>
      <c r="AY38" s="779" t="e">
        <f ca="1">_xll.FDSRC("-",$A38,"FF_ARPT_SERIES('ADJUSTED EBITDA','ANN',"&amp;AY$5&amp;",,'M','NG-IS')")</f>
        <v>#NAME?</v>
      </c>
      <c r="AZ38" s="779"/>
      <c r="BB38" s="779" t="e">
        <f ca="1">_xll.FDSRC("-",$A38,"AVAIL(AVAIL(AVAIL(FF_ARPT_SERIES('NET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38" s="779" t="e">
        <f ca="1">_xll.FDSRC("-",$A38,"AVAIL(AVAIL(AVAIL(FF_ARPT_SERIES('NET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38" s="779"/>
      <c r="BF38" s="780" t="e">
        <f ca="1">_xll.FDSRC("--",$A38,"AVAIL(FF_ARPT_SERIES('NON-GAAP GROSS MARGIN','ANN',"&amp;BF$5&amp;",,'M','NG-IS'),FF_ARPT_SERIES('NON-GAAP GROSS PROFIT','ANN',"&amp;BF$5&amp;",,'M','NG-IS'))/FF_ARPT_SERIES('NG-RV','ANN',"&amp;BF$5&amp;",,'M','NG-IS')")</f>
        <v>#NAME?</v>
      </c>
      <c r="BG38" s="780" t="e">
        <f ca="1">_xll.FDSRC("--",$A38,"AVAIL(FF_ARPT_SERIES('NON-GAAP GROSS MARGIN','ANN',"&amp;BG$5&amp;",,'M','NG-IS'),FF_ARPT_SERIES('NON-GAAP GROSS PROFIT','ANN',"&amp;BG$5&amp;",,'M','NG-IS'))/FF_ARPT_SERIES('NG-RV','ANN',"&amp;BG$5&amp;",,'M','NG-IS')")</f>
        <v>#NAME?</v>
      </c>
      <c r="BI38" s="779" t="e">
        <f ca="1">_xll.FDSRC("--",$A38,"AVAIL(FF_ARPT_SERIES('NON-GAAP GROSS MARGIN','ANN',"&amp;BF$5&amp;",,'M','NG-IS'),FF_ARPT_SERIES('NON-GAAP GROSS PROFIT','ANN',"&amp;BF$5&amp;",,'M','NG-IS'))")</f>
        <v>#NAME?</v>
      </c>
      <c r="BJ38" s="779" t="e">
        <f ca="1">_xll.FDSRC("--",$A38,"AVAIL(FF_ARPT_SERIES('NON-GAAP GROSS MARGIN','ANN',"&amp;BG$5&amp;",,'M','NG-IS'),FF_ARPT_SERIES('NON-GAAP GROSS PROFIT','ANN',"&amp;BG$5&amp;",,'M','NG-IS'))")</f>
        <v>#NAME?</v>
      </c>
    </row>
    <row r="39" spans="41:62" x14ac:dyDescent="0.3">
      <c r="AO39" s="779" t="e">
        <f ca="1">_xll.FDSC("--",$A39,"FF_ARPT_SERIES('NG-RV','ANN',"&amp;AO$5&amp;",,'M','NG-IS')")</f>
        <v>#NAME?</v>
      </c>
      <c r="AP39" s="779" t="e">
        <f ca="1">_xll.FDSC("--",$A39,"FF_ARPT_SERIES('NG-RV','ANN',"&amp;AP$5&amp;",,'M','NG-IS')")</f>
        <v>#NAME?</v>
      </c>
      <c r="AQ39" s="779" t="e">
        <f ca="1">_xll.FDSC("--",$A39,"FF_ARPT_SERIES('NG-RV','ANN',"&amp;AQ$5&amp;",,'M','NG-IS')")</f>
        <v>#NAME?</v>
      </c>
      <c r="AR39" s="779"/>
      <c r="AT39" s="779" t="e">
        <f ca="1">_xll.FDSRC("-",$A39,"AVAIL(FF_ARPT_SERIES('NON-GAAP OPERATING INCOME','ANN',"&amp;AT$5&amp;",,'M','NG-IS'),FF_ARPT_SERIES('NON-GAAP INCOME FROM OPERATIONS','ANN',"&amp;AT$5&amp;",,'M','NG-IS'))")</f>
        <v>#NAME?</v>
      </c>
      <c r="AU39" s="779" t="e">
        <f ca="1">_xll.FDSRC("-",$A39,"AVAIL(FF_ARPT_SERIES('NON-GAAP OPERATING INCOME','ANN',"&amp;AU$5&amp;",,'M','NG-IS'),FF_ARPT_SERIES('NON-GAAP INCOME FROM OPERATIONS','ANN',"&amp;AU$5&amp;",,'M','NG-IS'))")</f>
        <v>#NAME?</v>
      </c>
      <c r="AX39" s="779" t="e">
        <f ca="1">_xll.FDSRC("-",$A39,"FF_ARPT_SERIES('ADJUSTED EBITDA','ANN',"&amp;AX$5&amp;",,'M','NG-IS')")</f>
        <v>#NAME?</v>
      </c>
      <c r="AY39" s="779" t="e">
        <f ca="1">_xll.FDSRC("-",$A39,"FF_ARPT_SERIES('ADJUSTED EBITDA','ANN',"&amp;AY$5&amp;",,'M','NG-IS')")</f>
        <v>#NAME?</v>
      </c>
      <c r="AZ39" s="779"/>
      <c r="BB39" s="779" t="e">
        <f ca="1">_xll.FDSRC("-",$A39,"AVAIL(AVAIL(AVAIL(FF_ARPT_SERIES('NET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39" s="779" t="e">
        <f ca="1">_xll.FDSRC("-",$A39,"AVAIL(AVAIL(AVAIL(FF_ARPT_SERIES('NET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39" s="779"/>
      <c r="BF39" s="780" t="e">
        <f ca="1">_xll.FDSRC("--",$A39,"AVAIL(FF_ARPT_SERIES('NON-GAAP GROSS MARGIN','ANN',"&amp;BF$5&amp;",,'M','NG-IS'),FF_ARPT_SERIES('NON-GAAP GROSS PROFIT','ANN',"&amp;BF$5&amp;",,'M','NG-IS'))/FF_ARPT_SERIES('NG-RV','ANN',"&amp;BF$5&amp;",,'M','NG-IS')")</f>
        <v>#NAME?</v>
      </c>
      <c r="BG39" s="780" t="e">
        <f ca="1">_xll.FDSRC("--",$A39,"AVAIL(FF_ARPT_SERIES('NON-GAAP GROSS MARGIN','ANN',"&amp;BG$5&amp;",,'M','NG-IS'),FF_ARPT_SERIES('NON-GAAP GROSS PROFIT','ANN',"&amp;BG$5&amp;",,'M','NG-IS'))/FF_ARPT_SERIES('NG-RV','ANN',"&amp;BG$5&amp;",,'M','NG-IS')")</f>
        <v>#NAME?</v>
      </c>
      <c r="BI39" s="779" t="e">
        <f ca="1">_xll.FDSRC("--",$A39,"AVAIL(FF_ARPT_SERIES('NON-GAAP GROSS MARGIN','ANN',"&amp;BF$5&amp;",,'M','NG-IS'),FF_ARPT_SERIES('NON-GAAP GROSS PROFIT','ANN',"&amp;BF$5&amp;",,'M','NG-IS'))")</f>
        <v>#NAME?</v>
      </c>
      <c r="BJ39" s="779" t="e">
        <f ca="1">_xll.FDSRC("--",$A39,"AVAIL(FF_ARPT_SERIES('NON-GAAP GROSS MARGIN','ANN',"&amp;BG$5&amp;",,'M','NG-IS'),FF_ARPT_SERIES('NON-GAAP GROSS PROFIT','ANN',"&amp;BG$5&amp;",,'M','NG-IS'))")</f>
        <v>#NAME?</v>
      </c>
    </row>
    <row r="40" spans="41:62" x14ac:dyDescent="0.3">
      <c r="AO40" s="779" t="e">
        <f ca="1">_xll.FDSC("--",$A40,"FF_ARPT_SERIES('NG-RV','ANN',"&amp;AO$5&amp;",,'M','NG-IS')")</f>
        <v>#NAME?</v>
      </c>
      <c r="AP40" s="779" t="e">
        <f ca="1">_xll.FDSC("--",$A40,"FF_ARPT_SERIES('NG-RV','ANN',"&amp;AP$5&amp;",,'M','NG-IS')")</f>
        <v>#NAME?</v>
      </c>
      <c r="AQ40" s="779" t="e">
        <f ca="1">_xll.FDSC("--",$A40,"FF_ARPT_SERIES('NG-RV','ANN',"&amp;AQ$5&amp;",,'M','NG-IS')")</f>
        <v>#NAME?</v>
      </c>
      <c r="AR40" s="779"/>
      <c r="AT40" s="779" t="e">
        <f ca="1">_xll.FDSRC("-",$A40,"AVAIL(FF_ARPT_SERIES('NON-GAAP OPERATING INCOME','ANN',"&amp;AT$5&amp;",,'M','NG-IS'),FF_ARPT_SERIES('NON-GAAP INCOME FROM OPERATIONS','ANN',"&amp;AT$5&amp;",,'M','NG-IS'))")</f>
        <v>#NAME?</v>
      </c>
      <c r="AU40" s="779" t="e">
        <f ca="1">_xll.FDSRC("-",$A40,"AVAIL(FF_ARPT_SERIES('NON-GAAP OPERATING INCOME','ANN',"&amp;AU$5&amp;",,'M','NG-IS'),FF_ARPT_SERIES('NON-GAAP INCOME FROM OPERATIONS','ANN',"&amp;AU$5&amp;",,'M','NG-IS'))")</f>
        <v>#NAME?</v>
      </c>
      <c r="AX40" s="779" t="e">
        <f ca="1">_xll.FDSRC("-",$A40,"FF_ARPT_SERIES('ADJUSTED EBITDA','ANN',"&amp;AX$5&amp;",,'M','NG-IS')")</f>
        <v>#NAME?</v>
      </c>
      <c r="AY40" s="779" t="e">
        <f ca="1">_xll.FDSRC("-",$A40,"FF_ARPT_SERIES('ADJUSTED EBITDA','ANN',"&amp;AY$5&amp;",,'M','NG-IS')")</f>
        <v>#NAME?</v>
      </c>
      <c r="AZ40" s="779"/>
      <c r="BB40" s="779" t="e">
        <f ca="1">_xll.FDSRC("-",$A40,"AVAIL(AVAIL(AVAIL(FF_ARPT_SERIES('NET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0" s="779" t="e">
        <f ca="1">_xll.FDSRC("-",$A40,"AVAIL(AVAIL(AVAIL(FF_ARPT_SERIES('NET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0" s="779"/>
      <c r="BF40" s="780" t="e">
        <f ca="1">_xll.FDSRC("--",$A40,"AVAIL(FF_ARPT_SERIES('NON-GAAP GROSS MARGIN','ANN',"&amp;BF$5&amp;",,'M','NG-IS'),FF_ARPT_SERIES('NON-GAAP GROSS PROFIT','ANN',"&amp;BF$5&amp;",,'M','NG-IS'))/FF_ARPT_SERIES('NG-RV','ANN',"&amp;BF$5&amp;",,'M','NG-IS')")</f>
        <v>#NAME?</v>
      </c>
      <c r="BG40" s="780" t="e">
        <f ca="1">_xll.FDSRC("--",$A40,"AVAIL(FF_ARPT_SERIES('NON-GAAP GROSS MARGIN','ANN',"&amp;BG$5&amp;",,'M','NG-IS'),FF_ARPT_SERIES('NON-GAAP GROSS PROFIT','ANN',"&amp;BG$5&amp;",,'M','NG-IS'))/FF_ARPT_SERIES('NG-RV','ANN',"&amp;BG$5&amp;",,'M','NG-IS')")</f>
        <v>#NAME?</v>
      </c>
      <c r="BI40" s="779" t="e">
        <f ca="1">_xll.FDSRC("--",$A40,"AVAIL(FF_ARPT_SERIES('NON-GAAP GROSS MARGIN','ANN',"&amp;BF$5&amp;",,'M','NG-IS'),FF_ARPT_SERIES('NON-GAAP GROSS PROFIT','ANN',"&amp;BF$5&amp;",,'M','NG-IS'))")</f>
        <v>#NAME?</v>
      </c>
      <c r="BJ40" s="779" t="e">
        <f ca="1">_xll.FDSRC("--",$A40,"AVAIL(FF_ARPT_SERIES('NON-GAAP GROSS MARGIN','ANN',"&amp;BG$5&amp;",,'M','NG-IS'),FF_ARPT_SERIES('NON-GAAP GROSS PROFIT','ANN',"&amp;BG$5&amp;",,'M','NG-IS'))")</f>
        <v>#NAME?</v>
      </c>
    </row>
    <row r="41" spans="41:62" x14ac:dyDescent="0.3">
      <c r="AO41" s="779" t="e">
        <f ca="1">_xll.FDSC("--",$A41,"FF_ARPT_SERIES('NG-RV','ANN',"&amp;AO$5&amp;",,'M','NG-IS')")</f>
        <v>#NAME?</v>
      </c>
      <c r="AP41" s="779" t="e">
        <f ca="1">_xll.FDSC("--",$A41,"FF_ARPT_SERIES('NG-RV','ANN',"&amp;AP$5&amp;",,'M','NG-IS')")</f>
        <v>#NAME?</v>
      </c>
      <c r="AQ41" s="779" t="e">
        <f ca="1">_xll.FDSC("--",$A41,"FF_ARPT_SERIES('NG-RV','ANN',"&amp;AQ$5&amp;",,'M','NG-IS')")</f>
        <v>#NAME?</v>
      </c>
      <c r="AR41" s="779"/>
      <c r="AT41" s="779" t="e">
        <f ca="1">_xll.FDSRC("-",$A41,"AVAIL(FF_ARPT_SERIES('NON-GAAP OPERATING INCOME','ANN',"&amp;AT$5&amp;",,'M','NG-IS'),FF_ARPT_SERIES('NON-GAAP INCOME FROM OPERATIONS','ANN',"&amp;AT$5&amp;",,'M','NG-IS'))")</f>
        <v>#NAME?</v>
      </c>
      <c r="AU41" s="779" t="e">
        <f ca="1">_xll.FDSRC("-",$A41,"AVAIL(FF_ARPT_SERIES('NON-GAAP OPERATING INCOME','ANN',"&amp;AU$5&amp;",,'M','NG-IS'),FF_ARPT_SERIES('NON-GAAP INCOME FROM OPERATIONS','ANN',"&amp;AU$5&amp;",,'M','NG-IS'))")</f>
        <v>#NAME?</v>
      </c>
      <c r="AX41" s="779" t="e">
        <f ca="1">_xll.FDSRC("-",$A41,"FF_ARPT_SERIES('ADJUSTED EBITDA','ANN',"&amp;AX$5&amp;",,'M','NG-IS')")</f>
        <v>#NAME?</v>
      </c>
      <c r="AY41" s="779" t="e">
        <f ca="1">_xll.FDSRC("-",$A41,"FF_ARPT_SERIES('ADJUSTED EBITDA','ANN',"&amp;AY$5&amp;",,'M','NG-IS')")</f>
        <v>#NAME?</v>
      </c>
      <c r="AZ41" s="779"/>
      <c r="BB41" s="779" t="e">
        <f ca="1">_xll.FDSRC("-",$A41,"AVAIL(AVAIL(AVAIL(FF_ARPT_SERIES('NET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1" s="779" t="e">
        <f ca="1">_xll.FDSRC("-",$A41,"AVAIL(AVAIL(AVAIL(FF_ARPT_SERIES('NET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1" s="779"/>
      <c r="BF41" s="780" t="e">
        <f ca="1">_xll.FDSRC("--",$A41,"AVAIL(FF_ARPT_SERIES('NON-GAAP GROSS MARGIN','ANN',"&amp;BF$5&amp;",,'M','NG-IS'),FF_ARPT_SERIES('NON-GAAP GROSS PROFIT','ANN',"&amp;BF$5&amp;",,'M','NG-IS'))/FF_ARPT_SERIES('NG-RV','ANN',"&amp;BF$5&amp;",,'M','NG-IS')")</f>
        <v>#NAME?</v>
      </c>
      <c r="BG41" s="780" t="e">
        <f ca="1">_xll.FDSRC("--",$A41,"AVAIL(FF_ARPT_SERIES('NON-GAAP GROSS MARGIN','ANN',"&amp;BG$5&amp;",,'M','NG-IS'),FF_ARPT_SERIES('NON-GAAP GROSS PROFIT','ANN',"&amp;BG$5&amp;",,'M','NG-IS'))/FF_ARPT_SERIES('NG-RV','ANN',"&amp;BG$5&amp;",,'M','NG-IS')")</f>
        <v>#NAME?</v>
      </c>
      <c r="BI41" s="779" t="e">
        <f ca="1">_xll.FDSRC("--",$A41,"AVAIL(FF_ARPT_SERIES('NON-GAAP GROSS MARGIN','ANN',"&amp;BF$5&amp;",,'M','NG-IS'),FF_ARPT_SERIES('NON-GAAP GROSS PROFIT','ANN',"&amp;BF$5&amp;",,'M','NG-IS'))")</f>
        <v>#NAME?</v>
      </c>
      <c r="BJ41" s="779" t="e">
        <f ca="1">_xll.FDSRC("--",$A41,"AVAIL(FF_ARPT_SERIES('NON-GAAP GROSS MARGIN','ANN',"&amp;BG$5&amp;",,'M','NG-IS'),FF_ARPT_SERIES('NON-GAAP GROSS PROFIT','ANN',"&amp;BG$5&amp;",,'M','NG-IS'))")</f>
        <v>#NAME?</v>
      </c>
    </row>
    <row r="42" spans="41:62" x14ac:dyDescent="0.3">
      <c r="AO42" s="779" t="e">
        <f ca="1">_xll.FDSC("--",$A42,"FF_ARPT_SERIES('NG-RV','ANN',"&amp;AO$5&amp;",,'M','NG-IS')")</f>
        <v>#NAME?</v>
      </c>
      <c r="AP42" s="779" t="e">
        <f ca="1">_xll.FDSC("--",$A42,"FF_ARPT_SERIES('NG-RV','ANN',"&amp;AP$5&amp;",,'M','NG-IS')")</f>
        <v>#NAME?</v>
      </c>
      <c r="AQ42" s="779" t="e">
        <f ca="1">_xll.FDSC("--",$A42,"FF_ARPT_SERIES('NG-RV','ANN',"&amp;AQ$5&amp;",,'M','NG-IS')")</f>
        <v>#NAME?</v>
      </c>
      <c r="AR42" s="779"/>
      <c r="AT42" s="779" t="e">
        <f ca="1">_xll.FDSRC("-",$A42,"AVAIL(FF_ARPT_SERIES('NON-GAAP OPERATING INCOME','ANN',"&amp;AT$5&amp;",,'M','NG-IS'),FF_ARPT_SERIES('NON-GAAP INCOME FROM OPERATIONS','ANN',"&amp;AT$5&amp;",,'M','NG-IS'))")</f>
        <v>#NAME?</v>
      </c>
      <c r="AU42" s="779" t="e">
        <f ca="1">_xll.FDSRC("-",$A42,"AVAIL(FF_ARPT_SERIES('NON-GAAP OPERATING INCOME','ANN',"&amp;AU$5&amp;",,'M','NG-IS'),FF_ARPT_SERIES('NON-GAAP INCOME FROM OPERATIONS','ANN',"&amp;AU$5&amp;",,'M','NG-IS'))")</f>
        <v>#NAME?</v>
      </c>
      <c r="AX42" s="779" t="e">
        <f ca="1">_xll.FDSRC("-",$A42,"FF_ARPT_SERIES('ADJUSTED EBITDA','ANN',"&amp;AX$5&amp;",,'M','NG-IS')")</f>
        <v>#NAME?</v>
      </c>
      <c r="AY42" s="779" t="e">
        <f ca="1">_xll.FDSRC("-",$A42,"FF_ARPT_SERIES('ADJUSTED EBITDA','ANN',"&amp;AY$5&amp;",,'M','NG-IS')")</f>
        <v>#NAME?</v>
      </c>
      <c r="AZ42" s="779"/>
      <c r="BB42" s="779" t="e">
        <f ca="1">_xll.FDSRC("-",$A42,"AVAIL(AVAIL(AVAIL(FF_ARPT_SERIES('NET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2" s="779" t="e">
        <f ca="1">_xll.FDSRC("-",$A42,"AVAIL(AVAIL(AVAIL(FF_ARPT_SERIES('NET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2" s="779"/>
      <c r="BF42" s="780" t="e">
        <f ca="1">_xll.FDSRC("--",$A42,"AVAIL(FF_ARPT_SERIES('NON-GAAP GROSS MARGIN','ANN',"&amp;BF$5&amp;",,'M','NG-IS'),FF_ARPT_SERIES('NON-GAAP GROSS PROFIT','ANN',"&amp;BF$5&amp;",,'M','NG-IS'))/FF_ARPT_SERIES('NG-RV','ANN',"&amp;BF$5&amp;",,'M','NG-IS')")</f>
        <v>#NAME?</v>
      </c>
      <c r="BG42" s="780" t="e">
        <f ca="1">_xll.FDSRC("--",$A42,"AVAIL(FF_ARPT_SERIES('NON-GAAP GROSS MARGIN','ANN',"&amp;BG$5&amp;",,'M','NG-IS'),FF_ARPT_SERIES('NON-GAAP GROSS PROFIT','ANN',"&amp;BG$5&amp;",,'M','NG-IS'))/FF_ARPT_SERIES('NG-RV','ANN',"&amp;BG$5&amp;",,'M','NG-IS')")</f>
        <v>#NAME?</v>
      </c>
      <c r="BI42" s="779" t="e">
        <f ca="1">_xll.FDSRC("--",$A42,"AVAIL(FF_ARPT_SERIES('NON-GAAP GROSS MARGIN','ANN',"&amp;BF$5&amp;",,'M','NG-IS'),FF_ARPT_SERIES('NON-GAAP GROSS PROFIT','ANN',"&amp;BF$5&amp;",,'M','NG-IS'))")</f>
        <v>#NAME?</v>
      </c>
      <c r="BJ42" s="779" t="e">
        <f ca="1">_xll.FDSRC("--",$A42,"AVAIL(FF_ARPT_SERIES('NON-GAAP GROSS MARGIN','ANN',"&amp;BG$5&amp;",,'M','NG-IS'),FF_ARPT_SERIES('NON-GAAP GROSS PROFIT','ANN',"&amp;BG$5&amp;",,'M','NG-IS'))")</f>
        <v>#NAME?</v>
      </c>
    </row>
    <row r="44" spans="41:62" x14ac:dyDescent="0.3">
      <c r="AO44" s="790"/>
      <c r="AP44" s="790"/>
      <c r="AQ44" s="790"/>
      <c r="AR44" s="790"/>
      <c r="AS44" s="791"/>
      <c r="AT44" s="791"/>
      <c r="AU44" s="791"/>
      <c r="AV44" s="791"/>
      <c r="AW44" s="791"/>
      <c r="AX44" s="819" t="s">
        <v>464</v>
      </c>
      <c r="AY44" s="790"/>
      <c r="AZ44" s="790"/>
      <c r="BA44" s="791"/>
      <c r="BB44" s="791"/>
      <c r="BC44" s="791"/>
      <c r="BD44" s="791"/>
      <c r="BE44" s="791"/>
      <c r="BF44" s="791"/>
      <c r="BG44" s="791"/>
      <c r="BH44" s="791"/>
      <c r="BI44" s="791"/>
      <c r="BJ44" s="791"/>
    </row>
    <row r="45" spans="41:62" x14ac:dyDescent="0.3">
      <c r="AO45" s="792" t="s">
        <v>247</v>
      </c>
      <c r="AP45" s="793"/>
      <c r="AQ45" s="793"/>
      <c r="AR45" s="793"/>
      <c r="AS45" s="785"/>
      <c r="AT45" s="792" t="s">
        <v>187</v>
      </c>
      <c r="AU45" s="793"/>
      <c r="AV45" s="793"/>
      <c r="AW45" s="785"/>
      <c r="AX45" s="792" t="s">
        <v>186</v>
      </c>
      <c r="AY45" s="793"/>
      <c r="AZ45" s="793"/>
      <c r="BA45" s="789"/>
      <c r="BB45" s="792" t="s">
        <v>450</v>
      </c>
      <c r="BC45" s="793"/>
      <c r="BD45" s="793"/>
      <c r="BE45" s="789"/>
      <c r="BF45" s="792" t="s">
        <v>424</v>
      </c>
      <c r="BG45" s="793"/>
      <c r="BH45" s="789"/>
      <c r="BI45" s="792" t="s">
        <v>462</v>
      </c>
      <c r="BJ45" s="793"/>
    </row>
    <row r="46" spans="41:62" x14ac:dyDescent="0.3">
      <c r="AO46" s="802">
        <f ca="1">$A$4</f>
        <v>2024</v>
      </c>
      <c r="AP46" s="802">
        <f ca="1">AO46+1</f>
        <v>2025</v>
      </c>
      <c r="AQ46" s="803">
        <f ca="1">AP46+1</f>
        <v>2026</v>
      </c>
      <c r="AR46" s="803">
        <f ca="1">AQ46+1</f>
        <v>2027</v>
      </c>
      <c r="AS46" s="795"/>
      <c r="AT46" s="802">
        <f ca="1">AP46</f>
        <v>2025</v>
      </c>
      <c r="AU46" s="803">
        <f ca="1">AQ46</f>
        <v>2026</v>
      </c>
      <c r="AV46" s="803">
        <f ca="1">AR46</f>
        <v>2027</v>
      </c>
      <c r="AW46" s="795"/>
      <c r="AX46" s="802">
        <f ca="1">AT46</f>
        <v>2025</v>
      </c>
      <c r="AY46" s="802">
        <f t="shared" ref="AY46:AZ46" ca="1" si="20">AU46</f>
        <v>2026</v>
      </c>
      <c r="AZ46" s="802">
        <f t="shared" ca="1" si="20"/>
        <v>2027</v>
      </c>
      <c r="BA46" s="795"/>
      <c r="BB46" s="802">
        <f ca="1">AX46</f>
        <v>2025</v>
      </c>
      <c r="BC46" s="802">
        <f t="shared" ref="BC46:BD46" ca="1" si="21">AY46</f>
        <v>2026</v>
      </c>
      <c r="BD46" s="802">
        <f t="shared" ca="1" si="21"/>
        <v>2027</v>
      </c>
      <c r="BE46" s="795"/>
      <c r="BF46" s="802">
        <f ca="1">BB46</f>
        <v>2025</v>
      </c>
      <c r="BG46" s="802">
        <f ca="1">BC46</f>
        <v>2026</v>
      </c>
      <c r="BH46" s="795"/>
      <c r="BI46" s="802">
        <v>2017</v>
      </c>
      <c r="BJ46" s="802">
        <v>2018</v>
      </c>
    </row>
    <row r="47" spans="41:62" x14ac:dyDescent="0.3">
      <c r="AO47" s="779" t="e">
        <f ca="1">_xll.FDSC("--",$A47,"FF_ARPT_SERIES('RV','ANN',"&amp;AO$5&amp;",,'M','IS')")</f>
        <v>#NAME?</v>
      </c>
      <c r="AP47" s="779" t="e">
        <f ca="1">_xll.FDSC("--",$A47,"FF_ARPT_SERIES('RV','ANN',"&amp;AP$5&amp;",,'M','IS')")</f>
        <v>#NAME?</v>
      </c>
      <c r="AQ47" s="779" t="e">
        <f ca="1">_xll.FDSC("--",$A47,"FF_ARPT_SERIES('RV','ANN',"&amp;AQ$5&amp;",,'M','IS')")</f>
        <v>#NAME?</v>
      </c>
      <c r="AR47" s="779"/>
      <c r="AT47" s="779" t="e">
        <f ca="1">_xll.FDSRC("-",$A47,"AVAIL(AVAIL(AVAIL(AVAIL(FF_ARPT_SERIES('OPERATING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47" s="779" t="e">
        <f ca="1">_xll.FDSRC("-",$A47,"AVAIL(AVAIL(AVAIL(AVAIL(FF_ARPT_SERIES('OPERATING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47" s="779"/>
      <c r="AY47" s="779"/>
      <c r="AZ47" s="779"/>
      <c r="BB47" s="779" t="e">
        <f ca="1">_xll.FDSRC("-",$A47,"AVAIL(AVAIL(AVAIL(FF_ARPT_SERIES('NET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7" s="779" t="e">
        <f ca="1">_xll.FDSRC("-",$A47,"AVAIL(AVAIL(AVAIL(FF_ARPT_SERIES('NET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7" s="779"/>
      <c r="BF47" s="780" t="e">
        <f ca="1">_xll.FDSRC("--",$A47,"AVAIL(FF_ARPT_SERIES('GROSS MARGIN','ANN',"&amp;BF$5&amp;",,'M','IS'),FF_ARPT_SERIES('GROSS PROFIT','ANN',"&amp;BF$5&amp;",,'M','IS'))/FF_ARPT_SERIES('RV','ANN',"&amp;BF$5&amp;",,'M','IS')")</f>
        <v>#NAME?</v>
      </c>
      <c r="BG47" s="780" t="e">
        <f ca="1">_xll.FDSRC("--",$A47,"AVAIL(FF_ARPT_SERIES('GROSS MARGIN','ANN',"&amp;BG$5&amp;",,'M','IS'),FF_ARPT_SERIES('GROSS PROFIT','ANN',"&amp;BG$5&amp;",,'M','IS'))/FF_ARPT_SERIES('RV','ANN',"&amp;BG$5&amp;",,'M','IS')")</f>
        <v>#NAME?</v>
      </c>
      <c r="BI47" s="779" t="e">
        <f ca="1">_xll.FDSRC("--",$A47,"AVAIL(FF_ARPT_SERIES('GROSS MARGIN','ANN',"&amp;BF$5&amp;",,'M','IS'),FF_ARPT_SERIES('GROSS PROFIT','ANN',"&amp;BF$5&amp;",,'M','IS'))")</f>
        <v>#NAME?</v>
      </c>
      <c r="BJ47" s="779" t="e">
        <f ca="1">_xll.FDSRC("--",$A47,"AVAIL(FF_ARPT_SERIES('GROSS MARGIN','ANN',"&amp;BG$5&amp;",,'M','IS'),FF_ARPT_SERIES('GROSS PROFIT','ANN',"&amp;BG$5&amp;",,'M','IS'))")</f>
        <v>#NAME?</v>
      </c>
    </row>
    <row r="48" spans="41:62" x14ac:dyDescent="0.3">
      <c r="AO48" s="779" t="e">
        <f ca="1">_xll.FDSC("--",$A48,"FF_ARPT_SERIES('RV','ANN',"&amp;AO$5&amp;",,'M','IS')")</f>
        <v>#NAME?</v>
      </c>
      <c r="AP48" s="779" t="e">
        <f ca="1">_xll.FDSC("--",$A48,"FF_ARPT_SERIES('RV','ANN',"&amp;AP$5&amp;",,'M','IS')")</f>
        <v>#NAME?</v>
      </c>
      <c r="AQ48" s="779" t="e">
        <f ca="1">_xll.FDSC("--",$A48,"FF_ARPT_SERIES('RV','ANN',"&amp;AQ$5&amp;",,'M','IS')")</f>
        <v>#NAME?</v>
      </c>
      <c r="AR48" s="779"/>
      <c r="AT48" s="779" t="e">
        <f ca="1">_xll.FDSRC("-",$A48,"AVAIL(AVAIL(AVAIL(AVAIL(FF_ARPT_SERIES('OPERATING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48" s="779" t="e">
        <f ca="1">_xll.FDSRC("-",$A48,"AVAIL(AVAIL(AVAIL(AVAIL(FF_ARPT_SERIES('OPERATING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48" s="779"/>
      <c r="AY48" s="779"/>
      <c r="AZ48" s="779"/>
      <c r="BB48" s="779" t="e">
        <f ca="1">_xll.FDSRC("-",$A48,"AVAIL(AVAIL(AVAIL(FF_ARPT_SERIES('NET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8" s="779" t="e">
        <f ca="1">_xll.FDSRC("-",$A48,"AVAIL(AVAIL(AVAIL(FF_ARPT_SERIES('NET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8" s="779"/>
      <c r="BF48" s="780" t="e">
        <f ca="1">_xll.FDSRC("--",$A48,"AVAIL(FF_ARPT_SERIES('GROSS MARGIN','ANN',"&amp;BF$5&amp;",,'M','IS'),FF_ARPT_SERIES('GROSS PROFIT','ANN',"&amp;BF$5&amp;",,'M','IS'))/FF_ARPT_SERIES('RV','ANN',"&amp;BF$5&amp;",,'M','IS')")</f>
        <v>#NAME?</v>
      </c>
      <c r="BG48" s="780" t="e">
        <f ca="1">_xll.FDSRC("--",$A48,"AVAIL(FF_ARPT_SERIES('GROSS MARGIN','ANN',"&amp;BG$5&amp;",,'M','IS'),FF_ARPT_SERIES('GROSS PROFIT','ANN',"&amp;BG$5&amp;",,'M','IS'))/FF_ARPT_SERIES('RV','ANN',"&amp;BG$5&amp;",,'M','IS')")</f>
        <v>#NAME?</v>
      </c>
      <c r="BI48" s="779" t="e">
        <f ca="1">_xll.FDSRC("--",$A48,"AVAIL(FF_ARPT_SERIES('GROSS MARGIN','ANN',"&amp;BF$5&amp;",,'M','IS'),FF_ARPT_SERIES('GROSS PROFIT','ANN',"&amp;BF$5&amp;",,'M','IS'))")</f>
        <v>#NAME?</v>
      </c>
      <c r="BJ48" s="779" t="e">
        <f ca="1">_xll.FDSRC("--",$A48,"AVAIL(FF_ARPT_SERIES('GROSS MARGIN','ANN',"&amp;BG$5&amp;",,'M','IS'),FF_ARPT_SERIES('GROSS PROFIT','ANN',"&amp;BG$5&amp;",,'M','IS'))")</f>
        <v>#NAME?</v>
      </c>
    </row>
    <row r="49" spans="41:63" x14ac:dyDescent="0.3">
      <c r="AO49" s="779" t="e">
        <f ca="1">_xll.FDSC("--",$A49,"FF_ARPT_SERIES('RV','ANN',"&amp;AO$5&amp;",,'M','IS')")</f>
        <v>#NAME?</v>
      </c>
      <c r="AP49" s="779" t="e">
        <f ca="1">_xll.FDSC("--",$A49,"FF_ARPT_SERIES('RV','ANN',"&amp;AP$5&amp;",,'M','IS')")</f>
        <v>#NAME?</v>
      </c>
      <c r="AQ49" s="779" t="e">
        <f ca="1">_xll.FDSC("--",$A49,"FF_ARPT_SERIES('RV','ANN',"&amp;AQ$5&amp;",,'M','IS')")</f>
        <v>#NAME?</v>
      </c>
      <c r="AR49" s="779"/>
      <c r="AT49" s="779" t="e">
        <f ca="1">_xll.FDSRC("-",$A49,"AVAIL(AVAIL(AVAIL(AVAIL(FF_ARPT_SERIES('OPERATING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49" s="779" t="e">
        <f ca="1">_xll.FDSRC("-",$A49,"AVAIL(AVAIL(AVAIL(AVAIL(FF_ARPT_SERIES('OPERATING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49" s="779"/>
      <c r="AY49" s="779"/>
      <c r="AZ49" s="779"/>
      <c r="BB49" s="779" t="e">
        <f ca="1">_xll.FDSRC("-",$A49,"AVAIL(AVAIL(AVAIL(FF_ARPT_SERIES('NET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49" s="779" t="e">
        <f ca="1">_xll.FDSRC("-",$A49,"AVAIL(AVAIL(AVAIL(FF_ARPT_SERIES('NET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49" s="779"/>
      <c r="BF49" s="780" t="e">
        <f ca="1">_xll.FDSRC("--",$A49,"AVAIL(FF_ARPT_SERIES('GROSS MARGIN','ANN',"&amp;BF$5&amp;",,'M','IS'),FF_ARPT_SERIES('GROSS PROFIT','ANN',"&amp;BF$5&amp;",,'M','IS'))/FF_ARPT_SERIES('RV','ANN',"&amp;BF$5&amp;",,'M','IS')")</f>
        <v>#NAME?</v>
      </c>
      <c r="BG49" s="780" t="e">
        <f ca="1">_xll.FDSRC("--",$A49,"AVAIL(FF_ARPT_SERIES('GROSS MARGIN','ANN',"&amp;BG$5&amp;",,'M','IS'),FF_ARPT_SERIES('GROSS PROFIT','ANN',"&amp;BG$5&amp;",,'M','IS'))/FF_ARPT_SERIES('RV','ANN',"&amp;BG$5&amp;",,'M','IS')")</f>
        <v>#NAME?</v>
      </c>
      <c r="BI49" s="779" t="e">
        <f ca="1">_xll.FDSRC("--",$A49,"AVAIL(FF_ARPT_SERIES('GROSS MARGIN','ANN',"&amp;BF$5&amp;",,'M','IS'),FF_ARPT_SERIES('GROSS PROFIT','ANN',"&amp;BF$5&amp;",,'M','IS'))")</f>
        <v>#NAME?</v>
      </c>
      <c r="BJ49" s="779" t="e">
        <f ca="1">_xll.FDSRC("--",$A49,"AVAIL(FF_ARPT_SERIES('GROSS MARGIN','ANN',"&amp;BG$5&amp;",,'M','IS'),FF_ARPT_SERIES('GROSS PROFIT','ANN',"&amp;BG$5&amp;",,'M','IS'))")</f>
        <v>#NAME?</v>
      </c>
    </row>
    <row r="50" spans="41:63" x14ac:dyDescent="0.3">
      <c r="AO50" s="779" t="e">
        <f ca="1">_xll.FDSC("--",$A50,"FF_ARPT_SERIES('RV','ANN',"&amp;AO$5&amp;",,'M','IS')")</f>
        <v>#NAME?</v>
      </c>
      <c r="AP50" s="779" t="e">
        <f ca="1">_xll.FDSC("--",$A50,"FF_ARPT_SERIES('RV','ANN',"&amp;AP$5&amp;",,'M','IS')")</f>
        <v>#NAME?</v>
      </c>
      <c r="AQ50" s="779" t="e">
        <f ca="1">_xll.FDSC("--",$A50,"FF_ARPT_SERIES('RV','ANN',"&amp;AQ$5&amp;",,'M','IS')")</f>
        <v>#NAME?</v>
      </c>
      <c r="AR50" s="779"/>
      <c r="AT50" s="779" t="e">
        <f ca="1">_xll.FDSRC("-",$A50,"AVAIL(AVAIL(AVAIL(AVAIL(FF_ARPT_SERIES('OPERATING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50" s="779" t="e">
        <f ca="1">_xll.FDSRC("-",$A50,"AVAIL(AVAIL(AVAIL(AVAIL(FF_ARPT_SERIES('OPERATING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50" s="779"/>
      <c r="AY50" s="779"/>
      <c r="AZ50" s="779"/>
      <c r="BB50" s="779" t="e">
        <f ca="1">_xll.FDSRC("-",$A50,"AVAIL(AVAIL(AVAIL(FF_ARPT_SERIES('NET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50" s="779" t="e">
        <f ca="1">_xll.FDSRC("-",$A50,"AVAIL(AVAIL(AVAIL(FF_ARPT_SERIES('NET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50" s="779"/>
      <c r="BF50" s="780" t="e">
        <f ca="1">_xll.FDSRC("--",$A50,"AVAIL(FF_ARPT_SERIES('GROSS MARGIN','ANN',"&amp;BF$5&amp;",,'M','IS'),FF_ARPT_SERIES('GROSS PROFIT','ANN',"&amp;BF$5&amp;",,'M','IS'))/FF_ARPT_SERIES('RV','ANN',"&amp;BF$5&amp;",,'M','IS')")</f>
        <v>#NAME?</v>
      </c>
      <c r="BG50" s="780" t="e">
        <f ca="1">_xll.FDSRC("--",$A50,"AVAIL(FF_ARPT_SERIES('GROSS MARGIN','ANN',"&amp;BG$5&amp;",,'M','IS'),FF_ARPT_SERIES('GROSS PROFIT','ANN',"&amp;BG$5&amp;",,'M','IS'))/FF_ARPT_SERIES('RV','ANN',"&amp;BG$5&amp;",,'M','IS')")</f>
        <v>#NAME?</v>
      </c>
      <c r="BI50" s="779" t="e">
        <f ca="1">_xll.FDSRC("--",$A50,"AVAIL(FF_ARPT_SERIES('GROSS MARGIN','ANN',"&amp;BF$5&amp;",,'M','IS'),FF_ARPT_SERIES('GROSS PROFIT','ANN',"&amp;BF$5&amp;",,'M','IS'))")</f>
        <v>#NAME?</v>
      </c>
      <c r="BJ50" s="779" t="e">
        <f ca="1">_xll.FDSRC("--",$A50,"AVAIL(FF_ARPT_SERIES('GROSS MARGIN','ANN',"&amp;BG$5&amp;",,'M','IS'),FF_ARPT_SERIES('GROSS PROFIT','ANN',"&amp;BG$5&amp;",,'M','IS'))")</f>
        <v>#NAME?</v>
      </c>
    </row>
    <row r="51" spans="41:63" x14ac:dyDescent="0.3">
      <c r="AO51" s="779" t="e">
        <f ca="1">_xll.FDSC("--",$A51,"FF_ARPT_SERIES('RV','ANN',"&amp;AO$5&amp;",,'M','IS')")</f>
        <v>#NAME?</v>
      </c>
      <c r="AP51" s="779" t="e">
        <f ca="1">_xll.FDSC("--",$A51,"FF_ARPT_SERIES('RV','ANN',"&amp;AP$5&amp;",,'M','IS')")</f>
        <v>#NAME?</v>
      </c>
      <c r="AQ51" s="779" t="e">
        <f ca="1">_xll.FDSC("--",$A51,"FF_ARPT_SERIES('RV','ANN',"&amp;AQ$5&amp;",,'M','IS')")</f>
        <v>#NAME?</v>
      </c>
      <c r="AR51" s="779"/>
      <c r="AT51" s="779" t="e">
        <f ca="1">_xll.FDSRC("-",$A51,"AVAIL(AVAIL(AVAIL(AVAIL(FF_ARPT_SERIES('OPERATING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51" s="779" t="e">
        <f ca="1">_xll.FDSRC("-",$A51,"AVAIL(AVAIL(AVAIL(AVAIL(FF_ARPT_SERIES('OPERATING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51" s="779"/>
      <c r="AY51" s="779"/>
      <c r="AZ51" s="779"/>
      <c r="BB51" s="779" t="e">
        <f ca="1">_xll.FDSRC("-",$A51,"AVAIL(AVAIL(AVAIL(FF_ARPT_SERIES('NET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51" s="779" t="e">
        <f ca="1">_xll.FDSRC("-",$A51,"AVAIL(AVAIL(AVAIL(FF_ARPT_SERIES('NET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51" s="779"/>
      <c r="BF51" s="780" t="e">
        <f ca="1">_xll.FDSRC("--",$A51,"AVAIL(FF_ARPT_SERIES('GROSS MARGIN','ANN',"&amp;BF$5&amp;",,'M','IS'),FF_ARPT_SERIES('GROSS PROFIT','ANN',"&amp;BF$5&amp;",,'M','IS'))/FF_ARPT_SERIES('RV','ANN',"&amp;BF$5&amp;",,'M','IS')")</f>
        <v>#NAME?</v>
      </c>
      <c r="BG51" s="780" t="e">
        <f ca="1">_xll.FDSRC("--",$A51,"AVAIL(FF_ARPT_SERIES('GROSS MARGIN','ANN',"&amp;BG$5&amp;",,'M','IS'),FF_ARPT_SERIES('GROSS PROFIT','ANN',"&amp;BG$5&amp;",,'M','IS'))/FF_ARPT_SERIES('RV','ANN',"&amp;BG$5&amp;",,'M','IS')")</f>
        <v>#NAME?</v>
      </c>
      <c r="BI51" s="779" t="e">
        <f ca="1">_xll.FDSRC("--",$A51,"AVAIL(FF_ARPT_SERIES('GROSS MARGIN','ANN',"&amp;BF$5&amp;",,'M','IS'),FF_ARPT_SERIES('GROSS PROFIT','ANN',"&amp;BF$5&amp;",,'M','IS'))")</f>
        <v>#NAME?</v>
      </c>
      <c r="BJ51" s="779" t="e">
        <f ca="1">_xll.FDSRC("--",$A51,"AVAIL(FF_ARPT_SERIES('GROSS MARGIN','ANN',"&amp;BG$5&amp;",,'M','IS'),FF_ARPT_SERIES('GROSS PROFIT','ANN',"&amp;BG$5&amp;",,'M','IS'))")</f>
        <v>#NAME?</v>
      </c>
    </row>
    <row r="52" spans="41:63" x14ac:dyDescent="0.3">
      <c r="AO52" s="779" t="e">
        <f ca="1">_xll.FDSC("--",$A52,"FF_ARPT_SERIES('RV','ANN',"&amp;AO$5&amp;",,'M','IS')")</f>
        <v>#NAME?</v>
      </c>
      <c r="AP52" s="779" t="e">
        <f ca="1">_xll.FDSC("--",$A52,"FF_ARPT_SERIES('RV','ANN',"&amp;AP$5&amp;",,'M','IS')")</f>
        <v>#NAME?</v>
      </c>
      <c r="AQ52" s="779" t="e">
        <f ca="1">_xll.FDSC("--",$A52,"FF_ARPT_SERIES('RV','ANN',"&amp;AQ$5&amp;",,'M','IS')")</f>
        <v>#NAME?</v>
      </c>
      <c r="AR52" s="779"/>
      <c r="AT52" s="779" t="e">
        <f ca="1">_xll.FDSRC("-",$A52,"AVAIL(AVAIL(AVAIL(AVAIL(FF_ARPT_SERIES('OPERATING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52" s="779" t="e">
        <f ca="1">_xll.FDSRC("-",$A52,"AVAIL(AVAIL(AVAIL(AVAIL(FF_ARPT_SERIES('OPERATING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52" s="779"/>
      <c r="AY52" s="779"/>
      <c r="AZ52" s="779"/>
      <c r="BB52" s="779" t="e">
        <f ca="1">_xll.FDSRC("-",$A52,"AVAIL(AVAIL(AVAIL(FF_ARPT_SERIES('NET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52" s="779" t="e">
        <f ca="1">_xll.FDSRC("-",$A52,"AVAIL(AVAIL(AVAIL(FF_ARPT_SERIES('NET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52" s="779"/>
      <c r="BF52" s="780" t="e">
        <f ca="1">_xll.FDSRC("--",$A52,"AVAIL(FF_ARPT_SERIES('GROSS MARGIN','ANN',"&amp;BF$5&amp;",,'M','IS'),FF_ARPT_SERIES('GROSS PROFIT','ANN',"&amp;BF$5&amp;",,'M','IS'))/FF_ARPT_SERIES('RV','ANN',"&amp;BF$5&amp;",,'M','IS')")</f>
        <v>#NAME?</v>
      </c>
      <c r="BG52" s="780" t="e">
        <f ca="1">_xll.FDSRC("--",$A52,"AVAIL(FF_ARPT_SERIES('GROSS MARGIN','ANN',"&amp;BG$5&amp;",,'M','IS'),FF_ARPT_SERIES('GROSS PROFIT','ANN',"&amp;BG$5&amp;",,'M','IS'))/FF_ARPT_SERIES('RV','ANN',"&amp;BG$5&amp;",,'M','IS')")</f>
        <v>#NAME?</v>
      </c>
      <c r="BI52" s="779" t="e">
        <f ca="1">_xll.FDSRC("--",$A52,"AVAIL(FF_ARPT_SERIES('GROSS MARGIN','ANN',"&amp;BF$5&amp;",,'M','IS'),FF_ARPT_SERIES('GROSS PROFIT','ANN',"&amp;BF$5&amp;",,'M','IS'))")</f>
        <v>#NAME?</v>
      </c>
      <c r="BJ52" s="779" t="e">
        <f ca="1">_xll.FDSRC("--",$A52,"AVAIL(FF_ARPT_SERIES('GROSS MARGIN','ANN',"&amp;BG$5&amp;",,'M','IS'),FF_ARPT_SERIES('GROSS PROFIT','ANN',"&amp;BG$5&amp;",,'M','IS'))")</f>
        <v>#NAME?</v>
      </c>
    </row>
    <row r="53" spans="41:63" x14ac:dyDescent="0.3">
      <c r="AO53" s="779" t="e">
        <f ca="1">_xll.FDSC("--",$A53,"FF_ARPT_SERIES('RV','ANN',"&amp;AO$5&amp;",,'M','IS')")</f>
        <v>#NAME?</v>
      </c>
      <c r="AP53" s="779" t="e">
        <f ca="1">_xll.FDSC("--",$A53,"FF_ARPT_SERIES('RV','ANN',"&amp;AP$5&amp;",,'M','IS')")</f>
        <v>#NAME?</v>
      </c>
      <c r="AQ53" s="779" t="e">
        <f ca="1">_xll.FDSC("--",$A53,"FF_ARPT_SERIES('RV','ANN',"&amp;AQ$5&amp;",,'M','IS')")</f>
        <v>#NAME?</v>
      </c>
      <c r="AR53" s="779"/>
      <c r="AT53" s="779" t="e">
        <f ca="1">_xll.FDSRC("-",$A53,"AVAIL(AVAIL(AVAIL(AVAIL(FF_ARPT_SERIES('OPERATING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53" s="779" t="e">
        <f ca="1">_xll.FDSRC("-",$A53,"AVAIL(AVAIL(AVAIL(AVAIL(FF_ARPT_SERIES('OPERATING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53" s="779"/>
      <c r="AY53" s="779"/>
      <c r="AZ53" s="779"/>
      <c r="BB53" s="779" t="e">
        <f ca="1">_xll.FDSRC("-",$A53,"AVAIL(AVAIL(AVAIL(FF_ARPT_SERIES('NET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53" s="779" t="e">
        <f ca="1">_xll.FDSRC("-",$A53,"AVAIL(AVAIL(AVAIL(FF_ARPT_SERIES('NET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53" s="779"/>
      <c r="BF53" s="780" t="e">
        <f ca="1">_xll.FDSRC("--",$A53,"AVAIL(FF_ARPT_SERIES('GROSS MARGIN','ANN',"&amp;BF$5&amp;",,'M','IS'),FF_ARPT_SERIES('GROSS PROFIT','ANN',"&amp;BF$5&amp;",,'M','IS'))/FF_ARPT_SERIES('RV','ANN',"&amp;BF$5&amp;",,'M','IS')")</f>
        <v>#NAME?</v>
      </c>
      <c r="BG53" s="780" t="e">
        <f ca="1">_xll.FDSRC("--",$A53,"AVAIL(FF_ARPT_SERIES('GROSS MARGIN','ANN',"&amp;BG$5&amp;",,'M','IS'),FF_ARPT_SERIES('GROSS PROFIT','ANN',"&amp;BG$5&amp;",,'M','IS'))/FF_ARPT_SERIES('RV','ANN',"&amp;BG$5&amp;",,'M','IS')")</f>
        <v>#NAME?</v>
      </c>
      <c r="BI53" s="779" t="e">
        <f ca="1">_xll.FDSRC("--",$A53,"AVAIL(FF_ARPT_SERIES('GROSS MARGIN','ANN',"&amp;BF$5&amp;",,'M','IS'),FF_ARPT_SERIES('GROSS PROFIT','ANN',"&amp;BF$5&amp;",,'M','IS'))")</f>
        <v>#NAME?</v>
      </c>
      <c r="BJ53" s="779" t="e">
        <f ca="1">_xll.FDSRC("--",$A53,"AVAIL(FF_ARPT_SERIES('GROSS MARGIN','ANN',"&amp;BG$5&amp;",,'M','IS'),FF_ARPT_SERIES('GROSS PROFIT','ANN',"&amp;BG$5&amp;",,'M','IS'))")</f>
        <v>#NAME?</v>
      </c>
    </row>
    <row r="54" spans="41:63" x14ac:dyDescent="0.3">
      <c r="AO54" s="779" t="e">
        <f ca="1">_xll.FDSC("--",$A54,"FF_ARPT_SERIES('RV','ANN',"&amp;AO$5&amp;",,'M','IS')")</f>
        <v>#NAME?</v>
      </c>
      <c r="AP54" s="779" t="e">
        <f ca="1">_xll.FDSC("--",$A54,"FF_ARPT_SERIES('RV','ANN',"&amp;AP$5&amp;",,'M','IS')")</f>
        <v>#NAME?</v>
      </c>
      <c r="AQ54" s="779" t="e">
        <f ca="1">_xll.FDSC("--",$A54,"FF_ARPT_SERIES('RV','ANN',"&amp;AQ$5&amp;",,'M','IS')")</f>
        <v>#NAME?</v>
      </c>
      <c r="AR54" s="779"/>
      <c r="AT54" s="779" t="e">
        <f ca="1">_xll.FDSRC("-",$A54,"AVAIL(AVAIL(AVAIL(AVAIL(FF_ARPT_SERIES('OPERATING INCOME / LOSS','ANN',"&amp;AT$5&amp;",,'M','IS'),FF_ARPT_SERIES('INCOME / LOSS FROM OPERATIONS','ANN',"&amp;AT$5&amp;",,'M','IS')),FF_ARPT_SERIES('LOSS / INCOME FROM OPERATIONS','ANN',"&amp;AT$5&amp;",,'M','IS')),FF_ARPT_SERIES('OPERATING LOSS','ANN',"&amp;AT$5&amp;",,'M','IS')),FF_ARPT_SERIES('LOSS FROM OPERATIONS','ANN',"&amp;AT$5&amp;",,'M','IS'))")</f>
        <v>#NAME?</v>
      </c>
      <c r="AU54" s="779" t="e">
        <f ca="1">_xll.FDSRC("-",$A54,"AVAIL(AVAIL(AVAIL(AVAIL(FF_ARPT_SERIES('OPERATING INCOME / LOSS','ANN',"&amp;AU$5&amp;",,'M','IS'),FF_ARPT_SERIES('INCOME / LOSS FROM OPERATIONS','ANN',"&amp;AU$5&amp;",,'M','IS')),FF_ARPT_SERIES('LOSS / INCOME FROM OPERATIONS','ANN',"&amp;AU$5&amp;",,'M','IS')),FF_ARPT_SERIES('OPERATING LOSS','ANN',"&amp;AU$5&amp;",,'M','IS')),FF_ARPT_SERIES('LOSS FROM OPERATIONS','ANN',"&amp;AU$5&amp;",,'M','IS'))")</f>
        <v>#NAME?</v>
      </c>
      <c r="AX54" s="779"/>
      <c r="AY54" s="779"/>
      <c r="AZ54" s="779"/>
      <c r="BB54" s="779" t="e">
        <f ca="1">_xll.FDSRC("-",$A54,"AVAIL(AVAIL(AVAIL(FF_ARPT_SERIES('NET CASH PROVIDED BY OPERATING ACTIVITIES','ANN',"&amp;BB$5&amp;",,'M','CF'),FF_ARPT_SERIES('NET CASH PROVIDED BY / USED IN OPERATING ACTIVITIES','ANN',"&amp;BB$5&amp;",,'M','CF')),FF_ARPT_SERIES('NET CASH USED IN / PROVIDED BY OPERATING ACTIVITIES','ANN',"&amp;BB$5&amp;",,'M','CF')),FF_ARPT_SERIES('CHANGE IN CASH FROM OPERATING ACTIVITIES','ANN',"&amp;BB$5&amp;",,'M','CF'))")</f>
        <v>#NAME?</v>
      </c>
      <c r="BC54" s="779" t="e">
        <f ca="1">_xll.FDSRC("-",$A54,"AVAIL(AVAIL(AVAIL(FF_ARPT_SERIES('NET CASH PROVIDED BY OPERATING ACTIVITIES','ANN',"&amp;BC$5&amp;",,'M','CF'),FF_ARPT_SERIES('NET CASH PROVIDED BY / USED IN OPERATING ACTIVITIES','ANN',"&amp;BC$5&amp;",,'M','CF')),FF_ARPT_SERIES('NET CASH USED IN / PROVIDED BY OPERATING ACTIVITIES','ANN',"&amp;BC$5&amp;",,'M','CF')),FF_ARPT_SERIES('CHANGE IN CASH FROM OPERATING ACTIVITIES','ANN',"&amp;BC$5&amp;",,'M','CF'))")</f>
        <v>#NAME?</v>
      </c>
      <c r="BD54" s="779"/>
      <c r="BF54" s="780" t="e">
        <f ca="1">_xll.FDSRC("--",$A54,"AVAIL(FF_ARPT_SERIES('GROSS MARGIN','ANN',"&amp;BF$5&amp;",,'M','IS'),FF_ARPT_SERIES('GROSS PROFIT','ANN',"&amp;BF$5&amp;",,'M','IS'))/FF_ARPT_SERIES('RV','ANN',"&amp;BF$5&amp;",,'M','IS')")</f>
        <v>#NAME?</v>
      </c>
      <c r="BG54" s="780" t="e">
        <f ca="1">_xll.FDSRC("--",$A54,"AVAIL(FF_ARPT_SERIES('GROSS MARGIN','ANN',"&amp;BG$5&amp;",,'M','IS'),FF_ARPT_SERIES('GROSS PROFIT','ANN',"&amp;BG$5&amp;",,'M','IS'))/FF_ARPT_SERIES('RV','ANN',"&amp;BG$5&amp;",,'M','IS')")</f>
        <v>#NAME?</v>
      </c>
      <c r="BI54" s="779" t="e">
        <f ca="1">_xll.FDSRC("--",$A54,"AVAIL(FF_ARPT_SERIES('GROSS MARGIN','ANN',"&amp;BF$5&amp;",,'M','IS'),FF_ARPT_SERIES('GROSS PROFIT','ANN',"&amp;BF$5&amp;",,'M','IS'))")</f>
        <v>#NAME?</v>
      </c>
      <c r="BJ54" s="779" t="e">
        <f ca="1">_xll.FDSRC("--",$A54,"AVAIL(FF_ARPT_SERIES('GROSS MARGIN','ANN',"&amp;BG$5&amp;",,'M','IS'),FF_ARPT_SERIES('GROSS PROFIT','ANN',"&amp;BG$5&amp;",,'M','IS'))")</f>
        <v>#NAME?</v>
      </c>
    </row>
    <row r="56" spans="41:63" x14ac:dyDescent="0.3">
      <c r="AO56" s="790"/>
      <c r="AP56" s="790"/>
      <c r="AQ56" s="790"/>
      <c r="AR56" s="790"/>
      <c r="AS56" s="791"/>
      <c r="AT56" s="791"/>
      <c r="AU56" s="791"/>
      <c r="AV56" s="791"/>
      <c r="AW56" s="791"/>
      <c r="AX56" s="819" t="s">
        <v>465</v>
      </c>
      <c r="AY56" s="790"/>
      <c r="AZ56" s="790"/>
      <c r="BA56" s="791"/>
      <c r="BB56" s="791"/>
      <c r="BC56" s="791"/>
      <c r="BD56" s="791"/>
      <c r="BE56" s="791"/>
      <c r="BF56" s="791"/>
      <c r="BG56" s="791"/>
      <c r="BH56" s="791"/>
    </row>
    <row r="57" spans="41:63" x14ac:dyDescent="0.3">
      <c r="AO57" s="792" t="s">
        <v>247</v>
      </c>
      <c r="AP57" s="793"/>
      <c r="AQ57" s="793"/>
      <c r="AR57" s="793"/>
      <c r="AS57" s="785"/>
      <c r="AT57" s="792" t="s">
        <v>187</v>
      </c>
      <c r="AU57" s="793"/>
      <c r="AV57" s="793"/>
      <c r="AW57" s="785"/>
      <c r="AX57" s="792" t="s">
        <v>186</v>
      </c>
      <c r="AY57" s="793"/>
      <c r="AZ57" s="793"/>
      <c r="BA57" s="789"/>
      <c r="BB57" s="792" t="s">
        <v>450</v>
      </c>
      <c r="BC57" s="793"/>
      <c r="BD57" s="793"/>
      <c r="BE57" s="789"/>
      <c r="BF57" s="792" t="s">
        <v>424</v>
      </c>
      <c r="BG57" s="793"/>
      <c r="BH57" s="789"/>
    </row>
    <row r="58" spans="41:63" x14ac:dyDescent="0.3">
      <c r="AO58" s="802">
        <f ca="1">$A$4</f>
        <v>2024</v>
      </c>
      <c r="AP58" s="802">
        <f ca="1">AO58+1</f>
        <v>2025</v>
      </c>
      <c r="AQ58" s="803">
        <f ca="1">AP58+1</f>
        <v>2026</v>
      </c>
      <c r="AR58" s="803">
        <f ca="1">AQ58+1</f>
        <v>2027</v>
      </c>
      <c r="AS58" s="795"/>
      <c r="AT58" s="802">
        <f ca="1">AP58</f>
        <v>2025</v>
      </c>
      <c r="AU58" s="803">
        <f ca="1">AQ58</f>
        <v>2026</v>
      </c>
      <c r="AV58" s="803">
        <f ca="1">AR58</f>
        <v>2027</v>
      </c>
      <c r="AW58" s="795"/>
      <c r="AX58" s="802">
        <f ca="1">AT58</f>
        <v>2025</v>
      </c>
      <c r="AY58" s="802">
        <f t="shared" ref="AY58:AZ58" ca="1" si="22">AU58</f>
        <v>2026</v>
      </c>
      <c r="AZ58" s="802">
        <f t="shared" ca="1" si="22"/>
        <v>2027</v>
      </c>
      <c r="BA58" s="795"/>
      <c r="BB58" s="802">
        <f ca="1">AX58</f>
        <v>2025</v>
      </c>
      <c r="BC58" s="802">
        <f t="shared" ref="BC58:BD58" ca="1" si="23">AY58</f>
        <v>2026</v>
      </c>
      <c r="BD58" s="802">
        <f t="shared" ca="1" si="23"/>
        <v>2027</v>
      </c>
      <c r="BE58" s="795"/>
      <c r="BF58" s="802">
        <f ca="1">BB58</f>
        <v>2025</v>
      </c>
      <c r="BG58" s="802">
        <f ca="1">BC58</f>
        <v>2026</v>
      </c>
      <c r="BH58" s="795"/>
      <c r="BK58" s="783"/>
    </row>
    <row r="59" spans="41:63" x14ac:dyDescent="0.3">
      <c r="AO59" s="779" t="e">
        <f t="array" aca="1" ref="AO59" ca="1">_xll.FDSC("--",$A59,"FF_SALES(ANN,"&amp;AO$5&amp;")")</f>
        <v>#NAME?</v>
      </c>
      <c r="AP59" s="779" t="e">
        <f t="array" aca="1" ref="AP59" ca="1">_xll.FDSC("--",$A59,"FF_SALES(ANN,"&amp;AP$5&amp;")")</f>
        <v>#NAME?</v>
      </c>
      <c r="AQ59" s="779" t="e">
        <f t="array" aca="1" ref="AQ59" ca="1">_xll.FDSC("--",$A59,"FF_SALES(ANN,"&amp;AQ$5&amp;")")</f>
        <v>#NAME?</v>
      </c>
      <c r="AR59" s="779"/>
      <c r="AS59" s="809"/>
      <c r="AT59" s="779" t="e">
        <f ca="1">_xll.FDSC("--",$A59,"FF_EBIT_OPER(ANN,"&amp;AT$5&amp;")")</f>
        <v>#NAME?</v>
      </c>
      <c r="AU59" s="779" t="e">
        <f ca="1">_xll.FDSC("--",$A59,"FF_EBIT_OPER(ANN,"&amp;AU$5&amp;")")</f>
        <v>#NAME?</v>
      </c>
      <c r="AV59" s="779"/>
      <c r="AW59" s="809"/>
      <c r="AX59" s="779" t="e">
        <f ca="1">_xll.FDSC("--",$A59,"FF_EBITDA_OPER(ANN,"&amp;AX$5&amp;")")</f>
        <v>#NAME?</v>
      </c>
      <c r="AY59" s="779" t="e">
        <f ca="1">_xll.FDSC("--",$A59,"FF_EBITDA_OPER(ANN,"&amp;AY$5&amp;")")</f>
        <v>#NAME?</v>
      </c>
      <c r="AZ59" s="779"/>
      <c r="BA59" s="810"/>
      <c r="BB59" s="779" t="e">
        <f ca="1">_xll.FDSC("--",$A59,"FF_FREE_CF(ANN_FCF,"&amp;BB$5&amp;")")</f>
        <v>#NAME?</v>
      </c>
      <c r="BC59" s="779" t="e">
        <f ca="1">_xll.FDSC("--",$A59,"FF_FREE_CF(ANN_FCF,"&amp;BC$5&amp;")")</f>
        <v>#NAME?</v>
      </c>
      <c r="BD59" s="779"/>
      <c r="BE59" s="810"/>
      <c r="BF59" s="780" t="e">
        <f ca="1">_xll.FDSC("--",$A59,"FF_GROSS_MGN(ANN,"&amp;BF$5&amp;")/100")</f>
        <v>#NAME?</v>
      </c>
      <c r="BG59" s="780" t="e">
        <f ca="1">_xll.FDSC("--",$A59,"FF_GROSS_MGN(ANN,"&amp;BG$5&amp;")/100")</f>
        <v>#NAME?</v>
      </c>
      <c r="BH59" s="810"/>
    </row>
    <row r="60" spans="41:63" x14ac:dyDescent="0.3">
      <c r="AO60" s="779" t="e">
        <f t="array" aca="1" ref="AO60" ca="1">_xll.FDSC("--",$A60,"FF_SALES(ANN,"&amp;AO$5&amp;")")</f>
        <v>#NAME?</v>
      </c>
      <c r="AP60" s="779" t="e">
        <f t="array" aca="1" ref="AP60" ca="1">_xll.FDSC("--",$A60,"FF_SALES(ANN,"&amp;AP$5&amp;")")</f>
        <v>#NAME?</v>
      </c>
      <c r="AQ60" s="779" t="e">
        <f t="array" aca="1" ref="AQ60" ca="1">_xll.FDSC("--",$A60,"FF_SALES(ANN,"&amp;AQ$5&amp;")")</f>
        <v>#NAME?</v>
      </c>
      <c r="AT60" s="779" t="e">
        <f ca="1">_xll.FDSC("--",$A60,"FF_EBIT_OPER(ANN,"&amp;AT$5&amp;")")</f>
        <v>#NAME?</v>
      </c>
      <c r="AU60" s="779" t="e">
        <f ca="1">_xll.FDSC("--",$A60,"FF_EBIT_OPER(ANN,"&amp;AU$5&amp;")")</f>
        <v>#NAME?</v>
      </c>
      <c r="AV60" s="779"/>
      <c r="AX60" s="779" t="e">
        <f ca="1">_xll.FDSC("--",$A60,"FF_EBITDA_OPER(ANN,"&amp;AX$5&amp;")")</f>
        <v>#NAME?</v>
      </c>
      <c r="AY60" s="779" t="e">
        <f ca="1">_xll.FDSC("--",$A60,"FF_EBITDA_OPER(ANN,"&amp;AY$5&amp;")")</f>
        <v>#NAME?</v>
      </c>
      <c r="BB60" s="779" t="e">
        <f ca="1">_xll.FDSC("--",$A60,"FF_FREE_CF(ANN_FCF,"&amp;BB$5&amp;")")</f>
        <v>#NAME?</v>
      </c>
      <c r="BC60" s="779" t="e">
        <f ca="1">_xll.FDSC("--",$A60,"FF_FREE_CF(ANN_FCF,"&amp;BC$5&amp;")")</f>
        <v>#NAME?</v>
      </c>
      <c r="BF60" s="780" t="e">
        <f ca="1">_xll.FDSC("--",$A60,"FF_GROSS_MGN(ANN,"&amp;BF$5&amp;")/100")</f>
        <v>#NAME?</v>
      </c>
      <c r="BG60" s="780" t="e">
        <f ca="1">_xll.FDSC("--",$A60,"FF_GROSS_MGN(ANN,"&amp;BG$5&amp;")/100")</f>
        <v>#NAME?</v>
      </c>
    </row>
    <row r="61" spans="41:63" x14ac:dyDescent="0.3">
      <c r="AO61" s="779" t="e">
        <f t="array" aca="1" ref="AO61" ca="1">_xll.FDSC("--",$A61,"FF_SALES(ANN,"&amp;AO$5&amp;")")</f>
        <v>#NAME?</v>
      </c>
      <c r="AP61" s="779" t="e">
        <f t="array" aca="1" ref="AP61" ca="1">_xll.FDSC("--",$A61,"FF_SALES(ANN,"&amp;AP$5&amp;")")</f>
        <v>#NAME?</v>
      </c>
      <c r="AQ61" s="779" t="e">
        <f t="array" aca="1" ref="AQ61" ca="1">_xll.FDSC("--",$A61,"FF_SALES(ANN,"&amp;AQ$5&amp;")")</f>
        <v>#NAME?</v>
      </c>
      <c r="AT61" s="779" t="e">
        <f ca="1">_xll.FDSC("--",$A61,"FF_EBIT_OPER(ANN,"&amp;AT$5&amp;")")</f>
        <v>#NAME?</v>
      </c>
      <c r="AU61" s="779" t="e">
        <f ca="1">_xll.FDSC("--",$A61,"FF_EBIT_OPER(ANN,"&amp;AU$5&amp;")")</f>
        <v>#NAME?</v>
      </c>
      <c r="AV61" s="779"/>
      <c r="AX61" s="779" t="e">
        <f ca="1">_xll.FDSC("--",$A61,"FF_EBITDA_OPER(ANN,"&amp;AX$5&amp;")")</f>
        <v>#NAME?</v>
      </c>
      <c r="AY61" s="779" t="e">
        <f ca="1">_xll.FDSC("--",$A61,"FF_EBITDA_OPER(ANN,"&amp;AY$5&amp;")")</f>
        <v>#NAME?</v>
      </c>
      <c r="BB61" s="779" t="e">
        <f ca="1">_xll.FDSC("--",$A61,"FF_FREE_CF(ANN_FCF,"&amp;BB$5&amp;")")</f>
        <v>#NAME?</v>
      </c>
      <c r="BC61" s="779" t="e">
        <f ca="1">_xll.FDSC("--",$A61,"FF_FREE_CF(ANN_FCF,"&amp;BC$5&amp;")")</f>
        <v>#NAME?</v>
      </c>
      <c r="BF61" s="780" t="e">
        <f ca="1">_xll.FDSC("--",$A61,"FF_GROSS_MGN(ANN,"&amp;BF$5&amp;")/100")</f>
        <v>#NAME?</v>
      </c>
      <c r="BG61" s="780" t="e">
        <f ca="1">_xll.FDSC("--",$A61,"FF_GROSS_MGN(ANN,"&amp;BG$5&amp;")/100")</f>
        <v>#NAME?</v>
      </c>
      <c r="BK61" s="783"/>
    </row>
    <row r="62" spans="41:63" x14ac:dyDescent="0.3">
      <c r="AO62" s="779" t="e">
        <f t="array" aca="1" ref="AO62" ca="1">_xll.FDSC("--",$A62,"FF_SALES(ANN,"&amp;AO$5&amp;")")</f>
        <v>#NAME?</v>
      </c>
      <c r="AP62" s="779" t="e">
        <f t="array" aca="1" ref="AP62" ca="1">_xll.FDSC("--",$A62,"FF_SALES(ANN,"&amp;AP$5&amp;")")</f>
        <v>#NAME?</v>
      </c>
      <c r="AQ62" s="779" t="e">
        <f t="array" aca="1" ref="AQ62" ca="1">_xll.FDSC("--",$A62,"FF_SALES(ANN,"&amp;AQ$5&amp;")")</f>
        <v>#NAME?</v>
      </c>
      <c r="AT62" s="779" t="e">
        <f ca="1">_xll.FDSC("--",$A62,"FF_EBIT_OPER(ANN,"&amp;AT$5&amp;")")</f>
        <v>#NAME?</v>
      </c>
      <c r="AU62" s="779" t="e">
        <f ca="1">_xll.FDSC("--",$A62,"FF_EBIT_OPER(ANN,"&amp;AU$5&amp;")")</f>
        <v>#NAME?</v>
      </c>
      <c r="AV62" s="779"/>
      <c r="AX62" s="779" t="e">
        <f ca="1">_xll.FDSC("--",$A62,"FF_EBITDA_OPER(ANN,"&amp;AX$5&amp;")")</f>
        <v>#NAME?</v>
      </c>
      <c r="AY62" s="779" t="e">
        <f ca="1">_xll.FDSC("--",$A62,"FF_EBITDA_OPER(ANN,"&amp;AY$5&amp;")")</f>
        <v>#NAME?</v>
      </c>
      <c r="BB62" s="779" t="e">
        <f ca="1">_xll.FDSC("--",$A62,"FF_FREE_CF(ANN_FCF,"&amp;BB$5&amp;")")</f>
        <v>#NAME?</v>
      </c>
      <c r="BC62" s="779" t="e">
        <f ca="1">_xll.FDSC("--",$A62,"FF_FREE_CF(ANN_FCF,"&amp;BC$5&amp;")")</f>
        <v>#NAME?</v>
      </c>
      <c r="BF62" s="780" t="e">
        <f ca="1">_xll.FDSC("--",$A62,"FF_GROSS_MGN(ANN,"&amp;BF$5&amp;")/100")</f>
        <v>#NAME?</v>
      </c>
      <c r="BG62" s="780" t="e">
        <f ca="1">_xll.FDSC("--",$A62,"FF_GROSS_MGN(ANN,"&amp;BG$5&amp;")/100")</f>
        <v>#NAME?</v>
      </c>
    </row>
    <row r="63" spans="41:63" x14ac:dyDescent="0.3">
      <c r="AO63" s="779" t="e">
        <f t="array" aca="1" ref="AO63" ca="1">_xll.FDSC("--",$A63,"FF_SALES(ANN,"&amp;AO$5&amp;")")</f>
        <v>#NAME?</v>
      </c>
      <c r="AP63" s="779" t="e">
        <f t="array" aca="1" ref="AP63" ca="1">_xll.FDSC("--",$A63,"FF_SALES(ANN,"&amp;AP$5&amp;")")</f>
        <v>#NAME?</v>
      </c>
      <c r="AQ63" s="779" t="e">
        <f t="array" aca="1" ref="AQ63" ca="1">_xll.FDSC("--",$A63,"FF_SALES(ANN,"&amp;AQ$5&amp;")")</f>
        <v>#NAME?</v>
      </c>
      <c r="AT63" s="779" t="e">
        <f ca="1">_xll.FDSC("--",$A63,"FF_EBIT_OPER(ANN,"&amp;AT$5&amp;")")</f>
        <v>#NAME?</v>
      </c>
      <c r="AU63" s="779" t="e">
        <f ca="1">_xll.FDSC("--",$A63,"FF_EBIT_OPER(ANN,"&amp;AU$5&amp;")")</f>
        <v>#NAME?</v>
      </c>
      <c r="AV63" s="779"/>
      <c r="AX63" s="779" t="e">
        <f ca="1">_xll.FDSC("--",$A63,"FF_EBITDA_OPER(ANN,"&amp;AX$5&amp;")")</f>
        <v>#NAME?</v>
      </c>
      <c r="AY63" s="779" t="e">
        <f ca="1">_xll.FDSC("--",$A63,"FF_EBITDA_OPER(ANN,"&amp;AY$5&amp;")")</f>
        <v>#NAME?</v>
      </c>
      <c r="BB63" s="779" t="e">
        <f ca="1">_xll.FDSC("--",$A63,"FF_FREE_CF(ANN_FCF,"&amp;BB$5&amp;")")</f>
        <v>#NAME?</v>
      </c>
      <c r="BC63" s="779" t="e">
        <f ca="1">_xll.FDSC("--",$A63,"FF_FREE_CF(ANN_FCF,"&amp;BC$5&amp;")")</f>
        <v>#NAME?</v>
      </c>
      <c r="BF63" s="780" t="e">
        <f ca="1">_xll.FDSC("--",$A63,"FF_GROSS_MGN(ANN,"&amp;BF$5&amp;")/100")</f>
        <v>#NAME?</v>
      </c>
      <c r="BG63" s="780" t="e">
        <f ca="1">_xll.FDSC("--",$A63,"FF_GROSS_MGN(ANN,"&amp;BG$5&amp;")/100")</f>
        <v>#NAME?</v>
      </c>
    </row>
    <row r="64" spans="41:63" x14ac:dyDescent="0.3">
      <c r="AO64" s="779" t="e">
        <f t="array" aca="1" ref="AO64" ca="1">_xll.FDSC("--",$A64,"FF_SALES(ANN,"&amp;AO$5&amp;")")</f>
        <v>#NAME?</v>
      </c>
      <c r="AP64" s="779" t="e">
        <f t="array" aca="1" ref="AP64" ca="1">_xll.FDSC("--",$A64,"FF_SALES(ANN,"&amp;AP$5&amp;")")</f>
        <v>#NAME?</v>
      </c>
      <c r="AQ64" s="779" t="e">
        <f t="array" aca="1" ref="AQ64" ca="1">_xll.FDSC("--",$A64,"FF_SALES(ANN,"&amp;AQ$5&amp;")")</f>
        <v>#NAME?</v>
      </c>
      <c r="AT64" s="779" t="e">
        <f ca="1">_xll.FDSC("--",$A64,"FF_EBIT_OPER(ANN,"&amp;AT$5&amp;")")</f>
        <v>#NAME?</v>
      </c>
      <c r="AU64" s="779" t="e">
        <f ca="1">_xll.FDSC("--",$A64,"FF_EBIT_OPER(ANN,"&amp;AU$5&amp;")")</f>
        <v>#NAME?</v>
      </c>
      <c r="AV64" s="779"/>
      <c r="AX64" s="779" t="e">
        <f ca="1">_xll.FDSC("--",$A64,"FF_EBITDA_OPER(ANN,"&amp;AX$5&amp;")")</f>
        <v>#NAME?</v>
      </c>
      <c r="AY64" s="779" t="e">
        <f ca="1">_xll.FDSC("--",$A64,"FF_EBITDA_OPER(ANN,"&amp;AY$5&amp;")")</f>
        <v>#NAME?</v>
      </c>
      <c r="BB64" s="779" t="e">
        <f ca="1">_xll.FDSC("--",$A64,"FF_FREE_CF(ANN_FCF,"&amp;BB$5&amp;")")</f>
        <v>#NAME?</v>
      </c>
      <c r="BC64" s="779" t="e">
        <f ca="1">_xll.FDSC("--",$A64,"FF_FREE_CF(ANN_FCF,"&amp;BC$5&amp;")")</f>
        <v>#NAME?</v>
      </c>
      <c r="BF64" s="780" t="e">
        <f ca="1">_xll.FDSC("--",$A64,"FF_GROSS_MGN(ANN,"&amp;BF$5&amp;")/100")</f>
        <v>#NAME?</v>
      </c>
      <c r="BG64" s="780" t="e">
        <f ca="1">_xll.FDSC("--",$A64,"FF_GROSS_MGN(ANN,"&amp;BG$5&amp;")/100")</f>
        <v>#NAME?</v>
      </c>
    </row>
    <row r="65" spans="41:60" x14ac:dyDescent="0.3">
      <c r="AO65" s="779" t="e">
        <f t="array" aca="1" ref="AO65" ca="1">_xll.FDSC("--",$A65,"FF_SALES(ANN,"&amp;AO$5&amp;")")</f>
        <v>#NAME?</v>
      </c>
      <c r="AP65" s="779" t="e">
        <f t="array" aca="1" ref="AP65" ca="1">_xll.FDSC("--",$A65,"FF_SALES(ANN,"&amp;AP$5&amp;")")</f>
        <v>#NAME?</v>
      </c>
      <c r="AQ65" s="779" t="e">
        <f t="array" aca="1" ref="AQ65" ca="1">_xll.FDSC("--",$A65,"FF_SALES(ANN,"&amp;AQ$5&amp;")")</f>
        <v>#NAME?</v>
      </c>
      <c r="AT65" s="779" t="e">
        <f ca="1">_xll.FDSC("--",$A65,"FF_EBIT_OPER(ANN,"&amp;AT$5&amp;")")</f>
        <v>#NAME?</v>
      </c>
      <c r="AU65" s="779" t="e">
        <f ca="1">_xll.FDSC("--",$A65,"FF_EBIT_OPER(ANN,"&amp;AU$5&amp;")")</f>
        <v>#NAME?</v>
      </c>
      <c r="AV65" s="779"/>
      <c r="AX65" s="779" t="e">
        <f ca="1">_xll.FDSC("--",$A65,"FF_EBITDA_OPER(ANN,"&amp;AX$5&amp;")")</f>
        <v>#NAME?</v>
      </c>
      <c r="AY65" s="779" t="e">
        <f ca="1">_xll.FDSC("--",$A65,"FF_EBITDA_OPER(ANN,"&amp;AY$5&amp;")")</f>
        <v>#NAME?</v>
      </c>
      <c r="BB65" s="779" t="e">
        <f ca="1">_xll.FDSC("--",$A65,"FF_FREE_CF(ANN_FCF,"&amp;BB$5&amp;")")</f>
        <v>#NAME?</v>
      </c>
      <c r="BC65" s="779" t="e">
        <f ca="1">_xll.FDSC("--",$A65,"FF_FREE_CF(ANN_FCF,"&amp;BC$5&amp;")")</f>
        <v>#NAME?</v>
      </c>
      <c r="BF65" s="780" t="e">
        <f ca="1">_xll.FDSC("--",$A65,"FF_GROSS_MGN(ANN,"&amp;BF$5&amp;")/100")</f>
        <v>#NAME?</v>
      </c>
      <c r="BG65" s="780" t="e">
        <f ca="1">_xll.FDSC("--",$A65,"FF_GROSS_MGN(ANN,"&amp;BG$5&amp;")/100")</f>
        <v>#NAME?</v>
      </c>
    </row>
    <row r="66" spans="41:60" x14ac:dyDescent="0.3">
      <c r="AO66" s="779" t="e">
        <f t="array" aca="1" ref="AO66" ca="1">_xll.FDSC("--",$A66,"FF_SALES(ANN,"&amp;AO$5&amp;")")</f>
        <v>#NAME?</v>
      </c>
      <c r="AP66" s="779" t="e">
        <f t="array" aca="1" ref="AP66" ca="1">_xll.FDSC("--",$A66,"FF_SALES(ANN,"&amp;AP$5&amp;")")</f>
        <v>#NAME?</v>
      </c>
      <c r="AQ66" s="779" t="e">
        <f t="array" aca="1" ref="AQ66" ca="1">_xll.FDSC("--",$A66,"FF_SALES(ANN,"&amp;AQ$5&amp;")")</f>
        <v>#NAME?</v>
      </c>
      <c r="AT66" s="779" t="e">
        <f ca="1">_xll.FDSC("--",$A66,"FF_EBIT_OPER(ANN,"&amp;AT$5&amp;")")</f>
        <v>#NAME?</v>
      </c>
      <c r="AU66" s="779" t="e">
        <f ca="1">_xll.FDSC("--",$A66,"FF_EBIT_OPER(ANN,"&amp;AU$5&amp;")")</f>
        <v>#NAME?</v>
      </c>
      <c r="AV66" s="779"/>
      <c r="AX66" s="779" t="e">
        <f ca="1">_xll.FDSC("--",$A66,"FF_EBITDA_OPER(ANN,"&amp;AX$5&amp;")")</f>
        <v>#NAME?</v>
      </c>
      <c r="AY66" s="779" t="e">
        <f ca="1">_xll.FDSC("--",$A66,"FF_EBITDA_OPER(ANN,"&amp;AY$5&amp;")")</f>
        <v>#NAME?</v>
      </c>
      <c r="BB66" s="779" t="e">
        <f ca="1">_xll.FDSC("--",$A66,"FF_FREE_CF(ANN_FCF,"&amp;BB$5&amp;")")</f>
        <v>#NAME?</v>
      </c>
      <c r="BC66" s="779" t="e">
        <f ca="1">_xll.FDSC("--",$A66,"FF_FREE_CF(ANN_FCF,"&amp;BC$5&amp;")")</f>
        <v>#NAME?</v>
      </c>
      <c r="BF66" s="780" t="e">
        <f ca="1">_xll.FDSC("--",$A66,"FF_GROSS_MGN(ANN,"&amp;BF$5&amp;")/100")</f>
        <v>#NAME?</v>
      </c>
      <c r="BG66" s="780" t="e">
        <f ca="1">_xll.FDSC("--",$A66,"FF_GROSS_MGN(ANN,"&amp;BG$5&amp;")/100")</f>
        <v>#NAME?</v>
      </c>
    </row>
    <row r="68" spans="41:60" x14ac:dyDescent="0.3">
      <c r="AO68" s="790"/>
      <c r="AP68" s="790"/>
      <c r="AQ68" s="790"/>
      <c r="AR68" s="790"/>
      <c r="AS68" s="791"/>
      <c r="AT68" s="791"/>
      <c r="AU68" s="791"/>
      <c r="AV68" s="791"/>
      <c r="AW68" s="791"/>
      <c r="AX68" s="819" t="s">
        <v>466</v>
      </c>
      <c r="AY68" s="790"/>
      <c r="AZ68" s="790"/>
      <c r="BA68" s="791"/>
      <c r="BB68" s="791"/>
      <c r="BC68" s="791"/>
      <c r="BD68" s="791"/>
      <c r="BE68" s="791"/>
      <c r="BF68" s="791"/>
      <c r="BG68" s="791"/>
      <c r="BH68" s="791"/>
    </row>
    <row r="69" spans="41:60" x14ac:dyDescent="0.3">
      <c r="AO69" s="792" t="s">
        <v>247</v>
      </c>
      <c r="AP69" s="793"/>
      <c r="AQ69" s="793"/>
      <c r="AR69" s="793"/>
      <c r="AS69" s="785"/>
      <c r="AT69" s="792" t="s">
        <v>187</v>
      </c>
      <c r="AU69" s="793"/>
      <c r="AV69" s="793"/>
      <c r="AW69" s="785"/>
      <c r="AX69" s="792" t="s">
        <v>186</v>
      </c>
      <c r="AY69" s="793"/>
      <c r="AZ69" s="793"/>
      <c r="BA69" s="789"/>
      <c r="BB69" s="792" t="s">
        <v>450</v>
      </c>
      <c r="BC69" s="793"/>
      <c r="BD69" s="793"/>
      <c r="BE69" s="789"/>
      <c r="BF69" s="792" t="s">
        <v>424</v>
      </c>
      <c r="BG69" s="793"/>
      <c r="BH69" s="789"/>
    </row>
    <row r="70" spans="41:60" x14ac:dyDescent="0.3">
      <c r="AO70" s="802">
        <f ca="1">$A$4</f>
        <v>2024</v>
      </c>
      <c r="AP70" s="802">
        <f ca="1">AO70+1</f>
        <v>2025</v>
      </c>
      <c r="AQ70" s="803">
        <f ca="1">AP70+1</f>
        <v>2026</v>
      </c>
      <c r="AR70" s="803">
        <f ca="1">AQ70+1</f>
        <v>2027</v>
      </c>
      <c r="AS70" s="795"/>
      <c r="AT70" s="802">
        <f ca="1">AP70</f>
        <v>2025</v>
      </c>
      <c r="AU70" s="803">
        <f ca="1">AQ70</f>
        <v>2026</v>
      </c>
      <c r="AV70" s="803">
        <f ca="1">AR70</f>
        <v>2027</v>
      </c>
      <c r="AW70" s="795"/>
      <c r="AX70" s="802">
        <f ca="1">AT70</f>
        <v>2025</v>
      </c>
      <c r="AY70" s="802">
        <f t="shared" ref="AY70:AZ70" ca="1" si="24">AU70</f>
        <v>2026</v>
      </c>
      <c r="AZ70" s="802">
        <f t="shared" ca="1" si="24"/>
        <v>2027</v>
      </c>
      <c r="BA70" s="795"/>
      <c r="BB70" s="802">
        <f ca="1">AX70</f>
        <v>2025</v>
      </c>
      <c r="BC70" s="802">
        <f t="shared" ref="BC70:BD70" ca="1" si="25">AY70</f>
        <v>2026</v>
      </c>
      <c r="BD70" s="802">
        <f t="shared" ca="1" si="25"/>
        <v>2027</v>
      </c>
      <c r="BE70" s="795"/>
      <c r="BF70" s="802">
        <f ca="1">BB70</f>
        <v>2025</v>
      </c>
      <c r="BG70" s="802">
        <f ca="1">BC70</f>
        <v>2026</v>
      </c>
      <c r="BH70" s="795"/>
    </row>
    <row r="71" spans="41:60" x14ac:dyDescent="0.3">
      <c r="AO71" s="779" t="e">
        <f ca="1">_xll.FDSC("--",$A71,"FE_ESTIMATE(SALES,MEAN,ANN_ROLL,"&amp;AO$5&amp;",NOW,,,'')")</f>
        <v>#NAME?</v>
      </c>
      <c r="AP71" s="779" t="e">
        <f ca="1">_xll.FDSC("--",$A71,"FE_ESTIMATE(SALES,MEAN,ANN_ROLL,"&amp;AP$5&amp;",NOW,,,'')")</f>
        <v>#NAME?</v>
      </c>
      <c r="AQ71" s="779" t="e">
        <f ca="1">_xll.FDSC("--",$A71,"FE_ESTIMATE(SALES,MEAN,ANN_ROLL,"&amp;AQ$5&amp;",NOW,,,'')")</f>
        <v>#NAME?</v>
      </c>
      <c r="AR71" s="779" t="e">
        <f ca="1">_xll.FDSC("--",$A71,"FE_ESTIMATE(SALES,MEAN,ANN_ROLL,"&amp;AR$5&amp;",NOW,,,'')")</f>
        <v>#NAME?</v>
      </c>
      <c r="AT71" s="779" t="e">
        <f ca="1">_xll.FDSC("--",$A71,"FE_ESTIMATE(EBIT_ADJ,MEAN,ANN_ROLL,"&amp;AT$5&amp;",NOW,,,'')")</f>
        <v>#NAME?</v>
      </c>
      <c r="AU71" s="779" t="e">
        <f ca="1">_xll.FDSC("--",$A71,"FE_ESTIMATE(EBIT_ADJ,MEAN,ANN_ROLL,"&amp;AU$5&amp;",NOW,,,'')")</f>
        <v>#NAME?</v>
      </c>
      <c r="AV71" s="779" t="e">
        <f ca="1">_xll.FDSC("--",$A71,"FE_ESTIMATE(EBIT_ADJ,MEAN,ANN_ROLL,"&amp;AV$5&amp;",NOW,,,'')")</f>
        <v>#NAME?</v>
      </c>
      <c r="AX71" s="779" t="e">
        <f ca="1">_xll.FDSC("--",$A71,"FE_ESTIMATE(EBITDA_ADJ,MEAN,ANN_ROLL,"&amp;AX$5&amp;",NOW,,,'')")</f>
        <v>#NAME?</v>
      </c>
      <c r="AY71" s="779" t="e">
        <f ca="1">_xll.FDSC("--",$A71,"FE_ESTIMATE(EBITDA_ADJ,MEAN,ANN_ROLL,"&amp;AY$5&amp;",NOW,,,'')")</f>
        <v>#NAME?</v>
      </c>
      <c r="AZ71" s="779" t="e">
        <f ca="1">_xll.FDSC("--",$A71,"FE_ESTIMATE(EBITDA_ADJ,MEAN,ANN_ROLL,"&amp;AZ$5&amp;",NOW,,,'')")</f>
        <v>#NAME?</v>
      </c>
      <c r="BB71" s="779" t="e">
        <f ca="1">_xll.FDSC("--",$A71,"FE_ESTIMATE(FCF,MEAN,ANN_ROLL,"&amp;BB$5&amp;",NOW,,,'')")</f>
        <v>#NAME?</v>
      </c>
      <c r="BC71" s="779" t="e">
        <f ca="1">_xll.FDSC("--",$A71,"FE_ESTIMATE(FCF,MEAN,ANN_ROLL,"&amp;BC$5&amp;",NOW,,,'')")</f>
        <v>#NAME?</v>
      </c>
      <c r="BD71" s="779" t="e">
        <f ca="1">_xll.FDSC("--",$A71,"FE_ESTIMATE(FCF,MEAN,ANN_ROLL,"&amp;BD$5&amp;",NOW,,,'')")</f>
        <v>#NAME?</v>
      </c>
      <c r="BF71" s="780" t="e">
        <f ca="1">_xll.FDSR($A71,"FE_VALUATION(GROSS_MARGIN,MEAN,ANN_ROLL,"&amp;BF$5&amp;",0,,,'')/100")</f>
        <v>#NAME?</v>
      </c>
      <c r="BG71" s="780" t="e">
        <f ca="1">_xll.FDSR($A71,"FE_VALUATION(GROSS_MARGIN,MEAN,ANN_ROLL,"&amp;BG$5&amp;",0,,,'')/100")</f>
        <v>#NAME?</v>
      </c>
    </row>
    <row r="72" spans="41:60" x14ac:dyDescent="0.3">
      <c r="AO72" s="779" t="e">
        <f ca="1">_xll.FDSC("--",$A72,"FE_ESTIMATE(SALES,MEAN,ANN_ROLL,"&amp;AO$5&amp;",NOW,,,'')")</f>
        <v>#NAME?</v>
      </c>
      <c r="AP72" s="779" t="e">
        <f ca="1">_xll.FDSC("--",$A72,"FE_ESTIMATE(SALES,MEAN,ANN_ROLL,"&amp;AP$5&amp;",NOW,,,'')")</f>
        <v>#NAME?</v>
      </c>
      <c r="AQ72" s="779" t="e">
        <f ca="1">_xll.FDSC("--",$A72,"FE_ESTIMATE(SALES,MEAN,ANN_ROLL,"&amp;AQ$5&amp;",NOW,,,'')")</f>
        <v>#NAME?</v>
      </c>
      <c r="AR72" s="779" t="e">
        <f ca="1">_xll.FDSC("--",$A72,"FE_ESTIMATE(SALES,MEAN,ANN_ROLL,"&amp;AR$5&amp;",NOW,,,'')")</f>
        <v>#NAME?</v>
      </c>
      <c r="AT72" s="779" t="e">
        <f ca="1">_xll.FDSC("--",$A72,"FE_ESTIMATE(EBIT_ADJ,MEAN,ANN_ROLL,"&amp;AT$5&amp;",NOW,,,'')")</f>
        <v>#NAME?</v>
      </c>
      <c r="AU72" s="779" t="e">
        <f ca="1">_xll.FDSC("--",$A72,"FE_ESTIMATE(EBIT_ADJ,MEAN,ANN_ROLL,"&amp;AU$5&amp;",NOW,,,'')")</f>
        <v>#NAME?</v>
      </c>
      <c r="AV72" s="779" t="e">
        <f ca="1">_xll.FDSC("--",$A72,"FE_ESTIMATE(EBIT_ADJ,MEAN,ANN_ROLL,"&amp;AV$5&amp;",NOW,,,'')")</f>
        <v>#NAME?</v>
      </c>
      <c r="AX72" s="779" t="e">
        <f ca="1">_xll.FDSC("--",$A72,"FE_ESTIMATE(EBITDA_ADJ,MEAN,ANN_ROLL,"&amp;AX$5&amp;",NOW,,,'')")</f>
        <v>#NAME?</v>
      </c>
      <c r="AY72" s="779" t="e">
        <f ca="1">_xll.FDSC("--",$A72,"FE_ESTIMATE(EBITDA_ADJ,MEAN,ANN_ROLL,"&amp;AY$5&amp;",NOW,,,'')")</f>
        <v>#NAME?</v>
      </c>
      <c r="AZ72" s="779" t="e">
        <f ca="1">_xll.FDSC("--",$A72,"FE_ESTIMATE(EBITDA_ADJ,MEAN,ANN_ROLL,"&amp;AZ$5&amp;",NOW,,,'')")</f>
        <v>#NAME?</v>
      </c>
      <c r="BB72" s="779" t="e">
        <f ca="1">_xll.FDSC("--",$A72,"FE_ESTIMATE(FCF,MEAN,ANN_ROLL,"&amp;BB$5&amp;",NOW,,,'')")</f>
        <v>#NAME?</v>
      </c>
      <c r="BC72" s="779" t="e">
        <f ca="1">_xll.FDSC("--",$A72,"FE_ESTIMATE(FCF,MEAN,ANN_ROLL,"&amp;BC$5&amp;",NOW,,,'')")</f>
        <v>#NAME?</v>
      </c>
      <c r="BD72" s="779" t="e">
        <f ca="1">_xll.FDSC("--",$A72,"FE_ESTIMATE(FCF,MEAN,ANN_ROLL,"&amp;BD$5&amp;",NOW,,,'')")</f>
        <v>#NAME?</v>
      </c>
      <c r="BF72" s="780" t="e">
        <f ca="1">_xll.FDSR($A72,"FE_VALUATION(GROSS_MARGIN,MEAN,ANN_ROLL,"&amp;BF$5&amp;",0,,,'')/100")</f>
        <v>#NAME?</v>
      </c>
      <c r="BG72" s="780" t="e">
        <f ca="1">_xll.FDSR($A72,"FE_VALUATION(GROSS_MARGIN,MEAN,ANN_ROLL,"&amp;BG$5&amp;",0,,,'')/100")</f>
        <v>#NAME?</v>
      </c>
    </row>
    <row r="73" spans="41:60" x14ac:dyDescent="0.3">
      <c r="AO73" s="779" t="e">
        <f ca="1">_xll.FDSC("--",$A73,"FE_ESTIMATE(SALES,MEAN,ANN_ROLL,"&amp;AO$5&amp;",NOW,,,'')")</f>
        <v>#NAME?</v>
      </c>
      <c r="AP73" s="779" t="e">
        <f ca="1">_xll.FDSC("--",$A73,"FE_ESTIMATE(SALES,MEAN,ANN_ROLL,"&amp;AP$5&amp;",NOW,,,'')")</f>
        <v>#NAME?</v>
      </c>
      <c r="AQ73" s="779" t="e">
        <f ca="1">_xll.FDSC("--",$A73,"FE_ESTIMATE(SALES,MEAN,ANN_ROLL,"&amp;AQ$5&amp;",NOW,,,'')")</f>
        <v>#NAME?</v>
      </c>
      <c r="AR73" s="779" t="e">
        <f ca="1">_xll.FDSC("--",$A73,"FE_ESTIMATE(SALES,MEAN,ANN_ROLL,"&amp;AR$5&amp;",NOW,,,'')")</f>
        <v>#NAME?</v>
      </c>
      <c r="AT73" s="779" t="e">
        <f ca="1">_xll.FDSC("--",$A73,"FE_ESTIMATE(EBIT_ADJ,MEAN,ANN_ROLL,"&amp;AT$5&amp;",NOW,,,'')")</f>
        <v>#NAME?</v>
      </c>
      <c r="AU73" s="779" t="e">
        <f ca="1">_xll.FDSC("--",$A73,"FE_ESTIMATE(EBIT_ADJ,MEAN,ANN_ROLL,"&amp;AU$5&amp;",NOW,,,'')")</f>
        <v>#NAME?</v>
      </c>
      <c r="AV73" s="779" t="e">
        <f ca="1">_xll.FDSC("--",$A73,"FE_ESTIMATE(EBIT_ADJ,MEAN,ANN_ROLL,"&amp;AV$5&amp;",NOW,,,'')")</f>
        <v>#NAME?</v>
      </c>
      <c r="AX73" s="779" t="e">
        <f ca="1">_xll.FDSC("--",$A73,"FE_ESTIMATE(EBITDA_ADJ,MEAN,ANN_ROLL,"&amp;AX$5&amp;",NOW,,,'')")</f>
        <v>#NAME?</v>
      </c>
      <c r="AY73" s="779" t="e">
        <f ca="1">_xll.FDSC("--",$A73,"FE_ESTIMATE(EBITDA_ADJ,MEAN,ANN_ROLL,"&amp;AY$5&amp;",NOW,,,'')")</f>
        <v>#NAME?</v>
      </c>
      <c r="AZ73" s="779" t="e">
        <f ca="1">_xll.FDSC("--",$A73,"FE_ESTIMATE(EBITDA_ADJ,MEAN,ANN_ROLL,"&amp;AZ$5&amp;",NOW,,,'')")</f>
        <v>#NAME?</v>
      </c>
      <c r="BB73" s="779" t="e">
        <f ca="1">_xll.FDSC("--",$A73,"FE_ESTIMATE(FCF,MEAN,ANN_ROLL,"&amp;BB$5&amp;",NOW,,,'')")</f>
        <v>#NAME?</v>
      </c>
      <c r="BC73" s="779" t="e">
        <f ca="1">_xll.FDSC("--",$A73,"FE_ESTIMATE(FCF,MEAN,ANN_ROLL,"&amp;BC$5&amp;",NOW,,,'')")</f>
        <v>#NAME?</v>
      </c>
      <c r="BD73" s="779" t="e">
        <f ca="1">_xll.FDSC("--",$A73,"FE_ESTIMATE(FCF,MEAN,ANN_ROLL,"&amp;BD$5&amp;",NOW,,,'')")</f>
        <v>#NAME?</v>
      </c>
      <c r="BF73" s="780" t="e">
        <f ca="1">_xll.FDSR($A73,"FE_VALUATION(GROSS_MARGIN,MEAN,ANN_ROLL,"&amp;BF$5&amp;",0,,,'')/100")</f>
        <v>#NAME?</v>
      </c>
      <c r="BG73" s="780" t="e">
        <f ca="1">_xll.FDSR($A73,"FE_VALUATION(GROSS_MARGIN,MEAN,ANN_ROLL,"&amp;BG$5&amp;",0,,,'')/100")</f>
        <v>#NAME?</v>
      </c>
    </row>
    <row r="74" spans="41:60" x14ac:dyDescent="0.3">
      <c r="AO74" s="779" t="e">
        <f ca="1">_xll.FDSC("--",$A74,"FE_ESTIMATE(SALES,MEAN,ANN_ROLL,"&amp;AO$5&amp;",NOW,,,'')")</f>
        <v>#NAME?</v>
      </c>
      <c r="AP74" s="779" t="e">
        <f ca="1">_xll.FDSC("--",$A74,"FE_ESTIMATE(SALES,MEAN,ANN_ROLL,"&amp;AP$5&amp;",NOW,,,'')")</f>
        <v>#NAME?</v>
      </c>
      <c r="AQ74" s="779" t="e">
        <f ca="1">_xll.FDSC("--",$A74,"FE_ESTIMATE(SALES,MEAN,ANN_ROLL,"&amp;AQ$5&amp;",NOW,,,'')")</f>
        <v>#NAME?</v>
      </c>
      <c r="AR74" s="779" t="e">
        <f ca="1">_xll.FDSC("--",$A74,"FE_ESTIMATE(SALES,MEAN,ANN_ROLL,"&amp;AR$5&amp;",NOW,,,'')")</f>
        <v>#NAME?</v>
      </c>
      <c r="AT74" s="779" t="e">
        <f ca="1">_xll.FDSC("--",$A74,"FE_ESTIMATE(EBIT_ADJ,MEAN,ANN_ROLL,"&amp;AT$5&amp;",NOW,,,'')")</f>
        <v>#NAME?</v>
      </c>
      <c r="AU74" s="779" t="e">
        <f ca="1">_xll.FDSC("--",$A74,"FE_ESTIMATE(EBIT_ADJ,MEAN,ANN_ROLL,"&amp;AU$5&amp;",NOW,,,'')")</f>
        <v>#NAME?</v>
      </c>
      <c r="AV74" s="779" t="e">
        <f ca="1">_xll.FDSC("--",$A74,"FE_ESTIMATE(EBIT_ADJ,MEAN,ANN_ROLL,"&amp;AV$5&amp;",NOW,,,'')")</f>
        <v>#NAME?</v>
      </c>
      <c r="AX74" s="779" t="e">
        <f ca="1">_xll.FDSC("--",$A74,"FE_ESTIMATE(EBITDA_ADJ,MEAN,ANN_ROLL,"&amp;AX$5&amp;",NOW,,,'')")</f>
        <v>#NAME?</v>
      </c>
      <c r="AY74" s="779" t="e">
        <f ca="1">_xll.FDSC("--",$A74,"FE_ESTIMATE(EBITDA_ADJ,MEAN,ANN_ROLL,"&amp;AY$5&amp;",NOW,,,'')")</f>
        <v>#NAME?</v>
      </c>
      <c r="AZ74" s="779" t="e">
        <f ca="1">_xll.FDSC("--",$A74,"FE_ESTIMATE(EBITDA_ADJ,MEAN,ANN_ROLL,"&amp;AZ$5&amp;",NOW,,,'')")</f>
        <v>#NAME?</v>
      </c>
      <c r="BB74" s="779" t="e">
        <f ca="1">_xll.FDSC("--",$A74,"FE_ESTIMATE(FCF,MEAN,ANN_ROLL,"&amp;BB$5&amp;",NOW,,,'')")</f>
        <v>#NAME?</v>
      </c>
      <c r="BC74" s="779" t="e">
        <f ca="1">_xll.FDSC("--",$A74,"FE_ESTIMATE(FCF,MEAN,ANN_ROLL,"&amp;BC$5&amp;",NOW,,,'')")</f>
        <v>#NAME?</v>
      </c>
      <c r="BD74" s="779" t="e">
        <f ca="1">_xll.FDSC("--",$A74,"FE_ESTIMATE(FCF,MEAN,ANN_ROLL,"&amp;BD$5&amp;",NOW,,,'')")</f>
        <v>#NAME?</v>
      </c>
      <c r="BF74" s="780" t="e">
        <f ca="1">_xll.FDSR($A74,"FE_VALUATION(GROSS_MARGIN,MEAN,ANN_ROLL,"&amp;BF$5&amp;",0,,,'')/100")</f>
        <v>#NAME?</v>
      </c>
      <c r="BG74" s="780" t="e">
        <f ca="1">_xll.FDSR($A74,"FE_VALUATION(GROSS_MARGIN,MEAN,ANN_ROLL,"&amp;BG$5&amp;",0,,,'')/100")</f>
        <v>#NAME?</v>
      </c>
    </row>
    <row r="75" spans="41:60" x14ac:dyDescent="0.3">
      <c r="AO75" s="779" t="e">
        <f ca="1">_xll.FDSC("--",$A75,"FE_ESTIMATE(SALES,MEAN,ANN_ROLL,"&amp;AO$5&amp;",NOW,,,'')")</f>
        <v>#NAME?</v>
      </c>
      <c r="AP75" s="779" t="e">
        <f ca="1">_xll.FDSC("--",$A75,"FE_ESTIMATE(SALES,MEAN,ANN_ROLL,"&amp;AP$5&amp;",NOW,,,'')")</f>
        <v>#NAME?</v>
      </c>
      <c r="AQ75" s="779" t="e">
        <f ca="1">_xll.FDSC("--",$A75,"FE_ESTIMATE(SALES,MEAN,ANN_ROLL,"&amp;AQ$5&amp;",NOW,,,'')")</f>
        <v>#NAME?</v>
      </c>
      <c r="AR75" s="779" t="e">
        <f ca="1">_xll.FDSC("--",$A75,"FE_ESTIMATE(SALES,MEAN,ANN_ROLL,"&amp;AR$5&amp;",NOW,,,'')")</f>
        <v>#NAME?</v>
      </c>
      <c r="AT75" s="779" t="e">
        <f ca="1">_xll.FDSC("--",$A75,"FE_ESTIMATE(EBIT_ADJ,MEAN,ANN_ROLL,"&amp;AT$5&amp;",NOW,,,'')")</f>
        <v>#NAME?</v>
      </c>
      <c r="AU75" s="779" t="e">
        <f ca="1">_xll.FDSC("--",$A75,"FE_ESTIMATE(EBIT_ADJ,MEAN,ANN_ROLL,"&amp;AU$5&amp;",NOW,,,'')")</f>
        <v>#NAME?</v>
      </c>
      <c r="AV75" s="779" t="e">
        <f ca="1">_xll.FDSC("--",$A75,"FE_ESTIMATE(EBIT_ADJ,MEAN,ANN_ROLL,"&amp;AV$5&amp;",NOW,,,'')")</f>
        <v>#NAME?</v>
      </c>
      <c r="AX75" s="779" t="e">
        <f ca="1">_xll.FDSC("--",$A75,"FE_ESTIMATE(EBITDA_ADJ,MEAN,ANN_ROLL,"&amp;AX$5&amp;",NOW,,,'')")</f>
        <v>#NAME?</v>
      </c>
      <c r="AY75" s="779" t="e">
        <f ca="1">_xll.FDSC("--",$A75,"FE_ESTIMATE(EBITDA_ADJ,MEAN,ANN_ROLL,"&amp;AY$5&amp;",NOW,,,'')")</f>
        <v>#NAME?</v>
      </c>
      <c r="AZ75" s="779" t="e">
        <f ca="1">_xll.FDSC("--",$A75,"FE_ESTIMATE(EBITDA_ADJ,MEAN,ANN_ROLL,"&amp;AZ$5&amp;",NOW,,,'')")</f>
        <v>#NAME?</v>
      </c>
      <c r="BB75" s="779" t="e">
        <f ca="1">_xll.FDSC("--",$A75,"FE_ESTIMATE(FCF,MEAN,ANN_ROLL,"&amp;BB$5&amp;",NOW,,,'')")</f>
        <v>#NAME?</v>
      </c>
      <c r="BC75" s="779" t="e">
        <f ca="1">_xll.FDSC("--",$A75,"FE_ESTIMATE(FCF,MEAN,ANN_ROLL,"&amp;BC$5&amp;",NOW,,,'')")</f>
        <v>#NAME?</v>
      </c>
      <c r="BD75" s="779" t="e">
        <f ca="1">_xll.FDSC("--",$A75,"FE_ESTIMATE(FCF,MEAN,ANN_ROLL,"&amp;BD$5&amp;",NOW,,,'')")</f>
        <v>#NAME?</v>
      </c>
      <c r="BF75" s="780" t="e">
        <f ca="1">_xll.FDSR($A75,"FE_VALUATION(GROSS_MARGIN,MEAN,ANN_ROLL,"&amp;BF$5&amp;",0,,,'')/100")</f>
        <v>#NAME?</v>
      </c>
      <c r="BG75" s="780" t="e">
        <f ca="1">_xll.FDSR($A75,"FE_VALUATION(GROSS_MARGIN,MEAN,ANN_ROLL,"&amp;BG$5&amp;",0,,,'')/100")</f>
        <v>#NAME?</v>
      </c>
    </row>
    <row r="76" spans="41:60" x14ac:dyDescent="0.3">
      <c r="AO76" s="779" t="e">
        <f ca="1">_xll.FDSC("--",$A76,"FE_ESTIMATE(SALES,MEAN,ANN_ROLL,"&amp;AO$5&amp;",NOW,,,'')")</f>
        <v>#NAME?</v>
      </c>
      <c r="AP76" s="779" t="e">
        <f ca="1">_xll.FDSC("--",$A76,"FE_ESTIMATE(SALES,MEAN,ANN_ROLL,"&amp;AP$5&amp;",NOW,,,'')")</f>
        <v>#NAME?</v>
      </c>
      <c r="AQ76" s="779" t="e">
        <f ca="1">_xll.FDSC("--",$A76,"FE_ESTIMATE(SALES,MEAN,ANN_ROLL,"&amp;AQ$5&amp;",NOW,,,'')")</f>
        <v>#NAME?</v>
      </c>
      <c r="AR76" s="779" t="e">
        <f ca="1">_xll.FDSC("--",$A76,"FE_ESTIMATE(SALES,MEAN,ANN_ROLL,"&amp;AR$5&amp;",NOW,,,'')")</f>
        <v>#NAME?</v>
      </c>
      <c r="AT76" s="779" t="e">
        <f ca="1">_xll.FDSC("--",$A76,"FE_ESTIMATE(EBIT_ADJ,MEAN,ANN_ROLL,"&amp;AT$5&amp;",NOW,,,'')")</f>
        <v>#NAME?</v>
      </c>
      <c r="AU76" s="779" t="e">
        <f ca="1">_xll.FDSC("--",$A76,"FE_ESTIMATE(EBIT_ADJ,MEAN,ANN_ROLL,"&amp;AU$5&amp;",NOW,,,'')")</f>
        <v>#NAME?</v>
      </c>
      <c r="AV76" s="779" t="e">
        <f ca="1">_xll.FDSC("--",$A76,"FE_ESTIMATE(EBIT_ADJ,MEAN,ANN_ROLL,"&amp;AV$5&amp;",NOW,,,'')")</f>
        <v>#NAME?</v>
      </c>
      <c r="AX76" s="779" t="e">
        <f ca="1">_xll.FDSC("--",$A76,"FE_ESTIMATE(EBITDA_ADJ,MEAN,ANN_ROLL,"&amp;AX$5&amp;",NOW,,,'')")</f>
        <v>#NAME?</v>
      </c>
      <c r="AY76" s="779" t="e">
        <f ca="1">_xll.FDSC("--",$A76,"FE_ESTIMATE(EBITDA_ADJ,MEAN,ANN_ROLL,"&amp;AY$5&amp;",NOW,,,'')")</f>
        <v>#NAME?</v>
      </c>
      <c r="AZ76" s="779" t="e">
        <f ca="1">_xll.FDSC("--",$A76,"FE_ESTIMATE(EBITDA_ADJ,MEAN,ANN_ROLL,"&amp;AZ$5&amp;",NOW,,,'')")</f>
        <v>#NAME?</v>
      </c>
      <c r="BB76" s="779" t="e">
        <f ca="1">_xll.FDSC("--",$A76,"FE_ESTIMATE(FCF,MEAN,ANN_ROLL,"&amp;BB$5&amp;",NOW,,,'')")</f>
        <v>#NAME?</v>
      </c>
      <c r="BC76" s="779" t="e">
        <f ca="1">_xll.FDSC("--",$A76,"FE_ESTIMATE(FCF,MEAN,ANN_ROLL,"&amp;BC$5&amp;",NOW,,,'')")</f>
        <v>#NAME?</v>
      </c>
      <c r="BD76" s="779" t="e">
        <f ca="1">_xll.FDSC("--",$A76,"FE_ESTIMATE(FCF,MEAN,ANN_ROLL,"&amp;BD$5&amp;",NOW,,,'')")</f>
        <v>#NAME?</v>
      </c>
      <c r="BF76" s="780" t="e">
        <f ca="1">_xll.FDSR($A76,"FE_VALUATION(GROSS_MARGIN,MEAN,ANN_ROLL,"&amp;BF$5&amp;",0,,,'')/100")</f>
        <v>#NAME?</v>
      </c>
      <c r="BG76" s="780" t="e">
        <f ca="1">_xll.FDSR($A76,"FE_VALUATION(GROSS_MARGIN,MEAN,ANN_ROLL,"&amp;BG$5&amp;",0,,,'')/100")</f>
        <v>#NAME?</v>
      </c>
    </row>
    <row r="77" spans="41:60" x14ac:dyDescent="0.3">
      <c r="AO77" s="779" t="e">
        <f ca="1">_xll.FDSC("--",$A77,"FE_ESTIMATE(SALES,MEAN,ANN_ROLL,"&amp;AO$5&amp;",NOW,,,'')")</f>
        <v>#NAME?</v>
      </c>
      <c r="AP77" s="779" t="e">
        <f ca="1">_xll.FDSC("--",$A77,"FE_ESTIMATE(SALES,MEAN,ANN_ROLL,"&amp;AP$5&amp;",NOW,,,'')")</f>
        <v>#NAME?</v>
      </c>
      <c r="AQ77" s="779" t="e">
        <f ca="1">_xll.FDSC("--",$A77,"FE_ESTIMATE(SALES,MEAN,ANN_ROLL,"&amp;AQ$5&amp;",NOW,,,'')")</f>
        <v>#NAME?</v>
      </c>
      <c r="AR77" s="779" t="e">
        <f ca="1">_xll.FDSC("--",$A77,"FE_ESTIMATE(SALES,MEAN,ANN_ROLL,"&amp;AR$5&amp;",NOW,,,'')")</f>
        <v>#NAME?</v>
      </c>
      <c r="AT77" s="779" t="e">
        <f ca="1">_xll.FDSC("--",$A77,"FE_ESTIMATE(EBIT_ADJ,MEAN,ANN_ROLL,"&amp;AT$5&amp;",NOW,,,'')")</f>
        <v>#NAME?</v>
      </c>
      <c r="AU77" s="779" t="e">
        <f ca="1">_xll.FDSC("--",$A77,"FE_ESTIMATE(EBIT_ADJ,MEAN,ANN_ROLL,"&amp;AU$5&amp;",NOW,,,'')")</f>
        <v>#NAME?</v>
      </c>
      <c r="AV77" s="779" t="e">
        <f ca="1">_xll.FDSC("--",$A77,"FE_ESTIMATE(EBIT_ADJ,MEAN,ANN_ROLL,"&amp;AV$5&amp;",NOW,,,'')")</f>
        <v>#NAME?</v>
      </c>
      <c r="AX77" s="779" t="e">
        <f ca="1">_xll.FDSC("--",$A77,"FE_ESTIMATE(EBITDA_ADJ,MEAN,ANN_ROLL,"&amp;AX$5&amp;",NOW,,,'')")</f>
        <v>#NAME?</v>
      </c>
      <c r="AY77" s="779" t="e">
        <f ca="1">_xll.FDSC("--",$A77,"FE_ESTIMATE(EBITDA_ADJ,MEAN,ANN_ROLL,"&amp;AY$5&amp;",NOW,,,'')")</f>
        <v>#NAME?</v>
      </c>
      <c r="AZ77" s="779" t="e">
        <f ca="1">_xll.FDSC("--",$A77,"FE_ESTIMATE(EBITDA_ADJ,MEAN,ANN_ROLL,"&amp;AZ$5&amp;",NOW,,,'')")</f>
        <v>#NAME?</v>
      </c>
      <c r="BB77" s="779" t="e">
        <f ca="1">_xll.FDSC("--",$A77,"FE_ESTIMATE(FCF,MEAN,ANN_ROLL,"&amp;BB$5&amp;",NOW,,,'')")</f>
        <v>#NAME?</v>
      </c>
      <c r="BC77" s="779" t="e">
        <f ca="1">_xll.FDSC("--",$A77,"FE_ESTIMATE(FCF,MEAN,ANN_ROLL,"&amp;BC$5&amp;",NOW,,,'')")</f>
        <v>#NAME?</v>
      </c>
      <c r="BD77" s="779" t="e">
        <f ca="1">_xll.FDSC("--",$A77,"FE_ESTIMATE(FCF,MEAN,ANN_ROLL,"&amp;BD$5&amp;",NOW,,,'')")</f>
        <v>#NAME?</v>
      </c>
      <c r="BF77" s="780" t="e">
        <f ca="1">_xll.FDSR($A77,"FE_VALUATION(GROSS_MARGIN,MEAN,ANN_ROLL,"&amp;BF$5&amp;",0,,,'')/100")</f>
        <v>#NAME?</v>
      </c>
      <c r="BG77" s="780" t="e">
        <f ca="1">_xll.FDSR($A77,"FE_VALUATION(GROSS_MARGIN,MEAN,ANN_ROLL,"&amp;BG$5&amp;",0,,,'')/100")</f>
        <v>#NAME?</v>
      </c>
    </row>
    <row r="78" spans="41:60" x14ac:dyDescent="0.3">
      <c r="AO78" s="779" t="e">
        <f ca="1">_xll.FDSC("--",$A78,"FE_ESTIMATE(SALES,MEAN,ANN_ROLL,"&amp;AO$5&amp;",NOW,,,'')")</f>
        <v>#NAME?</v>
      </c>
      <c r="AP78" s="779" t="e">
        <f ca="1">_xll.FDSC("--",$A78,"FE_ESTIMATE(SALES,MEAN,ANN_ROLL,"&amp;AP$5&amp;",NOW,,,'')")</f>
        <v>#NAME?</v>
      </c>
      <c r="AQ78" s="779" t="e">
        <f ca="1">_xll.FDSC("--",$A78,"FE_ESTIMATE(SALES,MEAN,ANN_ROLL,"&amp;AQ$5&amp;",NOW,,,'')")</f>
        <v>#NAME?</v>
      </c>
      <c r="AR78" s="779" t="e">
        <f ca="1">_xll.FDSC("--",$A78,"FE_ESTIMATE(SALES,MEAN,ANN_ROLL,"&amp;AR$5&amp;",NOW,,,'')")</f>
        <v>#NAME?</v>
      </c>
      <c r="AT78" s="779" t="e">
        <f ca="1">_xll.FDSC("--",$A78,"FE_ESTIMATE(EBIT_ADJ,MEAN,ANN_ROLL,"&amp;AT$5&amp;",NOW,,,'')")</f>
        <v>#NAME?</v>
      </c>
      <c r="AU78" s="779" t="e">
        <f ca="1">_xll.FDSC("--",$A78,"FE_ESTIMATE(EBIT_ADJ,MEAN,ANN_ROLL,"&amp;AU$5&amp;",NOW,,,'')")</f>
        <v>#NAME?</v>
      </c>
      <c r="AV78" s="779" t="e">
        <f ca="1">_xll.FDSC("--",$A78,"FE_ESTIMATE(EBIT_ADJ,MEAN,ANN_ROLL,"&amp;AV$5&amp;",NOW,,,'')")</f>
        <v>#NAME?</v>
      </c>
      <c r="AX78" s="779" t="e">
        <f ca="1">_xll.FDSC("--",$A78,"FE_ESTIMATE(EBITDA_ADJ,MEAN,ANN_ROLL,"&amp;AX$5&amp;",NOW,,,'')")</f>
        <v>#NAME?</v>
      </c>
      <c r="AY78" s="779" t="e">
        <f ca="1">_xll.FDSC("--",$A78,"FE_ESTIMATE(EBITDA_ADJ,MEAN,ANN_ROLL,"&amp;AY$5&amp;",NOW,,,'')")</f>
        <v>#NAME?</v>
      </c>
      <c r="AZ78" s="779" t="e">
        <f ca="1">_xll.FDSC("--",$A78,"FE_ESTIMATE(EBITDA_ADJ,MEAN,ANN_ROLL,"&amp;AZ$5&amp;",NOW,,,'')")</f>
        <v>#NAME?</v>
      </c>
      <c r="BB78" s="779" t="e">
        <f ca="1">_xll.FDSC("--",$A78,"FE_ESTIMATE(FCF,MEAN,ANN_ROLL,"&amp;BB$5&amp;",NOW,,,'')")</f>
        <v>#NAME?</v>
      </c>
      <c r="BC78" s="779" t="e">
        <f ca="1">_xll.FDSC("--",$A78,"FE_ESTIMATE(FCF,MEAN,ANN_ROLL,"&amp;BC$5&amp;",NOW,,,'')")</f>
        <v>#NAME?</v>
      </c>
      <c r="BD78" s="779" t="e">
        <f ca="1">_xll.FDSC("--",$A78,"FE_ESTIMATE(FCF,MEAN,ANN_ROLL,"&amp;BD$5&amp;",NOW,,,'')")</f>
        <v>#NAME?</v>
      </c>
      <c r="BF78" s="780" t="e">
        <f ca="1">_xll.FDSR($A78,"FE_VALUATION(GROSS_MARGIN,MEAN,ANN_ROLL,"&amp;BF$5&amp;",0,,,'')/100")</f>
        <v>#NAME?</v>
      </c>
      <c r="BG78" s="780" t="e">
        <f ca="1">_xll.FDSR($A78,"FE_VALUATION(GROSS_MARGIN,MEAN,ANN_ROLL,"&amp;BG$5&amp;",0,,,'')/100")</f>
        <v>#NAME?</v>
      </c>
    </row>
    <row r="81" spans="41:60" x14ac:dyDescent="0.3">
      <c r="AO81" s="790"/>
      <c r="AP81" s="790"/>
      <c r="AQ81" s="790"/>
      <c r="AR81" s="790"/>
      <c r="AS81" s="791"/>
      <c r="AT81" s="791"/>
      <c r="AU81" s="791"/>
      <c r="AV81" s="791"/>
      <c r="AW81" s="791"/>
      <c r="AX81" s="819" t="s">
        <v>467</v>
      </c>
      <c r="AY81" s="790"/>
      <c r="AZ81" s="790"/>
      <c r="BA81" s="791"/>
      <c r="BB81" s="791"/>
      <c r="BC81" s="791"/>
      <c r="BD81" s="791"/>
      <c r="BE81" s="791"/>
      <c r="BF81" s="791"/>
      <c r="BG81" s="791"/>
      <c r="BH81" s="791"/>
    </row>
    <row r="82" spans="41:60" x14ac:dyDescent="0.3">
      <c r="AO82" s="792" t="s">
        <v>247</v>
      </c>
      <c r="AP82" s="793"/>
      <c r="AQ82" s="793"/>
      <c r="AR82" s="793"/>
      <c r="AS82" s="785"/>
      <c r="AT82" s="792" t="s">
        <v>187</v>
      </c>
      <c r="AU82" s="793"/>
      <c r="AV82" s="793"/>
      <c r="AW82" s="785"/>
      <c r="AX82" s="792" t="s">
        <v>186</v>
      </c>
      <c r="AY82" s="793"/>
      <c r="AZ82" s="793"/>
      <c r="BA82" s="789"/>
      <c r="BB82" s="792" t="s">
        <v>450</v>
      </c>
      <c r="BC82" s="793"/>
      <c r="BD82" s="793"/>
      <c r="BE82" s="789"/>
      <c r="BF82" s="792" t="s">
        <v>424</v>
      </c>
      <c r="BG82" s="793"/>
    </row>
    <row r="83" spans="41:60" x14ac:dyDescent="0.3">
      <c r="AO83" s="802">
        <f ca="1">$A$4</f>
        <v>2024</v>
      </c>
      <c r="AP83" s="802">
        <f ca="1">AO83+1</f>
        <v>2025</v>
      </c>
      <c r="AQ83" s="803">
        <f ca="1">AP83+1</f>
        <v>2026</v>
      </c>
      <c r="AR83" s="803">
        <f ca="1">AQ83+1</f>
        <v>2027</v>
      </c>
      <c r="AS83" s="795"/>
      <c r="AT83" s="802">
        <f ca="1">AP83</f>
        <v>2025</v>
      </c>
      <c r="AU83" s="803">
        <f ca="1">AQ83</f>
        <v>2026</v>
      </c>
      <c r="AV83" s="803">
        <f ca="1">AR83</f>
        <v>2027</v>
      </c>
      <c r="AW83" s="795"/>
      <c r="AX83" s="802">
        <f ca="1">AT83</f>
        <v>2025</v>
      </c>
      <c r="AY83" s="802">
        <f t="shared" ref="AY83:AZ83" ca="1" si="26">AU83</f>
        <v>2026</v>
      </c>
      <c r="AZ83" s="802">
        <f t="shared" ca="1" si="26"/>
        <v>2027</v>
      </c>
      <c r="BA83" s="795"/>
      <c r="BB83" s="802">
        <f ca="1">AX83</f>
        <v>2025</v>
      </c>
      <c r="BC83" s="802">
        <f t="shared" ref="BC83:BD83" ca="1" si="27">AY83</f>
        <v>2026</v>
      </c>
      <c r="BD83" s="802">
        <f t="shared" ca="1" si="27"/>
        <v>2027</v>
      </c>
      <c r="BE83" s="795"/>
      <c r="BF83" s="802">
        <f ca="1">BB83</f>
        <v>2025</v>
      </c>
      <c r="BG83" s="802">
        <f ca="1">BC83</f>
        <v>2026</v>
      </c>
    </row>
    <row r="84" spans="41:60" x14ac:dyDescent="0.3">
      <c r="AO84" s="779" t="e">
        <f ca="1">_xll.FDSC("--",$A84,"IF(FE_ACTUAL(FLAG,SALES,ANN_ROLL,"&amp;AO$5&amp;",,,,'')!=3,FE_ACTUAL(ACTUAL,SALES,ANN_ROLL,"&amp;AO$5&amp;",,,,''),FLOAT_NA)")</f>
        <v>#NAME?</v>
      </c>
      <c r="AP84" s="779" t="e">
        <f ca="1">_xll.FDSC("--",$A84,"IF(FE_ACTUAL(FLAG,SALES,ANN_ROLL,"&amp;AP$5&amp;",,,,'')!=3,FE_ACTUAL(ACTUAL,SALES,ANN_ROLL,"&amp;AP$5&amp;",,,,''),FLOAT_NA)")</f>
        <v>#NAME?</v>
      </c>
      <c r="AQ84" s="779" t="e">
        <f ca="1">_xll.FDSC("--",$A84,"IF(FE_ACTUAL(FLAG,SALES,ANN_ROLL,"&amp;AQ$5&amp;",,,,'')!=3,FE_ACTUAL(ACTUAL,SALES,ANN_ROLL,"&amp;AQ$5&amp;",,,,''),FLOAT_NA)")</f>
        <v>#NAME?</v>
      </c>
      <c r="AT84" s="779" t="e">
        <f ca="1">_xll.FDSC("--",$A84,"IF(FE_ACTUAL(FLAG,EBIT_ADJ,ANN_ROLL,"&amp;AT$5&amp;",,,,'')!=3,FE_ACTUAL(ACTUAL,EBIT_ADJ,ANN_ROLL,"&amp;AT$5&amp;",,,,''),FLOAT_NA)")</f>
        <v>#NAME?</v>
      </c>
      <c r="AU84" s="779" t="e">
        <f ca="1">_xll.FDSC("--",$A84,"IF(FE_ACTUAL(FLAG,EBIT_ADJ,ANN_ROLL,"&amp;AU$5&amp;",,,,'')!=3,FE_ACTUAL(ACTUAL,EBIT_ADJ,ANN_ROLL,"&amp;AU$5&amp;",,,,''),FLOAT_NA)")</f>
        <v>#NAME?</v>
      </c>
      <c r="AX84" s="779" t="e">
        <f ca="1">_xll.FDSC("--",$A84,"IF(FE_ACTUAL(FLAG,EBITDA_ADJ,ANN_ROLL,"&amp;AX$5&amp;",,,,'')!=3,FE_ACTUAL(ACTUAL,EBITDA_ADJ,ANN_ROLL,"&amp;AX$5&amp;",,,,''),FLOAT_NA)")</f>
        <v>#NAME?</v>
      </c>
      <c r="AY84" s="779" t="e">
        <f ca="1">_xll.FDSC("--",$A84,"IF(FE_ACTUAL(FLAG,EBITDA_ADJ,ANN_ROLL,"&amp;AY$5&amp;",,,,'')!=3,FE_ACTUAL(ACTUAL,EBITDA_ADJ,ANN_ROLL,"&amp;AY$5&amp;",,,,''),FLOAT_NA)")</f>
        <v>#NAME?</v>
      </c>
      <c r="BB84" s="779" t="e">
        <f ca="1">_xll.FDSC("--",$A84,"IF(FE_ACTUAL(FLAG,FCF,ANN_ROLL,"&amp;BB$5&amp;",,,,'')!=3,FE_ACTUAL(ACTUAL,FCF,ANN_ROLL,"&amp;BB$5&amp;",,,,''),FLOAT_NA)")</f>
        <v>#NAME?</v>
      </c>
      <c r="BC84" s="779" t="e">
        <f ca="1">_xll.FDSC("--",$A84,"IF(FE_ACTUAL(FLAG,FCF,ANN_ROLL,"&amp;BC$5&amp;",,,,'')!=3,FE_ACTUAL(ACTUAL,FCF,ANN_ROLL,"&amp;BC$5&amp;",,,,''),FLOAT_NA)")</f>
        <v>#NAME?</v>
      </c>
      <c r="BF84" s="780" t="e">
        <f ca="1">_xll.FDSC("--",$A84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4" s="780" t="e">
        <f ca="1">_xll.FDSC("--",$A84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85" spans="41:60" x14ac:dyDescent="0.3">
      <c r="AO85" s="779" t="e">
        <f ca="1">_xll.FDSC("--",$A85,"IF(FE_ACTUAL(FLAG,SALES,ANN_ROLL,"&amp;AO$5&amp;",,,,'')!=3,FE_ACTUAL(ACTUAL,SALES,ANN_ROLL,"&amp;AO$5&amp;",,,,''),FLOAT_NA)")</f>
        <v>#NAME?</v>
      </c>
      <c r="AP85" s="779" t="e">
        <f ca="1">_xll.FDSC("--",$A85,"IF(FE_ACTUAL(FLAG,SALES,ANN_ROLL,"&amp;AP$5&amp;",,,,'')!=3,FE_ACTUAL(ACTUAL,SALES,ANN_ROLL,"&amp;AP$5&amp;",,,,''),FLOAT_NA)")</f>
        <v>#NAME?</v>
      </c>
      <c r="AQ85" s="779" t="e">
        <f ca="1">_xll.FDSC("--",$A85,"IF(FE_ACTUAL(FLAG,SALES,ANN_ROLL,"&amp;AQ$5&amp;",,,,'')!=3,FE_ACTUAL(ACTUAL,SALES,ANN_ROLL,"&amp;AQ$5&amp;",,,,''),FLOAT_NA)")</f>
        <v>#NAME?</v>
      </c>
      <c r="AT85" s="779" t="e">
        <f ca="1">_xll.FDSC("--",$A85,"IF(FE_ACTUAL(FLAG,EBIT_ADJ,ANN_ROLL,"&amp;AT$5&amp;",,,,'')!=3,FE_ACTUAL(ACTUAL,EBIT_ADJ,ANN_ROLL,"&amp;AT$5&amp;",,,,''),FLOAT_NA)")</f>
        <v>#NAME?</v>
      </c>
      <c r="AU85" s="779" t="e">
        <f ca="1">_xll.FDSC("--",$A85,"IF(FE_ACTUAL(FLAG,EBIT_ADJ,ANN_ROLL,"&amp;AU$5&amp;",,,,'')!=3,FE_ACTUAL(ACTUAL,EBIT_ADJ,ANN_ROLL,"&amp;AU$5&amp;",,,,''),FLOAT_NA)")</f>
        <v>#NAME?</v>
      </c>
      <c r="AX85" s="779" t="e">
        <f ca="1">_xll.FDSC("--",$A85,"IF(FE_ACTUAL(FLAG,EBITDA_ADJ,ANN_ROLL,"&amp;AX$5&amp;",,,,'')!=3,FE_ACTUAL(ACTUAL,EBITDA_ADJ,ANN_ROLL,"&amp;AX$5&amp;",,,,''),FLOAT_NA)")</f>
        <v>#NAME?</v>
      </c>
      <c r="AY85" s="779" t="e">
        <f ca="1">_xll.FDSC("--",$A85,"IF(FE_ACTUAL(FLAG,EBITDA_ADJ,ANN_ROLL,"&amp;AY$5&amp;",,,,'')!=3,FE_ACTUAL(ACTUAL,EBITDA_ADJ,ANN_ROLL,"&amp;AY$5&amp;",,,,''),FLOAT_NA)")</f>
        <v>#NAME?</v>
      </c>
      <c r="BB85" s="779" t="e">
        <f ca="1">_xll.FDSC("--",$A85,"IF(FE_ACTUAL(FLAG,FCF,ANN_ROLL,"&amp;BB$5&amp;",,,,'')!=3,FE_ACTUAL(ACTUAL,FCF,ANN_ROLL,"&amp;BB$5&amp;",,,,''),FLOAT_NA)")</f>
        <v>#NAME?</v>
      </c>
      <c r="BC85" s="779" t="e">
        <f ca="1">_xll.FDSC("--",$A85,"IF(FE_ACTUAL(FLAG,FCF,ANN_ROLL,"&amp;BC$5&amp;",,,,'')!=3,FE_ACTUAL(ACTUAL,FCF,ANN_ROLL,"&amp;BC$5&amp;",,,,''),FLOAT_NA)")</f>
        <v>#NAME?</v>
      </c>
      <c r="BF85" s="780" t="e">
        <f ca="1">_xll.FDSC("--",$A85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5" s="780" t="e">
        <f ca="1">_xll.FDSC("--",$A85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86" spans="41:60" x14ac:dyDescent="0.3">
      <c r="AO86" s="779" t="e">
        <f ca="1">_xll.FDSC("--",$A86,"IF(FE_ACTUAL(FLAG,SALES,ANN_ROLL,"&amp;AO$5&amp;",,,,'')!=3,FE_ACTUAL(ACTUAL,SALES,ANN_ROLL,"&amp;AO$5&amp;",,,,''),FLOAT_NA)")</f>
        <v>#NAME?</v>
      </c>
      <c r="AP86" s="779" t="e">
        <f ca="1">_xll.FDSC("--",$A86,"IF(FE_ACTUAL(FLAG,SALES,ANN_ROLL,"&amp;AP$5&amp;",,,,'')!=3,FE_ACTUAL(ACTUAL,SALES,ANN_ROLL,"&amp;AP$5&amp;",,,,''),FLOAT_NA)")</f>
        <v>#NAME?</v>
      </c>
      <c r="AQ86" s="779" t="e">
        <f ca="1">_xll.FDSC("--",$A86,"IF(FE_ACTUAL(FLAG,SALES,ANN_ROLL,"&amp;AQ$5&amp;",,,,'')!=3,FE_ACTUAL(ACTUAL,SALES,ANN_ROLL,"&amp;AQ$5&amp;",,,,''),FLOAT_NA)")</f>
        <v>#NAME?</v>
      </c>
      <c r="AT86" s="779" t="e">
        <f ca="1">_xll.FDSC("--",$A86,"IF(FE_ACTUAL(FLAG,EBIT_ADJ,ANN_ROLL,"&amp;AT$5&amp;",,,,'')!=3,FE_ACTUAL(ACTUAL,EBIT_ADJ,ANN_ROLL,"&amp;AT$5&amp;",,,,''),FLOAT_NA)")</f>
        <v>#NAME?</v>
      </c>
      <c r="AU86" s="779" t="e">
        <f ca="1">_xll.FDSC("--",$A86,"IF(FE_ACTUAL(FLAG,EBIT_ADJ,ANN_ROLL,"&amp;AU$5&amp;",,,,'')!=3,FE_ACTUAL(ACTUAL,EBIT_ADJ,ANN_ROLL,"&amp;AU$5&amp;",,,,''),FLOAT_NA)")</f>
        <v>#NAME?</v>
      </c>
      <c r="AX86" s="779" t="e">
        <f ca="1">_xll.FDSC("--",$A86,"IF(FE_ACTUAL(FLAG,EBITDA_ADJ,ANN_ROLL,"&amp;AX$5&amp;",,,,'')!=3,FE_ACTUAL(ACTUAL,EBITDA_ADJ,ANN_ROLL,"&amp;AX$5&amp;",,,,''),FLOAT_NA)")</f>
        <v>#NAME?</v>
      </c>
      <c r="AY86" s="779" t="e">
        <f ca="1">_xll.FDSC("--",$A86,"IF(FE_ACTUAL(FLAG,EBITDA_ADJ,ANN_ROLL,"&amp;AY$5&amp;",,,,'')!=3,FE_ACTUAL(ACTUAL,EBITDA_ADJ,ANN_ROLL,"&amp;AY$5&amp;",,,,''),FLOAT_NA)")</f>
        <v>#NAME?</v>
      </c>
      <c r="BB86" s="779" t="e">
        <f ca="1">_xll.FDSC("--",$A86,"IF(FE_ACTUAL(FLAG,FCF,ANN_ROLL,"&amp;BB$5&amp;",,,,'')!=3,FE_ACTUAL(ACTUAL,FCF,ANN_ROLL,"&amp;BB$5&amp;",,,,''),FLOAT_NA)")</f>
        <v>#NAME?</v>
      </c>
      <c r="BC86" s="779" t="e">
        <f ca="1">_xll.FDSC("--",$A86,"IF(FE_ACTUAL(FLAG,FCF,ANN_ROLL,"&amp;BC$5&amp;",,,,'')!=3,FE_ACTUAL(ACTUAL,FCF,ANN_ROLL,"&amp;BC$5&amp;",,,,''),FLOAT_NA)")</f>
        <v>#NAME?</v>
      </c>
      <c r="BF86" s="780" t="e">
        <f ca="1">_xll.FDSC("--",$A86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6" s="780" t="e">
        <f ca="1">_xll.FDSC("--",$A86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87" spans="41:60" x14ac:dyDescent="0.3">
      <c r="AO87" s="779" t="e">
        <f ca="1">_xll.FDSC("--",$A87,"IF(FE_ACTUAL(FLAG,SALES,ANN_ROLL,"&amp;AO$5&amp;",,,,'')!=3,FE_ACTUAL(ACTUAL,SALES,ANN_ROLL,"&amp;AO$5&amp;",,,,''),FLOAT_NA)")</f>
        <v>#NAME?</v>
      </c>
      <c r="AP87" s="779" t="e">
        <f ca="1">_xll.FDSC("--",$A87,"IF(FE_ACTUAL(FLAG,SALES,ANN_ROLL,"&amp;AP$5&amp;",,,,'')!=3,FE_ACTUAL(ACTUAL,SALES,ANN_ROLL,"&amp;AP$5&amp;",,,,''),FLOAT_NA)")</f>
        <v>#NAME?</v>
      </c>
      <c r="AQ87" s="779" t="e">
        <f ca="1">_xll.FDSC("--",$A87,"IF(FE_ACTUAL(FLAG,SALES,ANN_ROLL,"&amp;AQ$5&amp;",,,,'')!=3,FE_ACTUAL(ACTUAL,SALES,ANN_ROLL,"&amp;AQ$5&amp;",,,,''),FLOAT_NA)")</f>
        <v>#NAME?</v>
      </c>
      <c r="AT87" s="779" t="e">
        <f ca="1">_xll.FDSC("--",$A87,"IF(FE_ACTUAL(FLAG,EBIT_ADJ,ANN_ROLL,"&amp;AT$5&amp;",,,,'')!=3,FE_ACTUAL(ACTUAL,EBIT_ADJ,ANN_ROLL,"&amp;AT$5&amp;",,,,''),FLOAT_NA)")</f>
        <v>#NAME?</v>
      </c>
      <c r="AU87" s="779" t="e">
        <f ca="1">_xll.FDSC("--",$A87,"IF(FE_ACTUAL(FLAG,EBIT_ADJ,ANN_ROLL,"&amp;AU$5&amp;",,,,'')!=3,FE_ACTUAL(ACTUAL,EBIT_ADJ,ANN_ROLL,"&amp;AU$5&amp;",,,,''),FLOAT_NA)")</f>
        <v>#NAME?</v>
      </c>
      <c r="AX87" s="779" t="e">
        <f ca="1">_xll.FDSC("--",$A87,"IF(FE_ACTUAL(FLAG,EBITDA_ADJ,ANN_ROLL,"&amp;AX$5&amp;",,,,'')!=3,FE_ACTUAL(ACTUAL,EBITDA_ADJ,ANN_ROLL,"&amp;AX$5&amp;",,,,''),FLOAT_NA)")</f>
        <v>#NAME?</v>
      </c>
      <c r="AY87" s="779" t="e">
        <f ca="1">_xll.FDSC("--",$A87,"IF(FE_ACTUAL(FLAG,EBITDA_ADJ,ANN_ROLL,"&amp;AY$5&amp;",,,,'')!=3,FE_ACTUAL(ACTUAL,EBITDA_ADJ,ANN_ROLL,"&amp;AY$5&amp;",,,,''),FLOAT_NA)")</f>
        <v>#NAME?</v>
      </c>
      <c r="BB87" s="779" t="e">
        <f ca="1">_xll.FDSC("--",$A87,"IF(FE_ACTUAL(FLAG,FCF,ANN_ROLL,"&amp;BB$5&amp;",,,,'')!=3,FE_ACTUAL(ACTUAL,FCF,ANN_ROLL,"&amp;BB$5&amp;",,,,''),FLOAT_NA)")</f>
        <v>#NAME?</v>
      </c>
      <c r="BC87" s="779" t="e">
        <f ca="1">_xll.FDSC("--",$A87,"IF(FE_ACTUAL(FLAG,FCF,ANN_ROLL,"&amp;BC$5&amp;",,,,'')!=3,FE_ACTUAL(ACTUAL,FCF,ANN_ROLL,"&amp;BC$5&amp;",,,,''),FLOAT_NA)")</f>
        <v>#NAME?</v>
      </c>
      <c r="BF87" s="780" t="e">
        <f ca="1">_xll.FDSC("--",$A87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7" s="780" t="e">
        <f ca="1">_xll.FDSC("--",$A87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88" spans="41:60" x14ac:dyDescent="0.3">
      <c r="AO88" s="779" t="e">
        <f ca="1">_xll.FDSC("--",$A88,"IF(FE_ACTUAL(FLAG,SALES,ANN_ROLL,"&amp;AO$5&amp;",,,,'')!=3,FE_ACTUAL(ACTUAL,SALES,ANN_ROLL,"&amp;AO$5&amp;",,,,''),FLOAT_NA)")</f>
        <v>#NAME?</v>
      </c>
      <c r="AP88" s="779" t="e">
        <f ca="1">_xll.FDSC("--",$A88,"IF(FE_ACTUAL(FLAG,SALES,ANN_ROLL,"&amp;AP$5&amp;",,,,'')!=3,FE_ACTUAL(ACTUAL,SALES,ANN_ROLL,"&amp;AP$5&amp;",,,,''),FLOAT_NA)")</f>
        <v>#NAME?</v>
      </c>
      <c r="AQ88" s="779" t="e">
        <f ca="1">_xll.FDSC("--",$A88,"IF(FE_ACTUAL(FLAG,SALES,ANN_ROLL,"&amp;AQ$5&amp;",,,,'')!=3,FE_ACTUAL(ACTUAL,SALES,ANN_ROLL,"&amp;AQ$5&amp;",,,,''),FLOAT_NA)")</f>
        <v>#NAME?</v>
      </c>
      <c r="AT88" s="779" t="e">
        <f ca="1">_xll.FDSC("--",$A88,"IF(FE_ACTUAL(FLAG,EBIT_ADJ,ANN_ROLL,"&amp;AT$5&amp;",,,,'')!=3,FE_ACTUAL(ACTUAL,EBIT_ADJ,ANN_ROLL,"&amp;AT$5&amp;",,,,''),FLOAT_NA)")</f>
        <v>#NAME?</v>
      </c>
      <c r="AU88" s="779" t="e">
        <f ca="1">_xll.FDSC("--",$A88,"IF(FE_ACTUAL(FLAG,EBIT_ADJ,ANN_ROLL,"&amp;AU$5&amp;",,,,'')!=3,FE_ACTUAL(ACTUAL,EBIT_ADJ,ANN_ROLL,"&amp;AU$5&amp;",,,,''),FLOAT_NA)")</f>
        <v>#NAME?</v>
      </c>
      <c r="AX88" s="779" t="e">
        <f ca="1">_xll.FDSC("--",$A88,"IF(FE_ACTUAL(FLAG,EBITDA_ADJ,ANN_ROLL,"&amp;AX$5&amp;",,,,'')!=3,FE_ACTUAL(ACTUAL,EBITDA_ADJ,ANN_ROLL,"&amp;AX$5&amp;",,,,''),FLOAT_NA)")</f>
        <v>#NAME?</v>
      </c>
      <c r="AY88" s="779" t="e">
        <f ca="1">_xll.FDSC("--",$A88,"IF(FE_ACTUAL(FLAG,EBITDA_ADJ,ANN_ROLL,"&amp;AY$5&amp;",,,,'')!=3,FE_ACTUAL(ACTUAL,EBITDA_ADJ,ANN_ROLL,"&amp;AY$5&amp;",,,,''),FLOAT_NA)")</f>
        <v>#NAME?</v>
      </c>
      <c r="BB88" s="779" t="e">
        <f ca="1">_xll.FDSC("--",$A88,"IF(FE_ACTUAL(FLAG,FCF,ANN_ROLL,"&amp;BB$5&amp;",,,,'')!=3,FE_ACTUAL(ACTUAL,FCF,ANN_ROLL,"&amp;BB$5&amp;",,,,''),FLOAT_NA)")</f>
        <v>#NAME?</v>
      </c>
      <c r="BC88" s="779" t="e">
        <f ca="1">_xll.FDSC("--",$A88,"IF(FE_ACTUAL(FLAG,FCF,ANN_ROLL,"&amp;BC$5&amp;",,,,'')!=3,FE_ACTUAL(ACTUAL,FCF,ANN_ROLL,"&amp;BC$5&amp;",,,,''),FLOAT_NA)")</f>
        <v>#NAME?</v>
      </c>
      <c r="BF88" s="780" t="e">
        <f ca="1">_xll.FDSC("--",$A88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8" s="780" t="e">
        <f ca="1">_xll.FDSC("--",$A88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89" spans="41:60" x14ac:dyDescent="0.3">
      <c r="AO89" s="779" t="e">
        <f ca="1">_xll.FDSC("--",$A89,"IF(FE_ACTUAL(FLAG,SALES,ANN_ROLL,"&amp;AO$5&amp;",,,,'')!=3,FE_ACTUAL(ACTUAL,SALES,ANN_ROLL,"&amp;AO$5&amp;",,,,''),FLOAT_NA)")</f>
        <v>#NAME?</v>
      </c>
      <c r="AP89" s="779" t="e">
        <f ca="1">_xll.FDSC("--",$A89,"IF(FE_ACTUAL(FLAG,SALES,ANN_ROLL,"&amp;AP$5&amp;",,,,'')!=3,FE_ACTUAL(ACTUAL,SALES,ANN_ROLL,"&amp;AP$5&amp;",,,,''),FLOAT_NA)")</f>
        <v>#NAME?</v>
      </c>
      <c r="AQ89" s="779" t="e">
        <f ca="1">_xll.FDSC("--",$A89,"IF(FE_ACTUAL(FLAG,SALES,ANN_ROLL,"&amp;AQ$5&amp;",,,,'')!=3,FE_ACTUAL(ACTUAL,SALES,ANN_ROLL,"&amp;AQ$5&amp;",,,,''),FLOAT_NA)")</f>
        <v>#NAME?</v>
      </c>
      <c r="AT89" s="779" t="e">
        <f ca="1">_xll.FDSC("--",$A89,"IF(FE_ACTUAL(FLAG,EBIT_ADJ,ANN_ROLL,"&amp;AT$5&amp;",,,,'')!=3,FE_ACTUAL(ACTUAL,EBIT_ADJ,ANN_ROLL,"&amp;AT$5&amp;",,,,''),FLOAT_NA)")</f>
        <v>#NAME?</v>
      </c>
      <c r="AU89" s="779" t="e">
        <f ca="1">_xll.FDSC("--",$A89,"IF(FE_ACTUAL(FLAG,EBIT_ADJ,ANN_ROLL,"&amp;AU$5&amp;",,,,'')!=3,FE_ACTUAL(ACTUAL,EBIT_ADJ,ANN_ROLL,"&amp;AU$5&amp;",,,,''),FLOAT_NA)")</f>
        <v>#NAME?</v>
      </c>
      <c r="AX89" s="779" t="e">
        <f ca="1">_xll.FDSC("--",$A89,"IF(FE_ACTUAL(FLAG,EBITDA_ADJ,ANN_ROLL,"&amp;AX$5&amp;",,,,'')!=3,FE_ACTUAL(ACTUAL,EBITDA_ADJ,ANN_ROLL,"&amp;AX$5&amp;",,,,''),FLOAT_NA)")</f>
        <v>#NAME?</v>
      </c>
      <c r="AY89" s="779" t="e">
        <f ca="1">_xll.FDSC("--",$A89,"IF(FE_ACTUAL(FLAG,EBITDA_ADJ,ANN_ROLL,"&amp;AY$5&amp;",,,,'')!=3,FE_ACTUAL(ACTUAL,EBITDA_ADJ,ANN_ROLL,"&amp;AY$5&amp;",,,,''),FLOAT_NA)")</f>
        <v>#NAME?</v>
      </c>
      <c r="BB89" s="779" t="e">
        <f ca="1">_xll.FDSC("--",$A89,"IF(FE_ACTUAL(FLAG,FCF,ANN_ROLL,"&amp;BB$5&amp;",,,,'')!=3,FE_ACTUAL(ACTUAL,FCF,ANN_ROLL,"&amp;BB$5&amp;",,,,''),FLOAT_NA)")</f>
        <v>#NAME?</v>
      </c>
      <c r="BC89" s="779" t="e">
        <f ca="1">_xll.FDSC("--",$A89,"IF(FE_ACTUAL(FLAG,FCF,ANN_ROLL,"&amp;BC$5&amp;",,,,'')!=3,FE_ACTUAL(ACTUAL,FCF,ANN_ROLL,"&amp;BC$5&amp;",,,,''),FLOAT_NA)")</f>
        <v>#NAME?</v>
      </c>
      <c r="BF89" s="780" t="e">
        <f ca="1">_xll.FDSC("--",$A89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89" s="780" t="e">
        <f ca="1">_xll.FDSC("--",$A89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90" spans="41:60" x14ac:dyDescent="0.3">
      <c r="AO90" s="779" t="e">
        <f ca="1">_xll.FDSC("--",$A90,"IF(FE_ACTUAL(FLAG,SALES,ANN_ROLL,"&amp;AO$5&amp;",,,,'')!=3,FE_ACTUAL(ACTUAL,SALES,ANN_ROLL,"&amp;AO$5&amp;",,,,''),FLOAT_NA)")</f>
        <v>#NAME?</v>
      </c>
      <c r="AP90" s="779" t="e">
        <f ca="1">_xll.FDSC("--",$A90,"IF(FE_ACTUAL(FLAG,SALES,ANN_ROLL,"&amp;AP$5&amp;",,,,'')!=3,FE_ACTUAL(ACTUAL,SALES,ANN_ROLL,"&amp;AP$5&amp;",,,,''),FLOAT_NA)")</f>
        <v>#NAME?</v>
      </c>
      <c r="AQ90" s="779" t="e">
        <f ca="1">_xll.FDSC("--",$A90,"IF(FE_ACTUAL(FLAG,SALES,ANN_ROLL,"&amp;AQ$5&amp;",,,,'')!=3,FE_ACTUAL(ACTUAL,SALES,ANN_ROLL,"&amp;AQ$5&amp;",,,,''),FLOAT_NA)")</f>
        <v>#NAME?</v>
      </c>
      <c r="AT90" s="779" t="e">
        <f ca="1">_xll.FDSC("--",$A90,"IF(FE_ACTUAL(FLAG,EBIT_ADJ,ANN_ROLL,"&amp;AT$5&amp;",,,,'')!=3,FE_ACTUAL(ACTUAL,EBIT_ADJ,ANN_ROLL,"&amp;AT$5&amp;",,,,''),FLOAT_NA)")</f>
        <v>#NAME?</v>
      </c>
      <c r="AU90" s="779" t="e">
        <f ca="1">_xll.FDSC("--",$A90,"IF(FE_ACTUAL(FLAG,EBIT_ADJ,ANN_ROLL,"&amp;AU$5&amp;",,,,'')!=3,FE_ACTUAL(ACTUAL,EBIT_ADJ,ANN_ROLL,"&amp;AU$5&amp;",,,,''),FLOAT_NA)")</f>
        <v>#NAME?</v>
      </c>
      <c r="AX90" s="779" t="e">
        <f ca="1">_xll.FDSC("--",$A90,"IF(FE_ACTUAL(FLAG,EBITDA_ADJ,ANN_ROLL,"&amp;AX$5&amp;",,,,'')!=3,FE_ACTUAL(ACTUAL,EBITDA_ADJ,ANN_ROLL,"&amp;AX$5&amp;",,,,''),FLOAT_NA)")</f>
        <v>#NAME?</v>
      </c>
      <c r="AY90" s="779" t="e">
        <f ca="1">_xll.FDSC("--",$A90,"IF(FE_ACTUAL(FLAG,EBITDA_ADJ,ANN_ROLL,"&amp;AY$5&amp;",,,,'')!=3,FE_ACTUAL(ACTUAL,EBITDA_ADJ,ANN_ROLL,"&amp;AY$5&amp;",,,,''),FLOAT_NA)")</f>
        <v>#NAME?</v>
      </c>
      <c r="BB90" s="779" t="e">
        <f ca="1">_xll.FDSC("--",$A90,"IF(FE_ACTUAL(FLAG,FCF,ANN_ROLL,"&amp;BB$5&amp;",,,,'')!=3,FE_ACTUAL(ACTUAL,FCF,ANN_ROLL,"&amp;BB$5&amp;",,,,''),FLOAT_NA)")</f>
        <v>#NAME?</v>
      </c>
      <c r="BC90" s="779" t="e">
        <f ca="1">_xll.FDSC("--",$A90,"IF(FE_ACTUAL(FLAG,FCF,ANN_ROLL,"&amp;BC$5&amp;",,,,'')!=3,FE_ACTUAL(ACTUAL,FCF,ANN_ROLL,"&amp;BC$5&amp;",,,,''),FLOAT_NA)")</f>
        <v>#NAME?</v>
      </c>
      <c r="BF90" s="780" t="e">
        <f ca="1">_xll.FDSC("--",$A90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90" s="780" t="e">
        <f ca="1">_xll.FDSC("--",$A90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  <row r="91" spans="41:60" x14ac:dyDescent="0.3">
      <c r="AO91" s="779" t="e">
        <f ca="1">_xll.FDSC("--",$A91,"IF(FE_ACTUAL(FLAG,SALES,ANN_ROLL,"&amp;AO$5&amp;",,,,'')!=3,FE_ACTUAL(ACTUAL,SALES,ANN_ROLL,"&amp;AO$5&amp;",,,,''),FLOAT_NA)")</f>
        <v>#NAME?</v>
      </c>
      <c r="AP91" s="779" t="e">
        <f ca="1">_xll.FDSC("--",$A91,"IF(FE_ACTUAL(FLAG,SALES,ANN_ROLL,"&amp;AP$5&amp;",,,,'')!=3,FE_ACTUAL(ACTUAL,SALES,ANN_ROLL,"&amp;AP$5&amp;",,,,''),FLOAT_NA)")</f>
        <v>#NAME?</v>
      </c>
      <c r="AQ91" s="779" t="e">
        <f ca="1">_xll.FDSC("--",$A91,"IF(FE_ACTUAL(FLAG,SALES,ANN_ROLL,"&amp;AQ$5&amp;",,,,'')!=3,FE_ACTUAL(ACTUAL,SALES,ANN_ROLL,"&amp;AQ$5&amp;",,,,''),FLOAT_NA)")</f>
        <v>#NAME?</v>
      </c>
      <c r="AT91" s="779" t="e">
        <f ca="1">_xll.FDSC("--",$A91,"IF(FE_ACTUAL(FLAG,EBIT_ADJ,ANN_ROLL,"&amp;AT$5&amp;",,,,'')!=3,FE_ACTUAL(ACTUAL,EBIT_ADJ,ANN_ROLL,"&amp;AT$5&amp;",,,,''),FLOAT_NA)")</f>
        <v>#NAME?</v>
      </c>
      <c r="AU91" s="779" t="e">
        <f ca="1">_xll.FDSC("--",$A91,"IF(FE_ACTUAL(FLAG,EBIT_ADJ,ANN_ROLL,"&amp;AU$5&amp;",,,,'')!=3,FE_ACTUAL(ACTUAL,EBIT_ADJ,ANN_ROLL,"&amp;AU$5&amp;",,,,''),FLOAT_NA)")</f>
        <v>#NAME?</v>
      </c>
      <c r="AX91" s="779" t="e">
        <f ca="1">_xll.FDSC("--",$A91,"IF(FE_ACTUAL(FLAG,EBITDA_ADJ,ANN_ROLL,"&amp;AX$5&amp;",,,,'')!=3,FE_ACTUAL(ACTUAL,EBITDA_ADJ,ANN_ROLL,"&amp;AX$5&amp;",,,,''),FLOAT_NA)")</f>
        <v>#NAME?</v>
      </c>
      <c r="AY91" s="779" t="e">
        <f ca="1">_xll.FDSC("--",$A91,"IF(FE_ACTUAL(FLAG,EBITDA_ADJ,ANN_ROLL,"&amp;AY$5&amp;",,,,'')!=3,FE_ACTUAL(ACTUAL,EBITDA_ADJ,ANN_ROLL,"&amp;AY$5&amp;",,,,''),FLOAT_NA)")</f>
        <v>#NAME?</v>
      </c>
      <c r="BB91" s="779" t="e">
        <f ca="1">_xll.FDSC("--",$A91,"IF(FE_ACTUAL(FLAG,FCF,ANN_ROLL,"&amp;BB$5&amp;",,,,'')!=3,FE_ACTUAL(ACTUAL,FCF,ANN_ROLL,"&amp;BB$5&amp;",,,,''),FLOAT_NA)")</f>
        <v>#NAME?</v>
      </c>
      <c r="BC91" s="779" t="e">
        <f ca="1">_xll.FDSC("--",$A91,"IF(FE_ACTUAL(FLAG,FCF,ANN_ROLL,"&amp;BC$5&amp;",,,,'')!=3,FE_ACTUAL(ACTUAL,FCF,ANN_ROLL,"&amp;BC$5&amp;",,,,''),FLOAT_NA)")</f>
        <v>#NAME?</v>
      </c>
      <c r="BF91" s="780" t="e">
        <f ca="1">_xll.FDSC("--",$A91,"IF(FE_ACTUAL(FLAG,GROSS_INC,ANN_ROLL,"&amp;BF$5&amp;",,,,'')!=3,FE_ACTUAL(ACTUAL,GROSS_INC,ANN_ROLL,"&amp;BF$5&amp;",,,,''),FLOAT_NA)/IF(FE_ACTUAL(FLAG,SALES,ANN_ROLL,"&amp;BF$5&amp;",,,,'')!=3,FE_ACTUAL(ACTUAL,SALES,ANN_ROLL,"&amp;BF$5&amp;",,,,''),FLOAT_NA)")</f>
        <v>#NAME?</v>
      </c>
      <c r="BG91" s="780" t="e">
        <f ca="1">_xll.FDSC("--",$A91,"IF(FE_ACTUAL(FLAG,GROSS_INC,ANN_ROLL,"&amp;BG$5&amp;",,,,'')!=3,FE_ACTUAL(ACTUAL,GROSS_INC,ANN_ROLL,"&amp;BG$5&amp;",,,,''),FLOAT_NA)/IF(FE_ACTUAL(FLAG,SALES,ANN_ROLL,"&amp;BG$5&amp;",,,,'')!=3,FE_ACTUAL(ACTUAL,SALES,ANN_ROLL,"&amp;BG$5&amp;",,,,''),FLOAT_NA)")</f>
        <v>#NAME?</v>
      </c>
    </row>
  </sheetData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81F9-EE87-4567-ACC5-DF2CDF6A2A73}">
  <dimension ref="A1:R48"/>
  <sheetViews>
    <sheetView showGridLines="0" zoomScale="85" zoomScaleNormal="85" workbookViewId="0">
      <selection activeCell="I12" sqref="I12"/>
    </sheetView>
  </sheetViews>
  <sheetFormatPr defaultColWidth="7.81640625" defaultRowHeight="15.5" outlineLevelCol="1" x14ac:dyDescent="0.35"/>
  <cols>
    <col min="1" max="2" width="0.81640625" style="3" customWidth="1"/>
    <col min="3" max="3" width="7.81640625" style="618"/>
    <col min="4" max="4" width="10.1796875" style="618" customWidth="1" outlineLevel="1"/>
    <col min="5" max="5" width="20.453125" style="618" customWidth="1"/>
    <col min="6" max="6" width="16.81640625" style="618" customWidth="1"/>
    <col min="7" max="7" width="18.26953125" style="618" customWidth="1"/>
    <col min="8" max="8" width="20" style="618" bestFit="1" customWidth="1"/>
    <col min="9" max="9" width="13.54296875" style="618" customWidth="1"/>
    <col min="10" max="10" width="13.1796875" style="618" bestFit="1" customWidth="1"/>
    <col min="11" max="11" width="69.54296875" style="618" customWidth="1"/>
    <col min="12" max="12" width="255.54296875" style="618" bestFit="1" customWidth="1"/>
    <col min="13" max="14" width="0.81640625" style="3" customWidth="1"/>
    <col min="15" max="16384" width="7.81640625" style="618"/>
  </cols>
  <sheetData>
    <row r="1" spans="1:18" s="3" customFormat="1" ht="7.5" customHeight="1" x14ac:dyDescent="0.35">
      <c r="A1" s="2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388" customFormat="1" ht="19.5" customHeight="1" thickBot="1" x14ac:dyDescent="0.55000000000000004">
      <c r="A2" s="2"/>
      <c r="B2" s="5"/>
      <c r="C2" s="4" t="s">
        <v>468</v>
      </c>
      <c r="D2" s="387"/>
      <c r="E2" s="387"/>
      <c r="F2" s="387"/>
      <c r="G2" s="387"/>
      <c r="H2" s="387"/>
      <c r="I2" s="387"/>
      <c r="J2" s="387"/>
      <c r="K2" s="387"/>
      <c r="L2" s="387"/>
      <c r="M2" s="5"/>
    </row>
    <row r="3" spans="1:18" s="26" customFormat="1" ht="13" x14ac:dyDescent="0.3">
      <c r="C3" s="27" t="s">
        <v>18</v>
      </c>
    </row>
    <row r="4" spans="1:18" s="388" customFormat="1" ht="8.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  <c r="P4" s="2"/>
      <c r="Q4" s="2"/>
      <c r="R4" s="2"/>
    </row>
    <row r="5" spans="1:18" s="595" customFormat="1" x14ac:dyDescent="0.35">
      <c r="A5" s="2"/>
      <c r="B5" s="2"/>
      <c r="C5" s="609"/>
      <c r="D5" s="609"/>
      <c r="E5" s="609"/>
      <c r="F5" s="609"/>
      <c r="G5" s="609"/>
      <c r="H5" s="609"/>
      <c r="I5" s="609"/>
      <c r="J5" s="609"/>
      <c r="K5" s="609"/>
      <c r="M5" s="2"/>
      <c r="N5" s="2"/>
    </row>
    <row r="6" spans="1:18" s="595" customFormat="1" x14ac:dyDescent="0.35">
      <c r="A6" s="2"/>
      <c r="B6" s="2"/>
      <c r="E6" s="1390" t="s">
        <v>469</v>
      </c>
      <c r="F6" s="1391"/>
      <c r="G6" s="1391"/>
      <c r="H6" s="1391"/>
      <c r="I6" s="1391"/>
      <c r="J6" s="1391"/>
      <c r="K6" s="610"/>
      <c r="L6" s="610"/>
      <c r="M6" s="2"/>
      <c r="N6" s="2"/>
    </row>
    <row r="7" spans="1:18" s="595" customFormat="1" x14ac:dyDescent="0.35">
      <c r="A7" s="2"/>
      <c r="B7" s="2"/>
      <c r="C7" s="611"/>
      <c r="E7" s="1392" t="s">
        <v>434</v>
      </c>
      <c r="F7" s="1393"/>
      <c r="G7" s="1393"/>
      <c r="H7" s="1393"/>
      <c r="I7" s="1393"/>
      <c r="J7" s="1393"/>
      <c r="K7" s="610"/>
      <c r="M7" s="2"/>
      <c r="N7" s="2"/>
    </row>
    <row r="8" spans="1:18" s="595" customFormat="1" x14ac:dyDescent="0.35">
      <c r="A8" s="2"/>
      <c r="B8" s="2"/>
      <c r="M8" s="2"/>
      <c r="N8" s="2"/>
    </row>
    <row r="9" spans="1:18" s="612" customFormat="1" ht="46.5" x14ac:dyDescent="0.35">
      <c r="A9" s="2"/>
      <c r="B9" s="2"/>
      <c r="D9" s="596" t="s">
        <v>470</v>
      </c>
      <c r="E9" s="596" t="s">
        <v>282</v>
      </c>
      <c r="F9" s="597" t="s">
        <v>131</v>
      </c>
      <c r="G9" s="597" t="s">
        <v>130</v>
      </c>
      <c r="H9" s="597" t="s">
        <v>471</v>
      </c>
      <c r="I9" s="597" t="s">
        <v>472</v>
      </c>
      <c r="J9" s="598" t="s">
        <v>473</v>
      </c>
      <c r="K9" s="597" t="s">
        <v>474</v>
      </c>
      <c r="M9" s="2"/>
      <c r="N9" s="2"/>
    </row>
    <row r="10" spans="1:18" s="595" customFormat="1" ht="15.65" customHeight="1" x14ac:dyDescent="0.35">
      <c r="A10" s="2"/>
      <c r="B10" s="2"/>
      <c r="D10" s="599" t="str">
        <f>IF($G10&lt;&gt;"",_xll.PBMATCHPBID($G10),"")</f>
        <v>51548-14</v>
      </c>
      <c r="E10" s="600" t="e">
        <f ca="1">IF($D10&lt;&gt;"",_xll.PBD($D10, "MostRecentDealDate", "", "USD"),"")</f>
        <v>#NAME?</v>
      </c>
      <c r="F10" s="613" t="s">
        <v>475</v>
      </c>
      <c r="G10" s="613" t="s">
        <v>476</v>
      </c>
      <c r="H10" s="614">
        <v>46</v>
      </c>
      <c r="I10" s="614">
        <v>1</v>
      </c>
      <c r="J10" s="601">
        <f>IFERROR(H10/I10,"-")</f>
        <v>46</v>
      </c>
      <c r="K10" s="615" t="e">
        <f ca="1">IF($D10&lt;&gt;"",_xll.PBD($D10, "CompanyDescription", "", "USD"),"")</f>
        <v>#NAME?</v>
      </c>
      <c r="M10" s="2"/>
      <c r="N10" s="2"/>
    </row>
    <row r="11" spans="1:18" s="595" customFormat="1" ht="15.65" customHeight="1" x14ac:dyDescent="0.35">
      <c r="A11" s="2"/>
      <c r="B11" s="2"/>
      <c r="C11" s="616"/>
      <c r="D11" s="599" t="str">
        <f>IF($G11&lt;&gt;"",_xll.PBMATCHPBID($G11),"")</f>
        <v/>
      </c>
      <c r="E11" s="600" t="str">
        <f>IF($D11&lt;&gt;"",_xll.PBD($D11, "MostRecentDealDate", "", "USD"),"")</f>
        <v/>
      </c>
      <c r="F11" s="613"/>
      <c r="G11" s="613"/>
      <c r="H11" s="614"/>
      <c r="I11" s="614"/>
      <c r="J11" s="601" t="str">
        <f t="shared" ref="J11:J22" si="0">IFERROR(H11/I11,"-")</f>
        <v>-</v>
      </c>
      <c r="L11" s="602"/>
      <c r="M11" s="2"/>
      <c r="N11" s="2"/>
    </row>
    <row r="12" spans="1:18" s="595" customFormat="1" ht="15.65" customHeight="1" x14ac:dyDescent="0.35">
      <c r="A12" s="2"/>
      <c r="B12" s="2"/>
      <c r="C12" s="616"/>
      <c r="D12" s="599" t="str">
        <f>IF($G12&lt;&gt;"",_xll.PBMATCHPBID($G12),"")</f>
        <v/>
      </c>
      <c r="E12" s="600" t="str">
        <f>IF($D12&lt;&gt;"",_xll.PBD($D12, "MostRecentDealDate", "", "USD"),"")</f>
        <v/>
      </c>
      <c r="F12" s="613"/>
      <c r="G12" s="613"/>
      <c r="H12" s="614"/>
      <c r="I12" s="614"/>
      <c r="J12" s="601" t="str">
        <f t="shared" si="0"/>
        <v>-</v>
      </c>
      <c r="L12" s="602"/>
      <c r="M12" s="2"/>
      <c r="N12" s="2"/>
    </row>
    <row r="13" spans="1:18" s="595" customFormat="1" ht="15.65" customHeight="1" x14ac:dyDescent="0.35">
      <c r="A13" s="2"/>
      <c r="B13" s="2"/>
      <c r="C13" s="616"/>
      <c r="D13" s="599" t="str">
        <f>IF($G13&lt;&gt;"",_xll.PBMATCHPBID($G13),"")</f>
        <v/>
      </c>
      <c r="E13" s="600" t="str">
        <f>IF($D13&lt;&gt;"",_xll.PBD($D13, "MostRecentDealDate", "", "USD"),"")</f>
        <v/>
      </c>
      <c r="F13" s="613"/>
      <c r="G13" s="613"/>
      <c r="H13" s="614"/>
      <c r="I13" s="614"/>
      <c r="J13" s="601" t="str">
        <f t="shared" si="0"/>
        <v>-</v>
      </c>
      <c r="L13" s="602"/>
      <c r="M13" s="2"/>
      <c r="N13" s="2"/>
    </row>
    <row r="14" spans="1:18" s="595" customFormat="1" ht="15.65" customHeight="1" x14ac:dyDescent="0.35">
      <c r="A14" s="2"/>
      <c r="B14" s="2"/>
      <c r="C14" s="616"/>
      <c r="D14" s="599" t="str">
        <f>IF($G14&lt;&gt;"",_xll.PBMATCHPBID($G14),"")</f>
        <v/>
      </c>
      <c r="E14" s="600" t="str">
        <f>IF($D14&lt;&gt;"",_xll.PBD($D14, "MostRecentDealDate", "", "USD"),"")</f>
        <v/>
      </c>
      <c r="F14" s="613"/>
      <c r="G14" s="613"/>
      <c r="H14" s="614"/>
      <c r="I14" s="614"/>
      <c r="J14" s="601" t="str">
        <f t="shared" si="0"/>
        <v>-</v>
      </c>
      <c r="L14" s="602"/>
      <c r="M14" s="2"/>
      <c r="N14" s="2"/>
    </row>
    <row r="15" spans="1:18" s="595" customFormat="1" ht="15.65" customHeight="1" x14ac:dyDescent="0.35">
      <c r="A15" s="2"/>
      <c r="B15" s="2"/>
      <c r="C15" s="616"/>
      <c r="D15" s="599" t="str">
        <f>IF($G15&lt;&gt;"",_xll.PBMATCHPBID($G15),"")</f>
        <v/>
      </c>
      <c r="E15" s="600" t="str">
        <f>IF($D15&lt;&gt;"",_xll.PBD($D15, "MostRecentDealDate", "", "USD"),"")</f>
        <v/>
      </c>
      <c r="F15" s="613"/>
      <c r="G15" s="613"/>
      <c r="H15" s="614"/>
      <c r="I15" s="614"/>
      <c r="J15" s="601" t="str">
        <f t="shared" si="0"/>
        <v>-</v>
      </c>
      <c r="L15" s="602"/>
      <c r="M15" s="2"/>
      <c r="N15" s="2"/>
    </row>
    <row r="16" spans="1:18" s="595" customFormat="1" ht="15.65" customHeight="1" x14ac:dyDescent="0.35">
      <c r="A16" s="2"/>
      <c r="B16" s="2"/>
      <c r="C16" s="616"/>
      <c r="D16" s="599" t="str">
        <f>IF($G16&lt;&gt;"",_xll.PBMATCHPBID($G16),"")</f>
        <v/>
      </c>
      <c r="E16" s="600" t="str">
        <f>IF($D16&lt;&gt;"",_xll.PBD($D16, "MostRecentDealDate", "", "USD"),"")</f>
        <v/>
      </c>
      <c r="F16" s="613"/>
      <c r="G16" s="613"/>
      <c r="H16" s="614"/>
      <c r="I16" s="614"/>
      <c r="J16" s="601" t="str">
        <f t="shared" si="0"/>
        <v>-</v>
      </c>
      <c r="L16" s="602"/>
      <c r="M16" s="2"/>
      <c r="N16" s="2"/>
    </row>
    <row r="17" spans="1:14" s="595" customFormat="1" ht="15.65" customHeight="1" x14ac:dyDescent="0.35">
      <c r="A17" s="2"/>
      <c r="B17" s="2"/>
      <c r="C17" s="616"/>
      <c r="D17" s="599" t="str">
        <f>IF($G17&lt;&gt;"",_xll.PBMATCHPBID($G17),"")</f>
        <v/>
      </c>
      <c r="E17" s="600" t="str">
        <f>IF($D17&lt;&gt;"",_xll.PBD($D17, "MostRecentDealDate", "", "USD"),"")</f>
        <v/>
      </c>
      <c r="F17" s="613"/>
      <c r="G17" s="613"/>
      <c r="H17" s="614"/>
      <c r="I17" s="614"/>
      <c r="J17" s="601" t="str">
        <f t="shared" si="0"/>
        <v>-</v>
      </c>
      <c r="L17" s="602"/>
      <c r="M17" s="2"/>
      <c r="N17" s="2"/>
    </row>
    <row r="18" spans="1:14" s="595" customFormat="1" ht="15.65" customHeight="1" x14ac:dyDescent="0.35">
      <c r="A18" s="2"/>
      <c r="B18" s="2"/>
      <c r="C18" s="616"/>
      <c r="D18" s="599" t="str">
        <f>IF($G18&lt;&gt;"",_xll.PBMATCHPBID($G18),"")</f>
        <v/>
      </c>
      <c r="E18" s="600" t="str">
        <f>IF($D18&lt;&gt;"",_xll.PBD($D18, "MostRecentDealDate", "", "USD"),"")</f>
        <v/>
      </c>
      <c r="F18" s="613"/>
      <c r="G18" s="613"/>
      <c r="H18" s="614"/>
      <c r="I18" s="614"/>
      <c r="J18" s="601" t="str">
        <f t="shared" si="0"/>
        <v>-</v>
      </c>
      <c r="L18" s="602"/>
      <c r="M18" s="2"/>
      <c r="N18" s="2"/>
    </row>
    <row r="19" spans="1:14" s="595" customFormat="1" ht="15.65" customHeight="1" x14ac:dyDescent="0.35">
      <c r="A19" s="2"/>
      <c r="B19" s="2"/>
      <c r="C19" s="616"/>
      <c r="D19" s="599" t="str">
        <f>IF($G19&lt;&gt;"",_xll.PBMATCHPBID($G19),"")</f>
        <v/>
      </c>
      <c r="E19" s="600" t="str">
        <f>IF($D19&lt;&gt;"",_xll.PBD($D19, "MostRecentDealDate", "", "USD"),"")</f>
        <v/>
      </c>
      <c r="F19" s="613"/>
      <c r="G19" s="613"/>
      <c r="H19" s="614"/>
      <c r="I19" s="614"/>
      <c r="J19" s="601" t="str">
        <f t="shared" si="0"/>
        <v>-</v>
      </c>
      <c r="M19" s="2"/>
      <c r="N19" s="2"/>
    </row>
    <row r="20" spans="1:14" s="595" customFormat="1" ht="15.65" customHeight="1" x14ac:dyDescent="0.35">
      <c r="A20" s="2"/>
      <c r="B20" s="2"/>
      <c r="D20" s="599" t="str">
        <f>IF($G20&lt;&gt;"",_xll.PBMATCHPBID($G20),"")</f>
        <v/>
      </c>
      <c r="E20" s="600" t="str">
        <f>IF($D20&lt;&gt;"",_xll.PBD($D20, "MostRecentDealDate", "", "USD"),"")</f>
        <v/>
      </c>
      <c r="F20" s="613"/>
      <c r="G20" s="613"/>
      <c r="H20" s="614"/>
      <c r="I20" s="614"/>
      <c r="J20" s="601" t="str">
        <f t="shared" si="0"/>
        <v>-</v>
      </c>
      <c r="M20" s="2"/>
      <c r="N20" s="2"/>
    </row>
    <row r="21" spans="1:14" s="595" customFormat="1" ht="15.65" customHeight="1" x14ac:dyDescent="0.35">
      <c r="A21" s="2"/>
      <c r="B21" s="2"/>
      <c r="D21" s="599" t="str">
        <f>IF($G21&lt;&gt;"",_xll.PBMATCHPBID($G21),"")</f>
        <v/>
      </c>
      <c r="E21" s="600" t="str">
        <f>IF($D21&lt;&gt;"",_xll.PBD($D21, "MostRecentDealDate", "", "USD"),"")</f>
        <v/>
      </c>
      <c r="F21" s="613"/>
      <c r="G21" s="613"/>
      <c r="H21" s="614"/>
      <c r="I21" s="614"/>
      <c r="J21" s="601" t="str">
        <f t="shared" si="0"/>
        <v>-</v>
      </c>
      <c r="M21" s="2"/>
      <c r="N21" s="2"/>
    </row>
    <row r="22" spans="1:14" s="595" customFormat="1" ht="15.65" customHeight="1" x14ac:dyDescent="0.35">
      <c r="A22" s="2"/>
      <c r="B22" s="2"/>
      <c r="D22" s="599" t="str">
        <f>IF($G22&lt;&gt;"",_xll.PBMATCHPBID($G22),"")</f>
        <v/>
      </c>
      <c r="E22" s="600" t="str">
        <f>IF($D22&lt;&gt;"",_xll.PBD($D22, "MostRecentDealDate", "", "USD"),"")</f>
        <v/>
      </c>
      <c r="F22" s="613"/>
      <c r="G22" s="613"/>
      <c r="H22" s="614"/>
      <c r="I22" s="614"/>
      <c r="J22" s="601" t="str">
        <f t="shared" si="0"/>
        <v>-</v>
      </c>
      <c r="M22" s="2"/>
      <c r="N22" s="2"/>
    </row>
    <row r="23" spans="1:14" s="595" customFormat="1" x14ac:dyDescent="0.35">
      <c r="A23" s="2"/>
      <c r="B23" s="2"/>
      <c r="D23" s="617"/>
      <c r="E23" s="617"/>
      <c r="F23" s="602"/>
      <c r="G23" s="603"/>
      <c r="L23" s="610"/>
      <c r="M23" s="2"/>
      <c r="N23" s="2"/>
    </row>
    <row r="24" spans="1:14" s="595" customFormat="1" x14ac:dyDescent="0.35">
      <c r="A24" s="2"/>
      <c r="B24" s="2"/>
      <c r="C24" s="604"/>
      <c r="D24" s="604"/>
      <c r="E24" s="604"/>
      <c r="F24" s="602"/>
      <c r="G24" s="603"/>
      <c r="I24" s="605" t="s">
        <v>137</v>
      </c>
      <c r="J24" s="606">
        <f>AVERAGE(J10:J22)</f>
        <v>46</v>
      </c>
      <c r="L24" s="610"/>
      <c r="M24" s="2"/>
      <c r="N24" s="2"/>
    </row>
    <row r="25" spans="1:14" s="595" customFormat="1" x14ac:dyDescent="0.35">
      <c r="A25" s="2"/>
      <c r="B25" s="2"/>
      <c r="G25" s="607"/>
      <c r="I25" s="608" t="s">
        <v>138</v>
      </c>
      <c r="J25" s="606">
        <f>MEDIAN(J10:J22)</f>
        <v>46</v>
      </c>
      <c r="L25" s="610"/>
      <c r="M25" s="2"/>
      <c r="N25" s="2"/>
    </row>
    <row r="26" spans="1:14" s="595" customFormat="1" x14ac:dyDescent="0.35">
      <c r="A26" s="2"/>
      <c r="B26" s="2"/>
      <c r="H26" s="611"/>
      <c r="I26" s="608" t="s">
        <v>477</v>
      </c>
      <c r="J26" s="606">
        <f>MIN(J10:J22)</f>
        <v>46</v>
      </c>
      <c r="M26" s="2"/>
      <c r="N26" s="2"/>
    </row>
    <row r="27" spans="1:14" s="595" customFormat="1" x14ac:dyDescent="0.35">
      <c r="A27" s="2"/>
      <c r="B27" s="2"/>
      <c r="I27" s="608" t="s">
        <v>478</v>
      </c>
      <c r="J27" s="606">
        <f>MAX(J10:J22)</f>
        <v>46</v>
      </c>
      <c r="M27" s="2"/>
      <c r="N27" s="2"/>
    </row>
    <row r="28" spans="1:14" s="595" customFormat="1" x14ac:dyDescent="0.35">
      <c r="A28" s="3"/>
      <c r="B28" s="3"/>
      <c r="M28" s="3"/>
      <c r="N28" s="3"/>
    </row>
    <row r="29" spans="1:14" s="595" customFormat="1" x14ac:dyDescent="0.35">
      <c r="A29" s="3"/>
      <c r="B29" s="3"/>
      <c r="M29" s="3"/>
      <c r="N29" s="3"/>
    </row>
    <row r="30" spans="1:14" s="595" customFormat="1" x14ac:dyDescent="0.35">
      <c r="A30" s="3"/>
      <c r="B30" s="3"/>
      <c r="M30" s="3"/>
      <c r="N30" s="3"/>
    </row>
    <row r="31" spans="1:14" s="595" customFormat="1" x14ac:dyDescent="0.35">
      <c r="A31" s="3"/>
      <c r="B31" s="3"/>
      <c r="M31" s="3"/>
      <c r="N31" s="3"/>
    </row>
    <row r="32" spans="1:14" s="595" customFormat="1" x14ac:dyDescent="0.35">
      <c r="A32" s="3"/>
      <c r="B32" s="3"/>
      <c r="M32" s="3"/>
      <c r="N32" s="3"/>
    </row>
    <row r="33" spans="1:14" s="595" customFormat="1" x14ac:dyDescent="0.35">
      <c r="A33" s="3"/>
      <c r="B33" s="3"/>
      <c r="E33" s="1394" t="s">
        <v>479</v>
      </c>
      <c r="F33" s="1395"/>
      <c r="G33" s="1395"/>
      <c r="H33" s="1395"/>
      <c r="I33" s="1395"/>
      <c r="J33" s="1396"/>
      <c r="M33" s="3"/>
      <c r="N33" s="3"/>
    </row>
    <row r="34" spans="1:14" s="595" customFormat="1" x14ac:dyDescent="0.35">
      <c r="A34" s="3"/>
      <c r="B34" s="3"/>
      <c r="E34" s="1392" t="s">
        <v>434</v>
      </c>
      <c r="F34" s="1393"/>
      <c r="G34" s="1393"/>
      <c r="H34" s="1393"/>
      <c r="I34" s="1393"/>
      <c r="J34" s="1393"/>
      <c r="M34" s="3"/>
      <c r="N34" s="3"/>
    </row>
    <row r="35" spans="1:14" s="595" customFormat="1" x14ac:dyDescent="0.35">
      <c r="A35" s="3"/>
      <c r="B35" s="3"/>
      <c r="M35" s="3"/>
      <c r="N35" s="3"/>
    </row>
    <row r="36" spans="1:14" s="595" customFormat="1" ht="46.5" x14ac:dyDescent="0.35">
      <c r="A36" s="3"/>
      <c r="B36" s="3"/>
      <c r="D36" s="596" t="s">
        <v>470</v>
      </c>
      <c r="E36" s="596" t="s">
        <v>282</v>
      </c>
      <c r="F36" s="597" t="s">
        <v>130</v>
      </c>
      <c r="G36" s="597" t="s">
        <v>474</v>
      </c>
      <c r="H36" s="597" t="s">
        <v>480</v>
      </c>
      <c r="I36" s="597" t="s">
        <v>481</v>
      </c>
      <c r="J36" s="598" t="s">
        <v>473</v>
      </c>
      <c r="K36" s="597" t="s">
        <v>474</v>
      </c>
      <c r="M36" s="3"/>
      <c r="N36" s="3"/>
    </row>
    <row r="37" spans="1:14" s="595" customFormat="1" x14ac:dyDescent="0.35">
      <c r="A37" s="3"/>
      <c r="B37" s="3"/>
      <c r="D37" s="599" t="str">
        <f>IF($G37&lt;&gt;"",_xll.PBMATCHPBID($G37),"")</f>
        <v/>
      </c>
      <c r="E37" s="600" t="str">
        <f>IF($D37&lt;&gt;"",_xll.PBD($D37, "MostRecentDealDate", "", "USD"),"")</f>
        <v/>
      </c>
      <c r="F37" s="613"/>
      <c r="G37" s="613"/>
      <c r="H37" s="614"/>
      <c r="I37" s="614"/>
      <c r="J37" s="601" t="str">
        <f>IFERROR(H37/I37,"-")</f>
        <v>-</v>
      </c>
      <c r="K37" s="615" t="str">
        <f>IF($D37&lt;&gt;"",_xll.PBD($D37, "CompanyDescription", "", "USD"),"")</f>
        <v/>
      </c>
      <c r="M37" s="3"/>
      <c r="N37" s="3"/>
    </row>
    <row r="38" spans="1:14" s="595" customFormat="1" x14ac:dyDescent="0.35">
      <c r="A38" s="3"/>
      <c r="B38" s="3"/>
      <c r="D38" s="599"/>
      <c r="E38" s="602"/>
      <c r="F38" s="603"/>
      <c r="M38" s="3"/>
      <c r="N38" s="3"/>
    </row>
    <row r="39" spans="1:14" s="595" customFormat="1" x14ac:dyDescent="0.35">
      <c r="A39" s="3"/>
      <c r="B39" s="3"/>
      <c r="D39" s="604"/>
      <c r="E39" s="602"/>
      <c r="F39" s="603"/>
      <c r="I39" s="605" t="s">
        <v>137</v>
      </c>
      <c r="J39" s="606" t="e">
        <f>AVERAGE(J37:J37)</f>
        <v>#DIV/0!</v>
      </c>
      <c r="M39" s="3"/>
      <c r="N39" s="3"/>
    </row>
    <row r="40" spans="1:14" s="595" customFormat="1" x14ac:dyDescent="0.35">
      <c r="A40" s="3"/>
      <c r="B40" s="3"/>
      <c r="F40" s="607"/>
      <c r="I40" s="608" t="s">
        <v>138</v>
      </c>
      <c r="J40" s="606" t="e">
        <f>MEDIAN(J37:J37)</f>
        <v>#NUM!</v>
      </c>
      <c r="M40" s="3"/>
      <c r="N40" s="3"/>
    </row>
    <row r="41" spans="1:14" s="595" customFormat="1" x14ac:dyDescent="0.35">
      <c r="A41" s="3"/>
      <c r="B41" s="3"/>
      <c r="I41" s="608" t="s">
        <v>477</v>
      </c>
      <c r="J41" s="606">
        <f>MIN(J37:J37)</f>
        <v>0</v>
      </c>
      <c r="M41" s="3"/>
      <c r="N41" s="3"/>
    </row>
    <row r="42" spans="1:14" s="595" customFormat="1" x14ac:dyDescent="0.35">
      <c r="A42" s="3"/>
      <c r="B42" s="3"/>
      <c r="I42" s="608" t="s">
        <v>478</v>
      </c>
      <c r="J42" s="606">
        <f>MAX(J37:J37)</f>
        <v>0</v>
      </c>
      <c r="M42" s="3"/>
      <c r="N42" s="3"/>
    </row>
    <row r="43" spans="1:14" s="595" customFormat="1" x14ac:dyDescent="0.35">
      <c r="A43" s="3"/>
      <c r="B43" s="3"/>
      <c r="M43" s="3"/>
      <c r="N43" s="3"/>
    </row>
    <row r="44" spans="1:14" s="595" customFormat="1" x14ac:dyDescent="0.35">
      <c r="A44" s="3"/>
      <c r="B44" s="3"/>
      <c r="M44" s="3"/>
      <c r="N44" s="3"/>
    </row>
    <row r="45" spans="1:14" s="595" customFormat="1" x14ac:dyDescent="0.35">
      <c r="A45" s="3"/>
      <c r="B45" s="3"/>
      <c r="M45" s="3"/>
      <c r="N45" s="3"/>
    </row>
    <row r="46" spans="1:14" s="595" customFormat="1" x14ac:dyDescent="0.35">
      <c r="A46" s="3"/>
      <c r="B46" s="3"/>
      <c r="M46" s="3"/>
      <c r="N46" s="3"/>
    </row>
    <row r="47" spans="1:14" s="595" customFormat="1" x14ac:dyDescent="0.35">
      <c r="A47" s="3"/>
      <c r="B47" s="3"/>
      <c r="M47" s="3"/>
      <c r="N47" s="3"/>
    </row>
    <row r="48" spans="1:14" s="595" customFormat="1" x14ac:dyDescent="0.35">
      <c r="A48" s="3"/>
      <c r="B48" s="3"/>
      <c r="M48" s="3"/>
      <c r="N48" s="3"/>
    </row>
  </sheetData>
  <mergeCells count="4">
    <mergeCell ref="E6:J6"/>
    <mergeCell ref="E7:J7"/>
    <mergeCell ref="E33:J33"/>
    <mergeCell ref="E34:J34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50A-7FFD-452F-A40C-D6DED5DCBDC1}">
  <dimension ref="A1:U36"/>
  <sheetViews>
    <sheetView showGridLines="0" zoomScale="85" zoomScaleNormal="85" workbookViewId="0">
      <selection activeCell="F27" sqref="F27"/>
    </sheetView>
  </sheetViews>
  <sheetFormatPr defaultColWidth="7.81640625" defaultRowHeight="15.5" outlineLevelCol="1" x14ac:dyDescent="0.35"/>
  <cols>
    <col min="1" max="2" width="0.81640625" style="619" customWidth="1"/>
    <col min="3" max="3" width="13" style="618" customWidth="1" outlineLevel="1"/>
    <col min="4" max="4" width="41.453125" style="618" customWidth="1"/>
    <col min="5" max="5" width="18.26953125" style="618" customWidth="1"/>
    <col min="6" max="6" width="16" style="618" customWidth="1"/>
    <col min="7" max="7" width="11" style="618" customWidth="1"/>
    <col min="8" max="8" width="14" style="618" customWidth="1"/>
    <col min="9" max="9" width="15.453125" style="618" customWidth="1"/>
    <col min="10" max="10" width="15" style="618" customWidth="1"/>
    <col min="11" max="11" width="15.1796875" style="618" customWidth="1"/>
    <col min="12" max="12" width="221.81640625" style="618" customWidth="1"/>
    <col min="13" max="13" width="53.1796875" style="618" customWidth="1"/>
    <col min="14" max="14" width="84.81640625" style="618" customWidth="1" outlineLevel="1"/>
    <col min="15" max="15" width="7.81640625" style="618"/>
    <col min="16" max="17" width="0.81640625" style="619" customWidth="1"/>
    <col min="18" max="16384" width="7.81640625" style="618"/>
  </cols>
  <sheetData>
    <row r="1" spans="1:21" s="619" customFormat="1" ht="10.5" customHeight="1" x14ac:dyDescent="0.35">
      <c r="A1" s="2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623" customFormat="1" ht="19.5" customHeight="1" thickBot="1" x14ac:dyDescent="0.4">
      <c r="A2" s="2"/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2"/>
      <c r="N2" s="622"/>
      <c r="O2" s="622"/>
      <c r="P2" s="622"/>
      <c r="Q2" s="622"/>
      <c r="R2" s="622"/>
    </row>
    <row r="3" spans="1:21" s="624" customFormat="1" x14ac:dyDescent="0.35">
      <c r="M3" s="622"/>
      <c r="N3" s="622"/>
      <c r="O3" s="622"/>
      <c r="P3" s="622"/>
      <c r="Q3" s="622"/>
      <c r="R3" s="622"/>
    </row>
    <row r="4" spans="1:21" s="623" customFormat="1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622"/>
      <c r="N4" s="622"/>
      <c r="O4" s="622"/>
      <c r="P4" s="622"/>
      <c r="Q4" s="622"/>
      <c r="R4" s="622"/>
      <c r="S4" s="2"/>
      <c r="T4" s="2"/>
      <c r="U4" s="2"/>
    </row>
    <row r="5" spans="1:21" s="595" customFormat="1" x14ac:dyDescent="0.35">
      <c r="A5" s="2"/>
      <c r="B5" s="2"/>
      <c r="D5" s="609"/>
      <c r="E5" s="609"/>
      <c r="F5" s="609"/>
      <c r="G5" s="609"/>
      <c r="H5" s="609"/>
      <c r="I5" s="609"/>
      <c r="J5" s="609"/>
      <c r="K5" s="609"/>
      <c r="L5" s="609"/>
      <c r="M5" s="622"/>
      <c r="N5" s="622"/>
      <c r="O5" s="622"/>
      <c r="P5" s="622"/>
      <c r="Q5" s="622"/>
      <c r="R5" s="622"/>
    </row>
    <row r="6" spans="1:21" s="595" customFormat="1" x14ac:dyDescent="0.35">
      <c r="A6" s="2"/>
      <c r="B6" s="2"/>
      <c r="C6" s="607"/>
      <c r="D6" s="1397" t="s">
        <v>482</v>
      </c>
      <c r="E6" s="1397"/>
      <c r="F6" s="1397"/>
      <c r="G6" s="1397"/>
      <c r="H6" s="1397"/>
      <c r="I6" s="1397"/>
      <c r="J6" s="1397"/>
      <c r="K6" s="1397"/>
      <c r="P6" s="2"/>
      <c r="Q6" s="2"/>
    </row>
    <row r="7" spans="1:21" s="595" customFormat="1" x14ac:dyDescent="0.35">
      <c r="A7" s="2"/>
      <c r="B7" s="2"/>
      <c r="C7" s="607"/>
      <c r="D7" s="1398" t="s">
        <v>434</v>
      </c>
      <c r="E7" s="1398"/>
      <c r="F7" s="1398"/>
      <c r="G7" s="1398"/>
      <c r="H7" s="1398"/>
      <c r="I7" s="1398"/>
      <c r="J7" s="1398"/>
      <c r="K7" s="1398"/>
      <c r="P7" s="2"/>
      <c r="Q7" s="2"/>
    </row>
    <row r="8" spans="1:21" s="595" customFormat="1" x14ac:dyDescent="0.35">
      <c r="A8" s="2"/>
      <c r="B8" s="2"/>
      <c r="D8" s="609"/>
      <c r="E8" s="625"/>
      <c r="F8" s="1399" t="s">
        <v>483</v>
      </c>
      <c r="G8" s="1400"/>
      <c r="H8" s="1400"/>
      <c r="I8" s="626"/>
      <c r="J8" s="625"/>
      <c r="K8" s="625"/>
      <c r="L8" s="622"/>
      <c r="M8" s="622"/>
      <c r="N8" s="609"/>
      <c r="P8" s="2"/>
      <c r="Q8" s="2"/>
    </row>
    <row r="9" spans="1:21" s="612" customFormat="1" ht="33" x14ac:dyDescent="0.35">
      <c r="A9" s="2"/>
      <c r="B9" s="2"/>
      <c r="C9" s="627" t="s">
        <v>470</v>
      </c>
      <c r="D9" s="628" t="s">
        <v>426</v>
      </c>
      <c r="E9" s="629" t="s">
        <v>484</v>
      </c>
      <c r="F9" s="629" t="s">
        <v>91</v>
      </c>
      <c r="G9" s="629" t="s">
        <v>485</v>
      </c>
      <c r="H9" s="629" t="s">
        <v>486</v>
      </c>
      <c r="I9" s="629" t="s">
        <v>487</v>
      </c>
      <c r="J9" s="629" t="s">
        <v>488</v>
      </c>
      <c r="K9" s="629" t="s">
        <v>489</v>
      </c>
      <c r="L9" s="630" t="s">
        <v>474</v>
      </c>
      <c r="M9" s="615"/>
      <c r="O9" s="631"/>
      <c r="P9" s="2"/>
      <c r="Q9" s="2"/>
    </row>
    <row r="10" spans="1:21" s="595" customFormat="1" ht="22.5" customHeight="1" x14ac:dyDescent="0.35">
      <c r="A10" s="2"/>
      <c r="B10" s="2"/>
      <c r="C10" s="595" t="str">
        <f>IF($D10&lt;&gt;"",_xll.PBMATCHPBID($D10),"")</f>
        <v>221760-55</v>
      </c>
      <c r="D10" s="632" t="s">
        <v>490</v>
      </c>
      <c r="E10" s="633" t="e">
        <f ca="1">IF($C10&lt;&gt;"",_xll.PBD($C10, "MostRecentRaisedToDate", "", "USD")/1000000,"")</f>
        <v>#NAME?</v>
      </c>
      <c r="F10" s="638" t="e">
        <f ca="1">IF($C10&lt;&gt;"",_xll.PBD($C10,"MostRecentDealDate"),"")</f>
        <v>#NAME?</v>
      </c>
      <c r="G10" s="634" t="e">
        <f ca="1">IF($C10&lt;&gt;"",_xlfn.IFNA(_xll.PBD($C10, "MostRecentSeriesofStock", "", "USD"),"-"),"")</f>
        <v>#NAME?</v>
      </c>
      <c r="H10" s="633" t="e">
        <f ca="1">IF($C10&lt;&gt;"",_xll.PBD($C10, "MostRecentDealSize", "", "USD")/1000000,"")</f>
        <v>#NAME?</v>
      </c>
      <c r="I10" s="635" t="e">
        <f ca="1">IF($C10&lt;&gt;"",_xlfn.IFNA(_xll.PBD($C10, "MostRecentPostValuation", "", "USD")/1000000,"-"),"")</f>
        <v>#NAME?</v>
      </c>
      <c r="J10" s="851"/>
      <c r="K10" s="640" t="str">
        <f ca="1">IFERROR(I10/J10,"-")</f>
        <v>-</v>
      </c>
      <c r="L10" s="850" t="e">
        <f ca="1">IF($C10&lt;&gt;"",_xll.PBD($C10, "CompanyDescription", "", "USD"),"")</f>
        <v>#NAME?</v>
      </c>
      <c r="M10" s="615"/>
      <c r="P10" s="2"/>
      <c r="Q10" s="2"/>
    </row>
    <row r="11" spans="1:21" s="595" customFormat="1" ht="13.5" customHeight="1" x14ac:dyDescent="0.35">
      <c r="A11" s="2"/>
      <c r="B11" s="2"/>
      <c r="C11" s="607" t="str">
        <f>IF($D11&lt;&gt;"",_xll.PBMATCHPBID($D11),"")</f>
        <v>532764-82</v>
      </c>
      <c r="D11" s="636" t="s">
        <v>491</v>
      </c>
      <c r="E11" s="637" t="e">
        <f ca="1">IF($C11&lt;&gt;"",_xll.PBD($C11, "MostRecentRaisedToDate", "", "USD")/1000000,"")</f>
        <v>#NAME?</v>
      </c>
      <c r="F11" s="638" t="e">
        <f ca="1">IF($C11&lt;&gt;"",_xll.PBD($C11,"MostRecentDealDate"),"")</f>
        <v>#NAME?</v>
      </c>
      <c r="G11" s="638" t="e">
        <f ca="1">IF($C11&lt;&gt;"",_xlfn.IFNA(_xll.PBD($C11, "MostRecentSeriesofStock", "", "USD"),"-"),"")</f>
        <v>#NAME?</v>
      </c>
      <c r="H11" s="635" t="e">
        <f ca="1">IF($C11&lt;&gt;"",_xll.PBD($C11, "MostRecentDealSize", "", "USD")/1000000,"")</f>
        <v>#NAME?</v>
      </c>
      <c r="I11" s="635" t="e">
        <f ca="1">IF($C11&lt;&gt;"",_xlfn.IFNA(_xll.PBD($C11, "MostRecentPostValuation", "", "USD")/1000000,"-"),"")</f>
        <v>#NAME?</v>
      </c>
      <c r="J11" s="639"/>
      <c r="K11" s="640" t="str">
        <f t="shared" ref="K11:K29" ca="1" si="0">IFERROR(I11/J11,"-")</f>
        <v>-</v>
      </c>
      <c r="L11" s="850" t="e">
        <f ca="1">IF($C11&lt;&gt;"",_xll.PBD($C11, "CompanyDescription", "", "USD"),"")</f>
        <v>#NAME?</v>
      </c>
      <c r="M11" s="615"/>
      <c r="N11" s="615" t="e">
        <f ca="1">IF($C11&lt;&gt;"",_xll.PBD($C11, "CompanyDescription", "", "USD"),"")</f>
        <v>#NAME?</v>
      </c>
      <c r="P11" s="2"/>
      <c r="Q11" s="2"/>
    </row>
    <row r="12" spans="1:21" s="595" customFormat="1" ht="13.5" customHeight="1" x14ac:dyDescent="0.35">
      <c r="A12" s="2"/>
      <c r="B12" s="2"/>
      <c r="C12" s="607" t="str">
        <f>IF($D12&lt;&gt;"",_xll.PBMATCHPBID($D12),"")</f>
        <v>534799-54</v>
      </c>
      <c r="D12" s="636" t="s">
        <v>492</v>
      </c>
      <c r="E12" s="637" t="e">
        <f ca="1">IF($C12&lt;&gt;"",_xll.PBD($C12, "MostRecentRaisedToDate", "", "USD")/1000000,"")</f>
        <v>#NAME?</v>
      </c>
      <c r="F12" s="638" t="e">
        <f ca="1">IF($C12&lt;&gt;"",_xll.PBD($C12,"MostRecentDealDate"),"")</f>
        <v>#NAME?</v>
      </c>
      <c r="G12" s="638" t="e">
        <f ca="1">IF($C12&lt;&gt;"",_xlfn.IFNA(_xll.PBD($C12, "MostRecentSeriesofStock", "", "USD"),"-"),"")</f>
        <v>#NAME?</v>
      </c>
      <c r="H12" s="635" t="e">
        <f ca="1">IF($C12&lt;&gt;"",_xll.PBD($C12, "MostRecentDealSize", "", "USD")/1000000,"")</f>
        <v>#NAME?</v>
      </c>
      <c r="I12" s="635" t="e">
        <f ca="1">IF($C12&lt;&gt;"",_xlfn.IFNA(_xll.PBD($C12, "MostRecentPostValuation", "", "USD")/1000000,"-"),"")</f>
        <v>#NAME?</v>
      </c>
      <c r="J12" s="639"/>
      <c r="K12" s="640" t="str">
        <f t="shared" ca="1" si="0"/>
        <v>-</v>
      </c>
      <c r="L12" s="850" t="e">
        <f ca="1">IF($C12&lt;&gt;"",_xll.PBD($C12, "CompanyDescription", "", "USD"),"")</f>
        <v>#NAME?</v>
      </c>
      <c r="M12" s="615"/>
      <c r="N12" s="615" t="e">
        <f ca="1">IF($C12&lt;&gt;"",_xll.PBD($C12, "CompanyDescription", "", "USD"),"")</f>
        <v>#NAME?</v>
      </c>
      <c r="P12" s="2"/>
      <c r="Q12" s="2"/>
    </row>
    <row r="13" spans="1:21" s="595" customFormat="1" ht="13.5" customHeight="1" x14ac:dyDescent="0.35">
      <c r="A13" s="2"/>
      <c r="B13" s="2"/>
      <c r="C13" s="607" t="str">
        <f>IF($D13&lt;&gt;"",_xll.PBMATCHPBID($D13),"")</f>
        <v>179351-20</v>
      </c>
      <c r="D13" s="636" t="s">
        <v>493</v>
      </c>
      <c r="E13" s="637" t="e">
        <f ca="1">IF($C13&lt;&gt;"",_xll.PBD($C13, "MostRecentRaisedToDate", "", "USD")/1000000,"")</f>
        <v>#NAME?</v>
      </c>
      <c r="F13" s="638" t="e">
        <f ca="1">IF($C13&lt;&gt;"",_xll.PBD($C13,"MostRecentDealDate"),"")</f>
        <v>#NAME?</v>
      </c>
      <c r="G13" s="638" t="e">
        <f ca="1">IF($C13&lt;&gt;"",_xlfn.IFNA(_xll.PBD($C13, "MostRecentSeriesofStock", "", "USD"),"-"),"")</f>
        <v>#NAME?</v>
      </c>
      <c r="H13" s="635" t="e">
        <f ca="1">IF($C13&lt;&gt;"",_xll.PBD($C13, "MostRecentDealSize", "", "USD")/1000000,"")</f>
        <v>#NAME?</v>
      </c>
      <c r="I13" s="635" t="e">
        <f ca="1">IF($C13&lt;&gt;"",_xlfn.IFNA(_xll.PBD($C13, "MostRecentPostValuation", "", "USD")/1000000,"-"),"")</f>
        <v>#NAME?</v>
      </c>
      <c r="J13" s="639"/>
      <c r="K13" s="640" t="str">
        <f t="shared" ca="1" si="0"/>
        <v>-</v>
      </c>
      <c r="L13" s="850" t="e">
        <f ca="1">IF($C13&lt;&gt;"",_xll.PBD($C13, "CompanyDescription", "", "USD"),"")</f>
        <v>#NAME?</v>
      </c>
      <c r="M13" s="641"/>
      <c r="N13" s="615" t="e">
        <f ca="1">IF($C13&lt;&gt;"",_xll.PBD($C13, "CompanyDescription", "", "USD"),"")</f>
        <v>#NAME?</v>
      </c>
      <c r="P13" s="2"/>
      <c r="Q13" s="2"/>
    </row>
    <row r="14" spans="1:21" s="595" customFormat="1" ht="13.5" customHeight="1" x14ac:dyDescent="0.35">
      <c r="A14" s="2"/>
      <c r="B14" s="2"/>
      <c r="C14" s="607" t="str">
        <f>IF($D14&lt;&gt;"",_xll.PBMATCHPBID($D14),"")</f>
        <v>466540-66</v>
      </c>
      <c r="D14" s="636" t="s">
        <v>494</v>
      </c>
      <c r="E14" s="637" t="e">
        <f ca="1">IF($C14&lt;&gt;"",_xll.PBD($C14, "MostRecentRaisedToDate", "", "USD")/1000000,"")</f>
        <v>#NAME?</v>
      </c>
      <c r="F14" s="638" t="e">
        <f ca="1">IF($C14&lt;&gt;"",_xll.PBD($C14,"MostRecentDealDate"),"")</f>
        <v>#NAME?</v>
      </c>
      <c r="G14" s="638" t="e">
        <f ca="1">IF($C14&lt;&gt;"",_xlfn.IFNA(_xll.PBD($C14, "MostRecentSeriesofStock", "", "USD"),"-"),"")</f>
        <v>#NAME?</v>
      </c>
      <c r="H14" s="635" t="e">
        <f ca="1">IF($C14&lt;&gt;"",_xll.PBD($C14, "MostRecentDealSize", "", "USD")/1000000,"")</f>
        <v>#NAME?</v>
      </c>
      <c r="I14" s="635" t="e">
        <f ca="1">IF($C14&lt;&gt;"",_xlfn.IFNA(_xll.PBD($C14, "MostRecentPostValuation", "", "USD")/1000000,"-"),"")</f>
        <v>#NAME?</v>
      </c>
      <c r="J14" s="639"/>
      <c r="K14" s="640" t="str">
        <f t="shared" ca="1" si="0"/>
        <v>-</v>
      </c>
      <c r="L14" s="850" t="e">
        <f ca="1">IF($C14&lt;&gt;"",_xll.PBD($C14, "CompanyDescription", "", "USD"),"")</f>
        <v>#NAME?</v>
      </c>
      <c r="M14" s="641"/>
      <c r="N14" s="615" t="e">
        <f ca="1">IF($C14&lt;&gt;"",_xll.PBD($C14, "CompanyDescription", "", "USD"),"")</f>
        <v>#NAME?</v>
      </c>
      <c r="P14" s="2"/>
      <c r="Q14" s="2"/>
    </row>
    <row r="15" spans="1:21" s="595" customFormat="1" ht="13.5" customHeight="1" x14ac:dyDescent="0.35">
      <c r="A15" s="2"/>
      <c r="B15" s="2"/>
      <c r="C15" s="607" t="str">
        <f>IF($D15&lt;&gt;"",_xll.PBMATCHPBID($D15),"")</f>
        <v>314985-52</v>
      </c>
      <c r="D15" s="636" t="s">
        <v>495</v>
      </c>
      <c r="E15" s="637" t="e">
        <f ca="1">IF($C15&lt;&gt;"",_xll.PBD($C15, "MostRecentRaisedToDate", "", "USD")/1000000,"")</f>
        <v>#NAME?</v>
      </c>
      <c r="F15" s="638" t="e">
        <f ca="1">IF($C15&lt;&gt;"",_xll.PBD($C15,"MostRecentDealDate"),"")</f>
        <v>#NAME?</v>
      </c>
      <c r="G15" s="638" t="e">
        <f ca="1">IF($C15&lt;&gt;"",_xlfn.IFNA(_xll.PBD($C15, "MostRecentSeriesofStock", "", "USD"),"-"),"")</f>
        <v>#NAME?</v>
      </c>
      <c r="H15" s="635" t="e">
        <f ca="1">IF($C15&lt;&gt;"",_xll.PBD($C15, "MostRecentDealSize", "", "USD")/1000000,"")</f>
        <v>#NAME?</v>
      </c>
      <c r="I15" s="635" t="e">
        <f ca="1">IF($C15&lt;&gt;"",_xlfn.IFNA(_xll.PBD($C15, "MostRecentPostValuation", "", "USD")/1000000,"-"),"")</f>
        <v>#NAME?</v>
      </c>
      <c r="J15" s="639"/>
      <c r="K15" s="640" t="str">
        <f t="shared" ca="1" si="0"/>
        <v>-</v>
      </c>
      <c r="L15" s="850" t="e">
        <f ca="1">IF($C15&lt;&gt;"",_xll.PBD($C15, "CompanyDescription", "", "USD"),"")</f>
        <v>#NAME?</v>
      </c>
      <c r="M15" s="641"/>
      <c r="N15" s="615" t="e">
        <f ca="1">IF($C15&lt;&gt;"",_xll.PBD($C15, "CompanyDescription", "", "USD"),"")</f>
        <v>#NAME?</v>
      </c>
      <c r="P15" s="2"/>
      <c r="Q15" s="2"/>
    </row>
    <row r="16" spans="1:21" s="595" customFormat="1" ht="13.5" customHeight="1" x14ac:dyDescent="0.35">
      <c r="A16" s="2"/>
      <c r="B16" s="2"/>
      <c r="C16" s="607" t="str">
        <f>IF($D16&lt;&gt;"",_xll.PBMATCHPBID($D16),"")</f>
        <v>459035-74</v>
      </c>
      <c r="D16" s="636" t="s">
        <v>496</v>
      </c>
      <c r="E16" s="637" t="e">
        <f ca="1">IF($C16&lt;&gt;"",_xll.PBD($C16, "MostRecentRaisedToDate", "", "USD")/1000000,"")</f>
        <v>#NAME?</v>
      </c>
      <c r="F16" s="638" t="e">
        <f ca="1">IF($C16&lt;&gt;"",_xll.PBD($C16,"MostRecentDealDate"),"")</f>
        <v>#NAME?</v>
      </c>
      <c r="G16" s="638" t="e">
        <f ca="1">IF($C16&lt;&gt;"",_xlfn.IFNA(_xll.PBD($C16, "MostRecentSeriesofStock", "", "USD"),"-"),"")</f>
        <v>#NAME?</v>
      </c>
      <c r="H16" s="635" t="e">
        <f ca="1">IF($C16&lt;&gt;"",_xll.PBD($C16, "MostRecentDealSize", "", "USD")/1000000,"")</f>
        <v>#NAME?</v>
      </c>
      <c r="I16" s="635" t="e">
        <f ca="1">IF($C16&lt;&gt;"",_xlfn.IFNA(_xll.PBD($C16, "MostRecentPostValuation", "", "USD")/1000000,"-"),"")</f>
        <v>#NAME?</v>
      </c>
      <c r="J16" s="639"/>
      <c r="K16" s="640" t="str">
        <f t="shared" ca="1" si="0"/>
        <v>-</v>
      </c>
      <c r="L16" s="850" t="e">
        <f ca="1">IF($C16&lt;&gt;"",_xll.PBD($C16, "CompanyDescription", "", "USD"),"")</f>
        <v>#NAME?</v>
      </c>
      <c r="M16" s="641"/>
      <c r="N16" s="615" t="e">
        <f ca="1">IF($C16&lt;&gt;"",_xll.PBD($C16, "CompanyDescription", "", "USD"),"")</f>
        <v>#NAME?</v>
      </c>
      <c r="P16" s="2"/>
      <c r="Q16" s="2"/>
    </row>
    <row r="17" spans="1:17" s="595" customFormat="1" ht="13.5" customHeight="1" x14ac:dyDescent="0.35">
      <c r="A17" s="2"/>
      <c r="B17" s="2"/>
      <c r="C17" s="607" t="str">
        <f>IF($D17&lt;&gt;"",_xll.PBMATCHPBID($D17),"")</f>
        <v/>
      </c>
      <c r="D17" s="636"/>
      <c r="E17" s="637" t="str">
        <f>IF($C17&lt;&gt;"",_xll.PBD($C17, "MostRecentRaisedToDate", "", "USD")/1000000,"")</f>
        <v/>
      </c>
      <c r="F17" s="638" t="str">
        <f>IF($C17&lt;&gt;"",_xll.PBD($C17,"MostRecentDealDate"),"")</f>
        <v/>
      </c>
      <c r="G17" s="638" t="str">
        <f>IF($C17&lt;&gt;"",_xlfn.IFNA(_xll.PBD($C17, "MostRecentSeriesofStock", "", "USD"),"-"),"")</f>
        <v/>
      </c>
      <c r="H17" s="635" t="str">
        <f>IF($C17&lt;&gt;"",_xll.PBD($C17, "MostRecentDealSize", "", "USD")/1000000,"")</f>
        <v/>
      </c>
      <c r="I17" s="635" t="str">
        <f>IF($C17&lt;&gt;"",_xlfn.IFNA(_xll.PBD($C17, "MostRecentPostValuation", "", "USD")/1000000,"-"),"")</f>
        <v/>
      </c>
      <c r="J17" s="639"/>
      <c r="K17" s="640" t="str">
        <f t="shared" si="0"/>
        <v>-</v>
      </c>
      <c r="L17" s="850" t="str">
        <f>IF($C17&lt;&gt;"",_xll.PBD($C17, "CompanyDescription", "", "USD"),"")</f>
        <v/>
      </c>
      <c r="M17" s="641"/>
      <c r="N17" s="615" t="str">
        <f>IF($C17&lt;&gt;"",_xll.PBD($C17, "CompanyDescription", "", "USD"),"")</f>
        <v/>
      </c>
      <c r="P17" s="2"/>
      <c r="Q17" s="2"/>
    </row>
    <row r="18" spans="1:17" s="595" customFormat="1" ht="13.5" customHeight="1" x14ac:dyDescent="0.35">
      <c r="A18" s="2"/>
      <c r="B18" s="2"/>
      <c r="C18" s="607" t="str">
        <f>IF($D18&lt;&gt;"",_xll.PBMATCHPBID($D18),"")</f>
        <v/>
      </c>
      <c r="D18" s="636"/>
      <c r="E18" s="637" t="str">
        <f>IF($C18&lt;&gt;"",_xll.PBD($C18, "MostRecentRaisedToDate", "", "USD")/1000000,"")</f>
        <v/>
      </c>
      <c r="F18" s="638" t="str">
        <f>IF($C18&lt;&gt;"",_xll.PBD($C18,"MostRecentDealDate"),"")</f>
        <v/>
      </c>
      <c r="G18" s="638" t="str">
        <f>IF($C18&lt;&gt;"",_xlfn.IFNA(_xll.PBD($C18, "MostRecentSeriesofStock", "", "USD"),"-"),"")</f>
        <v/>
      </c>
      <c r="H18" s="635" t="str">
        <f>IF($C18&lt;&gt;"",_xll.PBD($C18, "MostRecentDealSize", "", "USD")/1000000,"")</f>
        <v/>
      </c>
      <c r="I18" s="635" t="str">
        <f>IF($C18&lt;&gt;"",_xlfn.IFNA(_xll.PBD($C18, "MostRecentPostValuation", "", "USD")/1000000,"-"),"")</f>
        <v/>
      </c>
      <c r="J18" s="639"/>
      <c r="K18" s="640" t="str">
        <f t="shared" si="0"/>
        <v>-</v>
      </c>
      <c r="L18" s="850" t="str">
        <f>IF($C18&lt;&gt;"",_xll.PBD($C18, "CompanyDescription", "", "USD"),"")</f>
        <v/>
      </c>
      <c r="M18" s="641"/>
      <c r="N18" s="615" t="str">
        <f>IF($C18&lt;&gt;"",_xll.PBD($C18, "CompanyDescription", "", "USD"),"")</f>
        <v/>
      </c>
      <c r="P18" s="2"/>
      <c r="Q18" s="2"/>
    </row>
    <row r="19" spans="1:17" s="595" customFormat="1" ht="13.5" customHeight="1" x14ac:dyDescent="0.35">
      <c r="A19" s="2"/>
      <c r="B19" s="2"/>
      <c r="C19" s="607" t="str">
        <f>IF($D19&lt;&gt;"",_xll.PBMATCHPBID($D19),"")</f>
        <v/>
      </c>
      <c r="D19" s="636"/>
      <c r="E19" s="637" t="str">
        <f>IF($C19&lt;&gt;"",_xll.PBD($C19, "MostRecentRaisedToDate", "", "USD")/1000000,"")</f>
        <v/>
      </c>
      <c r="F19" s="638" t="str">
        <f>IF($C19&lt;&gt;"",_xll.PBD($C19,"MostRecentDealDate"),"")</f>
        <v/>
      </c>
      <c r="G19" s="638" t="str">
        <f>IF($C19&lt;&gt;"",_xlfn.IFNA(_xll.PBD($C19, "MostRecentSeriesofStock", "", "USD"),"-"),"")</f>
        <v/>
      </c>
      <c r="H19" s="635" t="str">
        <f>IF($C19&lt;&gt;"",_xll.PBD($C19, "MostRecentDealSize", "", "USD")/1000000,"")</f>
        <v/>
      </c>
      <c r="I19" s="635" t="str">
        <f>IF($C19&lt;&gt;"",_xlfn.IFNA(_xll.PBD($C19, "MostRecentPostValuation", "", "USD")/1000000,"-"),"")</f>
        <v/>
      </c>
      <c r="J19" s="639"/>
      <c r="K19" s="640" t="str">
        <f t="shared" si="0"/>
        <v>-</v>
      </c>
      <c r="L19" s="850" t="str">
        <f>IF($C19&lt;&gt;"",_xll.PBD($C19, "CompanyDescription", "", "USD"),"")</f>
        <v/>
      </c>
      <c r="M19" s="641"/>
      <c r="N19" s="615" t="str">
        <f>IF($C19&lt;&gt;"",_xll.PBD($C19, "CompanyDescription", "", "USD"),"")</f>
        <v/>
      </c>
      <c r="P19" s="2"/>
      <c r="Q19" s="2"/>
    </row>
    <row r="20" spans="1:17" s="595" customFormat="1" ht="13.5" customHeight="1" x14ac:dyDescent="0.35">
      <c r="A20" s="2"/>
      <c r="B20" s="2"/>
      <c r="C20" s="607" t="str">
        <f>IF($D20&lt;&gt;"",_xll.PBMATCHPBID($D20),"")</f>
        <v/>
      </c>
      <c r="D20" s="636"/>
      <c r="E20" s="637" t="str">
        <f>IF($C20&lt;&gt;"",_xll.PBD($C20, "MostRecentRaisedToDate", "", "USD")/1000000,"")</f>
        <v/>
      </c>
      <c r="F20" s="638" t="str">
        <f>IF($C20&lt;&gt;"",_xll.PBD($C20,"MostRecentDealDate"),"")</f>
        <v/>
      </c>
      <c r="G20" s="638" t="str">
        <f>IF($C20&lt;&gt;"",_xlfn.IFNA(_xll.PBD($C20, "MostRecentSeriesofStock", "", "USD"),"-"),"")</f>
        <v/>
      </c>
      <c r="H20" s="635" t="str">
        <f>IF($C20&lt;&gt;"",_xll.PBD($C20, "MostRecentDealSize", "", "USD")/1000000,"")</f>
        <v/>
      </c>
      <c r="I20" s="635" t="str">
        <f>IF($C20&lt;&gt;"",_xlfn.IFNA(_xll.PBD($C20, "MostRecentPostValuation", "", "USD")/1000000,"-"),"")</f>
        <v/>
      </c>
      <c r="J20" s="639"/>
      <c r="K20" s="640" t="str">
        <f t="shared" si="0"/>
        <v>-</v>
      </c>
      <c r="L20" s="850" t="str">
        <f>IF($C20&lt;&gt;"",_xll.PBD($C20, "CompanyDescription", "", "USD"),"")</f>
        <v/>
      </c>
      <c r="M20" s="641"/>
      <c r="N20" s="615" t="str">
        <f>IF($C20&lt;&gt;"",_xll.PBD($C20, "CompanyDescription", "", "USD"),"")</f>
        <v/>
      </c>
      <c r="P20" s="2"/>
      <c r="Q20" s="2"/>
    </row>
    <row r="21" spans="1:17" s="595" customFormat="1" ht="13.5" customHeight="1" x14ac:dyDescent="0.35">
      <c r="A21" s="2"/>
      <c r="B21" s="2"/>
      <c r="C21" s="607" t="str">
        <f>IF($D21&lt;&gt;"",_xll.PBMATCHPBID($D21),"")</f>
        <v/>
      </c>
      <c r="D21" s="636"/>
      <c r="E21" s="637" t="str">
        <f>IF($C21&lt;&gt;"",_xll.PBD($C21, "MostRecentRaisedToDate", "", "USD")/1000000,"")</f>
        <v/>
      </c>
      <c r="F21" s="638" t="str">
        <f>IF($C21&lt;&gt;"",_xll.PBD($C21,"MostRecentDealDate"),"")</f>
        <v/>
      </c>
      <c r="G21" s="638" t="str">
        <f>IF($C21&lt;&gt;"",_xlfn.IFNA(_xll.PBD($C21, "MostRecentSeriesofStock", "", "USD"),"-"),"")</f>
        <v/>
      </c>
      <c r="H21" s="635" t="str">
        <f>IF($C21&lt;&gt;"",_xll.PBD($C21, "MostRecentDealSize", "", "USD")/1000000,"")</f>
        <v/>
      </c>
      <c r="I21" s="635" t="str">
        <f>IF($C21&lt;&gt;"",_xlfn.IFNA(_xll.PBD($C21, "MostRecentPostValuation", "", "USD")/1000000,"-"),"")</f>
        <v/>
      </c>
      <c r="J21" s="639"/>
      <c r="K21" s="640" t="str">
        <f t="shared" si="0"/>
        <v>-</v>
      </c>
      <c r="L21" s="850" t="str">
        <f>IF($C21&lt;&gt;"",_xll.PBD($C21, "CompanyDescription", "", "USD"),"")</f>
        <v/>
      </c>
      <c r="M21" s="641"/>
      <c r="N21" s="615" t="str">
        <f>IF($C21&lt;&gt;"",_xll.PBD($C21, "CompanyDescription", "", "USD"),"")</f>
        <v/>
      </c>
      <c r="P21" s="2"/>
      <c r="Q21" s="2"/>
    </row>
    <row r="22" spans="1:17" s="595" customFormat="1" ht="13.5" customHeight="1" x14ac:dyDescent="0.35">
      <c r="A22" s="2"/>
      <c r="B22" s="2"/>
      <c r="C22" s="607" t="str">
        <f>IF($D22&lt;&gt;"",_xll.PBMATCHPBID($D22),"")</f>
        <v/>
      </c>
      <c r="D22" s="636"/>
      <c r="E22" s="637" t="str">
        <f>IF($C22&lt;&gt;"",_xll.PBD($C22, "MostRecentRaisedToDate", "", "USD")/1000000,"")</f>
        <v/>
      </c>
      <c r="F22" s="638" t="str">
        <f>IF($C22&lt;&gt;"",_xll.PBD($C22,"MostRecentDealDate"),"")</f>
        <v/>
      </c>
      <c r="G22" s="638" t="str">
        <f>IF($C22&lt;&gt;"",_xlfn.IFNA(_xll.PBD($C22, "MostRecentSeriesofStock", "", "USD"),"-"),"")</f>
        <v/>
      </c>
      <c r="H22" s="635" t="str">
        <f>IF($C22&lt;&gt;"",_xll.PBD($C22, "MostRecentDealSize", "", "USD")/1000000,"")</f>
        <v/>
      </c>
      <c r="I22" s="635" t="str">
        <f>IF($C22&lt;&gt;"",_xlfn.IFNA(_xll.PBD($C22, "MostRecentPostValuation", "", "USD")/1000000,"-"),"")</f>
        <v/>
      </c>
      <c r="J22" s="639"/>
      <c r="K22" s="640" t="str">
        <f t="shared" si="0"/>
        <v>-</v>
      </c>
      <c r="L22" s="850" t="str">
        <f>IF($C22&lt;&gt;"",_xll.PBD($C22, "CompanyDescription", "", "USD"),"")</f>
        <v/>
      </c>
      <c r="M22" s="641"/>
      <c r="N22" s="615" t="str">
        <f>IF($C22&lt;&gt;"",_xll.PBD($C22, "CompanyDescription", "", "USD"),"")</f>
        <v/>
      </c>
      <c r="P22" s="2"/>
      <c r="Q22" s="2"/>
    </row>
    <row r="23" spans="1:17" s="595" customFormat="1" ht="13.5" customHeight="1" x14ac:dyDescent="0.35">
      <c r="A23" s="2"/>
      <c r="B23" s="2"/>
      <c r="C23" s="607" t="str">
        <f>IF($D23&lt;&gt;"",_xll.PBMATCHPBID($D23),"")</f>
        <v/>
      </c>
      <c r="D23" s="636"/>
      <c r="E23" s="637" t="str">
        <f>IF($C23&lt;&gt;"",_xll.PBD($C23, "MostRecentRaisedToDate", "", "USD")/1000000,"")</f>
        <v/>
      </c>
      <c r="F23" s="638" t="str">
        <f>IF($C23&lt;&gt;"",_xll.PBD($C23,"MostRecentDealDate"),"")</f>
        <v/>
      </c>
      <c r="G23" s="638" t="str">
        <f>IF($C23&lt;&gt;"",_xlfn.IFNA(_xll.PBD($C23, "MostRecentSeriesofStock", "", "USD"),"-"),"")</f>
        <v/>
      </c>
      <c r="H23" s="635" t="str">
        <f>IF($C23&lt;&gt;"",_xll.PBD($C23, "MostRecentDealSize", "", "USD")/1000000,"")</f>
        <v/>
      </c>
      <c r="I23" s="635" t="str">
        <f>IF($C23&lt;&gt;"",_xlfn.IFNA(_xll.PBD($C23, "MostRecentPostValuation", "", "USD")/1000000,"-"),"")</f>
        <v/>
      </c>
      <c r="J23" s="639"/>
      <c r="K23" s="640" t="str">
        <f t="shared" si="0"/>
        <v>-</v>
      </c>
      <c r="L23" s="850" t="str">
        <f>IF($C23&lt;&gt;"",_xll.PBD($C23, "CompanyDescription", "", "USD"),"")</f>
        <v/>
      </c>
      <c r="M23" s="641"/>
      <c r="N23" s="615" t="str">
        <f>IF($C23&lt;&gt;"",_xll.PBD($C23, "CompanyDescription", "", "USD"),"")</f>
        <v/>
      </c>
      <c r="P23" s="2"/>
      <c r="Q23" s="2"/>
    </row>
    <row r="24" spans="1:17" s="595" customFormat="1" ht="14.25" customHeight="1" x14ac:dyDescent="0.35">
      <c r="A24" s="2"/>
      <c r="B24" s="2"/>
      <c r="C24" s="607" t="str">
        <f>IF($D24&lt;&gt;"",_xll.PBMATCHPBID($D24),"")</f>
        <v/>
      </c>
      <c r="D24" s="636"/>
      <c r="E24" s="637" t="str">
        <f>IF($C24&lt;&gt;"",_xll.PBD($C24, "MostRecentRaisedToDate", "", "USD")/1000000,"")</f>
        <v/>
      </c>
      <c r="F24" s="638" t="str">
        <f>IF($C24&lt;&gt;"",_xll.PBD($C24,"MostRecentDealDate"),"")</f>
        <v/>
      </c>
      <c r="G24" s="638" t="str">
        <f>IF($C24&lt;&gt;"",_xlfn.IFNA(_xll.PBD($C24, "MostRecentSeriesofStock", "", "USD"),"-"),"")</f>
        <v/>
      </c>
      <c r="H24" s="635" t="str">
        <f>IF($C24&lt;&gt;"",_xll.PBD($C24, "MostRecentDealSize", "", "USD")/1000000,"")</f>
        <v/>
      </c>
      <c r="I24" s="635" t="str">
        <f>IF($C24&lt;&gt;"",_xlfn.IFNA(_xll.PBD($C24, "MostRecentPostValuation", "", "USD")/1000000,"-"),"")</f>
        <v/>
      </c>
      <c r="J24" s="639"/>
      <c r="K24" s="640" t="str">
        <f t="shared" si="0"/>
        <v>-</v>
      </c>
      <c r="L24" s="850" t="str">
        <f>IF($C24&lt;&gt;"",_xll.PBD($C24, "CompanyDescription", "", "USD"),"")</f>
        <v/>
      </c>
      <c r="M24" s="641"/>
      <c r="N24" s="615" t="str">
        <f>IF($C24&lt;&gt;"",_xll.PBD($C24, "CompanyDescription", "", "USD"),"")</f>
        <v/>
      </c>
      <c r="P24" s="2"/>
      <c r="Q24" s="2"/>
    </row>
    <row r="25" spans="1:17" s="595" customFormat="1" ht="18.75" customHeight="1" x14ac:dyDescent="0.35">
      <c r="A25" s="2"/>
      <c r="B25" s="2"/>
      <c r="C25" s="607" t="str">
        <f>IF($D25&lt;&gt;"",_xll.PBMATCHPBID($D25),"")</f>
        <v/>
      </c>
      <c r="D25" s="636"/>
      <c r="E25" s="637" t="str">
        <f>IF($C25&lt;&gt;"",_xll.PBD($C25, "MostRecentRaisedToDate", "", "USD")/1000000,"")</f>
        <v/>
      </c>
      <c r="F25" s="638" t="str">
        <f>IF($C25&lt;&gt;"",_xll.PBD($C25,"MostRecentDealDate"),"")</f>
        <v/>
      </c>
      <c r="G25" s="638" t="str">
        <f>IF($C25&lt;&gt;"",_xlfn.IFNA(_xll.PBD($C25, "MostRecentSeriesofStock", "", "USD"),"-"),"")</f>
        <v/>
      </c>
      <c r="H25" s="635" t="str">
        <f>IF($C25&lt;&gt;"",_xll.PBD($C25, "MostRecentDealSize", "", "USD")/1000000,"")</f>
        <v/>
      </c>
      <c r="I25" s="635" t="str">
        <f>IF($C25&lt;&gt;"",_xlfn.IFNA(_xll.PBD($C25, "MostRecentPostValuation", "", "USD")/1000000,"-"),"")</f>
        <v/>
      </c>
      <c r="J25" s="639"/>
      <c r="K25" s="640" t="str">
        <f t="shared" si="0"/>
        <v>-</v>
      </c>
      <c r="L25" s="850" t="str">
        <f>IF($C25&lt;&gt;"",_xll.PBD($C25, "CompanyDescription", "", "USD"),"")</f>
        <v/>
      </c>
      <c r="M25" s="641"/>
      <c r="N25" s="615" t="str">
        <f>IF($C25&lt;&gt;"",_xll.PBD($C25, "CompanyDescription", "", "USD"),"")</f>
        <v/>
      </c>
      <c r="P25" s="2"/>
      <c r="Q25" s="2"/>
    </row>
    <row r="26" spans="1:17" s="595" customFormat="1" ht="13.5" customHeight="1" x14ac:dyDescent="0.35">
      <c r="A26" s="2"/>
      <c r="B26" s="2"/>
      <c r="C26" s="607" t="str">
        <f>IF($D26&lt;&gt;"",_xll.PBMATCHPBID($D26),"")</f>
        <v/>
      </c>
      <c r="D26" s="636"/>
      <c r="E26" s="637" t="str">
        <f>IF($C26&lt;&gt;"",_xll.PBD($C26, "MostRecentRaisedToDate", "", "USD")/1000000,"")</f>
        <v/>
      </c>
      <c r="F26" s="638" t="str">
        <f>IF($C26&lt;&gt;"",_xll.PBD($C26,"MostRecentDealDate"),"")</f>
        <v/>
      </c>
      <c r="G26" s="638" t="str">
        <f>IF($C26&lt;&gt;"",_xlfn.IFNA(_xll.PBD($C26, "MostRecentSeriesofStock", "", "USD"),"-"),"")</f>
        <v/>
      </c>
      <c r="H26" s="635" t="str">
        <f>IF($C26&lt;&gt;"",_xll.PBD($C26, "MostRecentDealSize", "", "USD")/1000000,"")</f>
        <v/>
      </c>
      <c r="I26" s="635" t="str">
        <f>IF($C26&lt;&gt;"",_xlfn.IFNA(_xll.PBD($C26, "MostRecentPostValuation", "", "USD")/1000000,"-"),"")</f>
        <v/>
      </c>
      <c r="J26" s="639"/>
      <c r="K26" s="640" t="str">
        <f t="shared" si="0"/>
        <v>-</v>
      </c>
      <c r="L26" s="850" t="str">
        <f>IF($C26&lt;&gt;"",_xll.PBD($C26, "CompanyDescription", "", "USD"),"")</f>
        <v/>
      </c>
      <c r="M26" s="641"/>
      <c r="N26" s="615" t="str">
        <f>IF($C26&lt;&gt;"",_xll.PBD($C26, "CompanyDescription", "", "USD"),"")</f>
        <v/>
      </c>
      <c r="P26" s="2"/>
      <c r="Q26" s="2"/>
    </row>
    <row r="27" spans="1:17" s="595" customFormat="1" ht="13.5" customHeight="1" x14ac:dyDescent="0.35">
      <c r="A27" s="2"/>
      <c r="B27" s="2"/>
      <c r="C27" s="607" t="str">
        <f>IF($D27&lt;&gt;"",_xll.PBMATCHPBID($D27),"")</f>
        <v/>
      </c>
      <c r="D27" s="636"/>
      <c r="E27" s="637" t="str">
        <f>IF($C27&lt;&gt;"",_xll.PBD($C27, "MostRecentRaisedToDate", "", "USD")/1000000,"")</f>
        <v/>
      </c>
      <c r="F27" s="638" t="str">
        <f>IF($C27&lt;&gt;"",_xll.PBD($C27,"MostRecentDealDate"),"")</f>
        <v/>
      </c>
      <c r="G27" s="638" t="str">
        <f>IF($C27&lt;&gt;"",_xlfn.IFNA(_xll.PBD($C27, "MostRecentSeriesofStock", "", "USD"),"-"),"")</f>
        <v/>
      </c>
      <c r="H27" s="635" t="str">
        <f>IF($C27&lt;&gt;"",_xll.PBD($C27, "MostRecentDealSize", "", "USD")/1000000,"")</f>
        <v/>
      </c>
      <c r="I27" s="635" t="str">
        <f>IF($C27&lt;&gt;"",_xlfn.IFNA(_xll.PBD($C27, "MostRecentPostValuation", "", "USD")/1000000,"-"),"")</f>
        <v/>
      </c>
      <c r="J27" s="639"/>
      <c r="K27" s="640" t="str">
        <f t="shared" si="0"/>
        <v>-</v>
      </c>
      <c r="L27" s="850" t="str">
        <f>IF($C27&lt;&gt;"",_xll.PBD($C27, "CompanyDescription", "", "USD"),"")</f>
        <v/>
      </c>
      <c r="M27" s="641"/>
      <c r="N27" s="615" t="str">
        <f>IF($C27&lt;&gt;"",_xll.PBD($C27, "CompanyDescription", "", "USD"),"")</f>
        <v/>
      </c>
      <c r="P27" s="2"/>
      <c r="Q27" s="2"/>
    </row>
    <row r="28" spans="1:17" s="595" customFormat="1" ht="13.5" customHeight="1" x14ac:dyDescent="0.35">
      <c r="A28" s="2"/>
      <c r="B28" s="2"/>
      <c r="C28" s="607" t="str">
        <f>IF($D28&lt;&gt;"",_xll.PBMATCHPBID($D28),"")</f>
        <v/>
      </c>
      <c r="D28" s="636"/>
      <c r="E28" s="637" t="str">
        <f>IF($C28&lt;&gt;"",_xll.PBD($C28, "MostRecentRaisedToDate", "", "USD")/1000000,"")</f>
        <v/>
      </c>
      <c r="F28" s="638" t="str">
        <f>IF($C28&lt;&gt;"",_xll.PBD($C28,"MostRecentDealDate"),"")</f>
        <v/>
      </c>
      <c r="G28" s="638" t="str">
        <f>IF($C28&lt;&gt;"",_xlfn.IFNA(_xll.PBD($C28, "MostRecentSeriesofStock", "", "USD"),"-"),"")</f>
        <v/>
      </c>
      <c r="H28" s="635" t="str">
        <f>IF($C28&lt;&gt;"",_xll.PBD($C28, "MostRecentDealSize", "", "USD")/1000000,"")</f>
        <v/>
      </c>
      <c r="I28" s="635" t="str">
        <f>IF($C28&lt;&gt;"",_xlfn.IFNA(_xll.PBD($C28, "MostRecentPostValuation", "", "USD")/1000000,"-"),"")</f>
        <v/>
      </c>
      <c r="J28" s="639"/>
      <c r="K28" s="640" t="str">
        <f t="shared" si="0"/>
        <v>-</v>
      </c>
      <c r="L28" s="850" t="str">
        <f>IF($C28&lt;&gt;"",_xll.PBD($C28, "CompanyDescription", "", "USD"),"")</f>
        <v/>
      </c>
      <c r="M28" s="641"/>
      <c r="N28" s="615" t="str">
        <f>IF($C28&lt;&gt;"",_xll.PBD($C28, "CompanyDescription", "", "USD"),"")</f>
        <v/>
      </c>
      <c r="P28" s="2"/>
      <c r="Q28" s="2"/>
    </row>
    <row r="29" spans="1:17" s="595" customFormat="1" ht="13.5" customHeight="1" x14ac:dyDescent="0.35">
      <c r="A29" s="2"/>
      <c r="B29" s="2"/>
      <c r="C29" s="607" t="str">
        <f>IF($D29&lt;&gt;"",_xll.PBMATCHPBID($D29),"")</f>
        <v/>
      </c>
      <c r="D29" s="636"/>
      <c r="E29" s="637" t="str">
        <f>IF($C29&lt;&gt;"",_xll.PBD($C29, "MostRecentRaisedToDate", "", "USD")/1000000,"")</f>
        <v/>
      </c>
      <c r="F29" s="638" t="str">
        <f>IF($C29&lt;&gt;"",_xll.PBD($C29,"MostRecentDealDate"),"")</f>
        <v/>
      </c>
      <c r="G29" s="638" t="str">
        <f>IF($C29&lt;&gt;"",_xlfn.IFNA(_xll.PBD($C29, "MostRecentSeriesofStock", "", "USD"),"-"),"")</f>
        <v/>
      </c>
      <c r="H29" s="635" t="str">
        <f>IF($C29&lt;&gt;"",_xll.PBD($C29, "MostRecentDealSize", "", "USD")/1000000,"")</f>
        <v/>
      </c>
      <c r="I29" s="635" t="str">
        <f>IF($C29&lt;&gt;"",_xlfn.IFNA(_xll.PBD($C29, "MostRecentPostValuation", "", "USD")/1000000,"-"),"")</f>
        <v/>
      </c>
      <c r="J29" s="639"/>
      <c r="K29" s="640" t="str">
        <f t="shared" si="0"/>
        <v>-</v>
      </c>
      <c r="L29" s="850" t="str">
        <f>IF($C29&lt;&gt;"",_xll.PBD($C29, "CompanyDescription", "", "USD"),"")</f>
        <v/>
      </c>
      <c r="M29" s="641"/>
      <c r="N29" s="615" t="str">
        <f>IF($C29&lt;&gt;"",_xll.PBD($C29, "CompanyDescription", "", "USD"),"")</f>
        <v/>
      </c>
      <c r="P29" s="2"/>
      <c r="Q29" s="2"/>
    </row>
    <row r="30" spans="1:17" s="595" customFormat="1" x14ac:dyDescent="0.35">
      <c r="A30" s="619"/>
      <c r="B30" s="619"/>
      <c r="D30" s="611"/>
      <c r="E30" s="611"/>
      <c r="F30" s="611"/>
      <c r="G30" s="611"/>
      <c r="H30" s="611"/>
      <c r="I30" s="611"/>
      <c r="K30" s="611"/>
      <c r="P30" s="619"/>
      <c r="Q30" s="619"/>
    </row>
    <row r="31" spans="1:17" s="595" customFormat="1" x14ac:dyDescent="0.35">
      <c r="A31" s="619"/>
      <c r="B31" s="619"/>
      <c r="J31" s="605" t="s">
        <v>137</v>
      </c>
      <c r="K31" s="606" t="e">
        <f ca="1">AVERAGE(K10:K29)</f>
        <v>#DIV/0!</v>
      </c>
      <c r="P31" s="619"/>
      <c r="Q31" s="619"/>
    </row>
    <row r="32" spans="1:17" s="595" customFormat="1" x14ac:dyDescent="0.35">
      <c r="A32" s="619"/>
      <c r="B32" s="619"/>
      <c r="J32" s="608" t="s">
        <v>138</v>
      </c>
      <c r="K32" s="606" t="e">
        <f ca="1">MEDIAN(K10:K29)</f>
        <v>#NUM!</v>
      </c>
      <c r="P32" s="619"/>
      <c r="Q32" s="619"/>
    </row>
    <row r="33" spans="1:17" s="595" customFormat="1" x14ac:dyDescent="0.35">
      <c r="A33" s="619"/>
      <c r="B33" s="619"/>
      <c r="J33" s="608" t="s">
        <v>477</v>
      </c>
      <c r="K33" s="606">
        <f ca="1">MIN(K10:K29)</f>
        <v>0</v>
      </c>
      <c r="P33" s="619"/>
      <c r="Q33" s="619"/>
    </row>
    <row r="34" spans="1:17" s="595" customFormat="1" x14ac:dyDescent="0.35">
      <c r="A34" s="619"/>
      <c r="B34" s="619"/>
      <c r="C34" s="618"/>
      <c r="D34" s="618"/>
      <c r="E34" s="618"/>
      <c r="F34" s="618"/>
      <c r="G34" s="618"/>
      <c r="H34" s="618"/>
      <c r="I34" s="618"/>
      <c r="J34" s="608" t="s">
        <v>478</v>
      </c>
      <c r="K34" s="606">
        <f ca="1">MAX(K10:K29)</f>
        <v>0</v>
      </c>
      <c r="P34" s="619"/>
      <c r="Q34" s="619"/>
    </row>
    <row r="35" spans="1:17" s="595" customFormat="1" x14ac:dyDescent="0.35">
      <c r="A35" s="619"/>
      <c r="B35" s="619"/>
      <c r="C35" s="618"/>
      <c r="D35" s="618"/>
      <c r="E35" s="618"/>
      <c r="F35" s="618"/>
      <c r="G35" s="618"/>
      <c r="H35" s="618"/>
      <c r="I35" s="618"/>
      <c r="J35" s="618"/>
      <c r="K35" s="618"/>
      <c r="P35" s="619"/>
      <c r="Q35" s="619"/>
    </row>
    <row r="36" spans="1:17" s="595" customFormat="1" x14ac:dyDescent="0.35">
      <c r="A36" s="619"/>
      <c r="B36" s="619"/>
      <c r="C36" s="618"/>
      <c r="D36" s="618"/>
      <c r="E36" s="618"/>
      <c r="F36" s="618"/>
      <c r="G36" s="618"/>
      <c r="H36" s="618"/>
      <c r="I36" s="618"/>
      <c r="J36" s="618"/>
      <c r="K36" s="618"/>
      <c r="P36" s="619"/>
      <c r="Q36" s="619"/>
    </row>
  </sheetData>
  <mergeCells count="3">
    <mergeCell ref="D6:K6"/>
    <mergeCell ref="D7:K7"/>
    <mergeCell ref="F8:H8"/>
  </mergeCell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C8CC-8359-4DF7-AC2E-C6E679374660}">
  <dimension ref="A1:AU82"/>
  <sheetViews>
    <sheetView zoomScale="85" zoomScaleNormal="85" workbookViewId="0">
      <selection activeCell="N47" sqref="N47"/>
    </sheetView>
  </sheetViews>
  <sheetFormatPr defaultColWidth="9.1796875" defaultRowHeight="15.5" x14ac:dyDescent="0.35"/>
  <cols>
    <col min="1" max="2" width="0.81640625" style="181" customWidth="1"/>
    <col min="3" max="3" width="52.54296875" style="646" bestFit="1" customWidth="1"/>
    <col min="4" max="10" width="10.81640625" style="646" customWidth="1"/>
    <col min="11" max="11" width="15" style="646" customWidth="1"/>
    <col min="12" max="12" width="14" style="647" bestFit="1" customWidth="1"/>
    <col min="13" max="16" width="10.81640625" style="646" customWidth="1"/>
    <col min="17" max="17" width="15.81640625" style="646" bestFit="1" customWidth="1"/>
    <col min="18" max="19" width="10.81640625" style="646" customWidth="1"/>
    <col min="20" max="20" width="1.7265625" style="646" customWidth="1"/>
    <col min="21" max="22" width="10.81640625" style="646" customWidth="1"/>
    <col min="23" max="23" width="1.7265625" style="646" customWidth="1"/>
    <col min="24" max="24" width="10.81640625" style="646" customWidth="1"/>
    <col min="25" max="26" width="0.81640625" style="181" customWidth="1"/>
    <col min="27" max="29" width="9.1796875" style="645"/>
    <col min="30" max="42" width="9.1796875" style="646"/>
    <col min="43" max="46" width="10.81640625" style="646" customWidth="1"/>
    <col min="47" max="16384" width="9.1796875" style="646"/>
  </cols>
  <sheetData>
    <row r="1" spans="1:47" s="181" customFormat="1" ht="7.5" customHeight="1" x14ac:dyDescent="0.35">
      <c r="A1" s="21" t="s">
        <v>1</v>
      </c>
      <c r="B1" s="180"/>
      <c r="C1" s="180"/>
      <c r="D1" s="180"/>
      <c r="E1" s="180"/>
      <c r="F1" s="180"/>
      <c r="G1" s="180"/>
      <c r="H1" s="180"/>
      <c r="J1" s="180"/>
      <c r="K1" s="180"/>
      <c r="L1" s="642"/>
      <c r="M1" s="180"/>
      <c r="N1" s="180"/>
      <c r="Y1" s="180"/>
      <c r="Z1" s="180"/>
    </row>
    <row r="2" spans="1:47" ht="19.5" customHeight="1" thickBot="1" x14ac:dyDescent="0.55000000000000004">
      <c r="A2" s="643"/>
      <c r="B2" s="643"/>
      <c r="C2" s="183" t="str">
        <f xml:space="preserve"> "Project " &amp; 'Master Inputs'!D8 &amp; " - Charts"</f>
        <v>Project MODEL - Charts</v>
      </c>
      <c r="D2" s="643"/>
      <c r="E2" s="643"/>
      <c r="F2" s="643"/>
      <c r="G2" s="643"/>
      <c r="H2" s="643"/>
      <c r="I2" s="643"/>
      <c r="J2" s="643"/>
      <c r="K2" s="643"/>
      <c r="L2" s="644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180"/>
      <c r="AA2" s="1305"/>
      <c r="AB2" s="1305"/>
      <c r="AC2" s="1305"/>
      <c r="AP2" s="643"/>
      <c r="AQ2" s="643"/>
      <c r="AR2" s="643"/>
      <c r="AS2" s="643"/>
      <c r="AT2" s="643"/>
      <c r="AU2" s="643"/>
    </row>
    <row r="3" spans="1:47" s="189" customFormat="1" ht="13" x14ac:dyDescent="0.3">
      <c r="C3" s="355" t="s">
        <v>18</v>
      </c>
    </row>
    <row r="4" spans="1:47" ht="8.15" customHeight="1" x14ac:dyDescent="0.35">
      <c r="A4" s="180"/>
      <c r="B4" s="180"/>
      <c r="Y4" s="180"/>
      <c r="Z4" s="180"/>
      <c r="AA4" s="1305"/>
      <c r="AB4" s="1305"/>
      <c r="AC4" s="1305"/>
    </row>
    <row r="5" spans="1:47" s="648" customFormat="1" x14ac:dyDescent="0.35">
      <c r="A5" s="180"/>
      <c r="B5" s="180"/>
      <c r="L5" s="649"/>
      <c r="Y5" s="180"/>
      <c r="Z5" s="180"/>
    </row>
    <row r="6" spans="1:47" s="215" customFormat="1" ht="15.75" customHeight="1" x14ac:dyDescent="0.35">
      <c r="A6" s="650"/>
      <c r="B6" s="650" t="s">
        <v>497</v>
      </c>
      <c r="C6" s="650"/>
      <c r="D6" s="651"/>
      <c r="E6" s="650"/>
      <c r="F6" s="651"/>
      <c r="G6" s="651"/>
      <c r="H6" s="651"/>
      <c r="I6" s="651"/>
      <c r="J6" s="651"/>
      <c r="K6" s="651"/>
      <c r="L6" s="651"/>
      <c r="M6" s="651"/>
      <c r="N6" s="651"/>
      <c r="O6" s="651"/>
      <c r="P6" s="652"/>
      <c r="Q6" s="651"/>
      <c r="R6" s="651"/>
      <c r="S6" s="651"/>
      <c r="T6" s="651"/>
      <c r="U6" s="651"/>
      <c r="V6" s="651"/>
      <c r="W6" s="651"/>
      <c r="X6" s="651"/>
      <c r="Y6" s="650"/>
      <c r="Z6" s="650"/>
      <c r="AP6" s="651"/>
      <c r="AQ6" s="651"/>
      <c r="AR6" s="651"/>
      <c r="AS6" s="651"/>
      <c r="AT6" s="651"/>
      <c r="AU6" s="651"/>
    </row>
    <row r="7" spans="1:47" s="648" customFormat="1" x14ac:dyDescent="0.35">
      <c r="L7" s="649"/>
    </row>
    <row r="8" spans="1:47" s="648" customFormat="1" x14ac:dyDescent="0.35">
      <c r="A8" s="180"/>
      <c r="B8" s="180"/>
      <c r="C8" s="653"/>
      <c r="D8" s="654"/>
      <c r="J8" s="655"/>
      <c r="K8" s="656" t="s">
        <v>498</v>
      </c>
      <c r="L8" s="656"/>
      <c r="M8" s="657" t="str">
        <f ca="1">Q9</f>
        <v>FY 2027P</v>
      </c>
      <c r="N8" s="657" t="str">
        <f ca="1">Q10</f>
        <v>FY 2028P</v>
      </c>
      <c r="O8" s="657" t="str">
        <f ca="1">Q11</f>
        <v>FY 2029P</v>
      </c>
      <c r="Q8" s="658" t="s">
        <v>409</v>
      </c>
      <c r="R8" s="659" t="s">
        <v>499</v>
      </c>
      <c r="S8" s="660" t="s">
        <v>500</v>
      </c>
      <c r="T8" s="660"/>
      <c r="U8" s="660"/>
      <c r="V8" s="660" t="s">
        <v>501</v>
      </c>
      <c r="W8" s="660"/>
      <c r="X8" s="661"/>
      <c r="Y8" s="180"/>
      <c r="Z8" s="180"/>
    </row>
    <row r="9" spans="1:47" s="648" customFormat="1" x14ac:dyDescent="0.35">
      <c r="A9" s="180"/>
      <c r="B9" s="180"/>
      <c r="C9" s="653"/>
      <c r="D9" s="662"/>
      <c r="J9" s="655"/>
      <c r="K9" s="656" t="s">
        <v>502</v>
      </c>
      <c r="L9" s="656"/>
      <c r="M9" s="663" t="s">
        <v>73</v>
      </c>
      <c r="N9" s="663"/>
      <c r="O9" s="663"/>
      <c r="Q9" s="664" t="str">
        <f ca="1">"FY "&amp; 'Financial STD'!P11</f>
        <v>FY 2027P</v>
      </c>
      <c r="R9" s="665">
        <f>'Financial STD'!P18</f>
        <v>0</v>
      </c>
      <c r="S9" s="1405">
        <f>IFERROR(MIN(#REF!),3)</f>
        <v>3</v>
      </c>
      <c r="T9" s="666" t="s">
        <v>238</v>
      </c>
      <c r="U9" s="1405">
        <f>IFERROR(MAX(#REF!),7)</f>
        <v>7</v>
      </c>
      <c r="V9" s="667">
        <f>+$R9*$S$9</f>
        <v>0</v>
      </c>
      <c r="W9" s="668" t="s">
        <v>238</v>
      </c>
      <c r="X9" s="669">
        <f>+$R9*$U$9</f>
        <v>0</v>
      </c>
      <c r="Y9" s="180"/>
      <c r="Z9" s="180"/>
      <c r="AQ9" s="670"/>
      <c r="AR9" s="671" t="s">
        <v>503</v>
      </c>
      <c r="AS9" s="671" t="s">
        <v>504</v>
      </c>
      <c r="AT9" s="672" t="s">
        <v>505</v>
      </c>
    </row>
    <row r="10" spans="1:47" s="648" customFormat="1" ht="16.149999999999999" customHeight="1" x14ac:dyDescent="0.35">
      <c r="A10" s="180"/>
      <c r="B10" s="180"/>
      <c r="C10" s="653"/>
      <c r="D10" s="654"/>
      <c r="J10" s="655"/>
      <c r="Q10" s="664" t="str">
        <f ca="1">"FY "&amp; 'Financial STD'!Q11</f>
        <v>FY 2028P</v>
      </c>
      <c r="R10" s="665">
        <f>'Financial STD'!Q18</f>
        <v>0</v>
      </c>
      <c r="S10" s="1405"/>
      <c r="T10" s="666" t="s">
        <v>238</v>
      </c>
      <c r="U10" s="1405">
        <v>7</v>
      </c>
      <c r="V10" s="667">
        <f>+$R10*$S$9</f>
        <v>0</v>
      </c>
      <c r="W10" s="668" t="s">
        <v>238</v>
      </c>
      <c r="X10" s="669">
        <f>+$R10*$U$9</f>
        <v>0</v>
      </c>
      <c r="Y10" s="180"/>
      <c r="Z10" s="180"/>
      <c r="AQ10" s="673" t="str">
        <f>K16</f>
        <v>Average</v>
      </c>
      <c r="AR10" s="673">
        <f>M16</f>
        <v>0</v>
      </c>
      <c r="AS10" s="673">
        <f>N16</f>
        <v>0</v>
      </c>
      <c r="AT10" s="673">
        <f>O16</f>
        <v>0</v>
      </c>
    </row>
    <row r="11" spans="1:47" s="648" customFormat="1" ht="16.149999999999999" customHeight="1" x14ac:dyDescent="0.35">
      <c r="A11" s="180"/>
      <c r="B11" s="180"/>
      <c r="D11" s="674"/>
      <c r="J11" s="655"/>
      <c r="L11" s="688" t="s">
        <v>506</v>
      </c>
      <c r="M11" s="675" t="s">
        <v>503</v>
      </c>
      <c r="N11" s="676" t="s">
        <v>504</v>
      </c>
      <c r="O11" s="677" t="s">
        <v>505</v>
      </c>
      <c r="Q11" s="664" t="str">
        <f ca="1">"FY "&amp; 'Financial STD'!R11</f>
        <v>FY 2029P</v>
      </c>
      <c r="R11" s="665">
        <f>'Financial STD'!R18</f>
        <v>0</v>
      </c>
      <c r="S11" s="1405"/>
      <c r="T11" s="666" t="s">
        <v>238</v>
      </c>
      <c r="U11" s="1405">
        <v>7</v>
      </c>
      <c r="V11" s="667">
        <f>+$R11*$S$9</f>
        <v>0</v>
      </c>
      <c r="W11" s="668" t="s">
        <v>238</v>
      </c>
      <c r="X11" s="669">
        <f>+$R11*$U$9</f>
        <v>0</v>
      </c>
      <c r="Y11" s="180"/>
      <c r="Z11" s="180"/>
      <c r="AQ11" s="673" t="str">
        <f>K15</f>
        <v>Financings Adj.</v>
      </c>
      <c r="AR11" s="673">
        <f>M15</f>
        <v>0</v>
      </c>
      <c r="AS11" s="673">
        <f>N15</f>
        <v>0</v>
      </c>
      <c r="AT11" s="673">
        <f>O15</f>
        <v>0</v>
      </c>
    </row>
    <row r="12" spans="1:47" s="648" customFormat="1" ht="14.65" customHeight="1" x14ac:dyDescent="0.35">
      <c r="A12" s="180"/>
      <c r="B12" s="180"/>
      <c r="C12" s="653"/>
      <c r="D12" s="678"/>
      <c r="J12" s="655"/>
      <c r="K12" s="679" t="s">
        <v>507</v>
      </c>
      <c r="L12" s="680" t="s">
        <v>508</v>
      </c>
      <c r="M12" s="675">
        <f>IF($M$9&lt;&gt;0,V9,IF($N$9&lt;&gt;0,V10,V11))</f>
        <v>0</v>
      </c>
      <c r="N12" s="676">
        <f>O12-M12</f>
        <v>0</v>
      </c>
      <c r="O12" s="675">
        <f>IF($M$9&lt;&gt;0,X9,IF($N$9&lt;&gt;0,X10,X11))</f>
        <v>0</v>
      </c>
      <c r="Q12" s="681"/>
      <c r="R12" s="655"/>
      <c r="S12" s="655"/>
      <c r="T12" s="655"/>
      <c r="U12" s="655"/>
      <c r="V12" s="682"/>
      <c r="W12" s="682"/>
      <c r="X12" s="683"/>
      <c r="Y12" s="180"/>
      <c r="Z12" s="180"/>
      <c r="AQ12" s="684" t="str">
        <f>K14</f>
        <v>Financings</v>
      </c>
      <c r="AR12" s="684">
        <f>M14</f>
        <v>0</v>
      </c>
      <c r="AS12" s="684">
        <f>N14</f>
        <v>0</v>
      </c>
      <c r="AT12" s="684">
        <f>O14</f>
        <v>0</v>
      </c>
    </row>
    <row r="13" spans="1:47" s="648" customFormat="1" ht="14.65" customHeight="1" x14ac:dyDescent="0.35">
      <c r="A13" s="180"/>
      <c r="B13" s="180"/>
      <c r="C13" s="653"/>
      <c r="D13" s="678"/>
      <c r="J13" s="655"/>
      <c r="K13" s="679" t="s">
        <v>509</v>
      </c>
      <c r="L13" s="680" t="s">
        <v>508</v>
      </c>
      <c r="M13" s="675">
        <f>IF($M$9&lt;&gt;0,V14,IF($N$9&lt;&gt;0,V15,V16))</f>
        <v>0</v>
      </c>
      <c r="N13" s="676">
        <f>O13-M13</f>
        <v>0</v>
      </c>
      <c r="O13" s="675">
        <f>IF($M$9&lt;&gt;0,X14,IF($N$9&lt;&gt;0,X15,X16))</f>
        <v>0</v>
      </c>
      <c r="Q13" s="658" t="s">
        <v>510</v>
      </c>
      <c r="R13" s="685"/>
      <c r="S13" s="666"/>
      <c r="T13" s="666"/>
      <c r="U13" s="666"/>
      <c r="V13" s="667"/>
      <c r="W13" s="668"/>
      <c r="X13" s="669"/>
      <c r="Y13" s="180"/>
      <c r="Z13" s="180"/>
      <c r="AQ13" s="684" t="str">
        <f>K13</f>
        <v>M&amp;A</v>
      </c>
      <c r="AR13" s="684">
        <f>M13</f>
        <v>0</v>
      </c>
      <c r="AS13" s="684">
        <f>N13</f>
        <v>0</v>
      </c>
      <c r="AT13" s="684">
        <f>O13</f>
        <v>0</v>
      </c>
    </row>
    <row r="14" spans="1:47" s="655" customFormat="1" ht="14.65" customHeight="1" x14ac:dyDescent="0.35">
      <c r="K14" s="686" t="s">
        <v>511</v>
      </c>
      <c r="L14" s="687" t="s">
        <v>508</v>
      </c>
      <c r="M14" s="675">
        <f>IF($M$9&lt;&gt;0,V19,IF($N$9&lt;&gt;0,V20,V21))</f>
        <v>0</v>
      </c>
      <c r="N14" s="676">
        <f>O14-M14</f>
        <v>0</v>
      </c>
      <c r="O14" s="675">
        <f>IF($M$9&lt;&gt;0,X19,IF($N$9&lt;&gt;0,X20,X21))</f>
        <v>0</v>
      </c>
      <c r="Q14" s="664" t="str">
        <f t="shared" ref="Q14:R16" ca="1" si="0">Q9</f>
        <v>FY 2027P</v>
      </c>
      <c r="R14" s="685">
        <f t="shared" si="0"/>
        <v>0</v>
      </c>
      <c r="S14" s="1405">
        <f>'Exit Comps'!J26</f>
        <v>46</v>
      </c>
      <c r="T14" s="666" t="s">
        <v>238</v>
      </c>
      <c r="U14" s="1405">
        <f>'Exit Comps'!J27</f>
        <v>46</v>
      </c>
      <c r="V14" s="667">
        <f>+$R14*$S$14</f>
        <v>0</v>
      </c>
      <c r="W14" s="668" t="s">
        <v>238</v>
      </c>
      <c r="X14" s="669">
        <f>+$R14*$U$14</f>
        <v>0</v>
      </c>
      <c r="AQ14" s="684" t="str">
        <f>K12</f>
        <v xml:space="preserve">Public </v>
      </c>
      <c r="AR14" s="684">
        <f>M12</f>
        <v>0</v>
      </c>
      <c r="AS14" s="684">
        <f>N12</f>
        <v>0</v>
      </c>
      <c r="AT14" s="684">
        <f>O12</f>
        <v>0</v>
      </c>
    </row>
    <row r="15" spans="1:47" s="655" customFormat="1" ht="14.65" customHeight="1" x14ac:dyDescent="0.35">
      <c r="K15" s="686" t="s">
        <v>512</v>
      </c>
      <c r="L15" s="687" t="s">
        <v>513</v>
      </c>
      <c r="M15" s="675">
        <f>IF($M$9&lt;&gt;0,V24,IF($N$9&lt;&gt;0,V25,V26))</f>
        <v>0</v>
      </c>
      <c r="N15" s="676">
        <f>O15-M15</f>
        <v>0</v>
      </c>
      <c r="O15" s="675">
        <f>IF($M$9&lt;&gt;0,X24,IF($N$9&lt;&gt;0,X25,X26))</f>
        <v>0</v>
      </c>
      <c r="Q15" s="664" t="str">
        <f t="shared" ca="1" si="0"/>
        <v>FY 2028P</v>
      </c>
      <c r="R15" s="685">
        <f t="shared" si="0"/>
        <v>0</v>
      </c>
      <c r="S15" s="1405">
        <v>15</v>
      </c>
      <c r="T15" s="666" t="s">
        <v>238</v>
      </c>
      <c r="U15" s="1405">
        <v>25</v>
      </c>
      <c r="V15" s="667">
        <f>+$R15*$S$14</f>
        <v>0</v>
      </c>
      <c r="W15" s="668" t="s">
        <v>238</v>
      </c>
      <c r="X15" s="669">
        <f>+$R15*$U$14</f>
        <v>0</v>
      </c>
    </row>
    <row r="16" spans="1:47" s="655" customFormat="1" ht="14.65" customHeight="1" x14ac:dyDescent="0.35">
      <c r="K16" s="1403" t="s">
        <v>514</v>
      </c>
      <c r="L16" s="1403"/>
      <c r="M16" s="689">
        <f>AVERAGEIFS(M12:M15,L12:L15,"&lt;&gt;N")</f>
        <v>0</v>
      </c>
      <c r="N16" s="690">
        <f>O16-M16</f>
        <v>0</v>
      </c>
      <c r="O16" s="689">
        <f>AVERAGEIFS(O12:O15,L12:L15,"&lt;&gt;N")</f>
        <v>0</v>
      </c>
      <c r="Q16" s="664" t="str">
        <f t="shared" ca="1" si="0"/>
        <v>FY 2029P</v>
      </c>
      <c r="R16" s="685">
        <f t="shared" si="0"/>
        <v>0</v>
      </c>
      <c r="S16" s="1405">
        <v>15</v>
      </c>
      <c r="T16" s="666" t="s">
        <v>238</v>
      </c>
      <c r="U16" s="1405">
        <v>25</v>
      </c>
      <c r="V16" s="667">
        <f>+$R16*$S$14</f>
        <v>0</v>
      </c>
      <c r="W16" s="668" t="s">
        <v>238</v>
      </c>
      <c r="X16" s="669">
        <f>+$R16*$U$14</f>
        <v>0</v>
      </c>
    </row>
    <row r="17" spans="1:47" s="655" customFormat="1" ht="14.65" customHeight="1" x14ac:dyDescent="0.35">
      <c r="K17" s="1403" t="s">
        <v>515</v>
      </c>
      <c r="L17" s="1403"/>
      <c r="M17" s="1404">
        <f>AVERAGE(M12:M15,O12:O15)</f>
        <v>0</v>
      </c>
      <c r="N17" s="1404"/>
      <c r="O17" s="1404"/>
      <c r="Q17" s="691"/>
      <c r="R17" s="685"/>
      <c r="S17" s="692"/>
      <c r="T17" s="692"/>
      <c r="U17" s="692"/>
      <c r="V17" s="667"/>
      <c r="W17" s="693"/>
      <c r="X17" s="669"/>
    </row>
    <row r="18" spans="1:47" s="655" customFormat="1" ht="14.65" customHeight="1" x14ac:dyDescent="0.35">
      <c r="Q18" s="658" t="s">
        <v>511</v>
      </c>
      <c r="R18" s="685"/>
      <c r="V18" s="667"/>
      <c r="W18" s="682"/>
      <c r="X18" s="669"/>
    </row>
    <row r="19" spans="1:47" s="655" customFormat="1" ht="14.65" customHeight="1" x14ac:dyDescent="0.35">
      <c r="Q19" s="664" t="str">
        <f t="shared" ref="Q19:R21" ca="1" si="1">Q14</f>
        <v>FY 2027P</v>
      </c>
      <c r="R19" s="685">
        <f t="shared" si="1"/>
        <v>0</v>
      </c>
      <c r="S19" s="1405">
        <f>'Exit Comps'!J26</f>
        <v>46</v>
      </c>
      <c r="T19" s="666" t="s">
        <v>238</v>
      </c>
      <c r="U19" s="1405">
        <f>'Exit Comps'!J27</f>
        <v>46</v>
      </c>
      <c r="V19" s="667">
        <f>+$R19*$S$19</f>
        <v>0</v>
      </c>
      <c r="W19" s="668" t="s">
        <v>238</v>
      </c>
      <c r="X19" s="669">
        <f>+$R19*$U$19</f>
        <v>0</v>
      </c>
    </row>
    <row r="20" spans="1:47" s="655" customFormat="1" ht="14.65" customHeight="1" x14ac:dyDescent="0.35">
      <c r="K20" s="648"/>
      <c r="Q20" s="664" t="str">
        <f t="shared" ca="1" si="1"/>
        <v>FY 2028P</v>
      </c>
      <c r="R20" s="685">
        <f t="shared" si="1"/>
        <v>0</v>
      </c>
      <c r="S20" s="1405">
        <v>12</v>
      </c>
      <c r="T20" s="666" t="s">
        <v>238</v>
      </c>
      <c r="U20" s="1405">
        <v>14</v>
      </c>
      <c r="V20" s="667">
        <f>+$R20*$S$19</f>
        <v>0</v>
      </c>
      <c r="W20" s="668" t="s">
        <v>238</v>
      </c>
      <c r="X20" s="669">
        <f>+$R20*$U$19</f>
        <v>0</v>
      </c>
    </row>
    <row r="21" spans="1:47" s="655" customFormat="1" ht="14.65" customHeight="1" x14ac:dyDescent="0.35">
      <c r="Q21" s="664" t="str">
        <f t="shared" ca="1" si="1"/>
        <v>FY 2029P</v>
      </c>
      <c r="R21" s="685">
        <f t="shared" si="1"/>
        <v>0</v>
      </c>
      <c r="S21" s="1405">
        <v>12</v>
      </c>
      <c r="T21" s="666" t="s">
        <v>238</v>
      </c>
      <c r="U21" s="1405">
        <v>14</v>
      </c>
      <c r="V21" s="667">
        <f>+$R21*$S$19</f>
        <v>0</v>
      </c>
      <c r="W21" s="668" t="s">
        <v>238</v>
      </c>
      <c r="X21" s="669">
        <f>+$R21*$U$19</f>
        <v>0</v>
      </c>
    </row>
    <row r="22" spans="1:47" s="655" customFormat="1" ht="14.65" customHeight="1" x14ac:dyDescent="0.35">
      <c r="Q22" s="694"/>
      <c r="R22" s="695"/>
      <c r="S22" s="696"/>
      <c r="T22" s="696"/>
      <c r="U22" s="696"/>
      <c r="V22" s="697"/>
      <c r="W22" s="698"/>
      <c r="X22" s="699"/>
    </row>
    <row r="23" spans="1:47" s="655" customFormat="1" ht="14.65" customHeight="1" x14ac:dyDescent="0.35">
      <c r="Q23" s="658" t="s">
        <v>516</v>
      </c>
      <c r="R23" s="685"/>
      <c r="V23" s="667"/>
      <c r="W23" s="682"/>
      <c r="X23" s="669"/>
    </row>
    <row r="24" spans="1:47" s="655" customFormat="1" ht="14.65" customHeight="1" x14ac:dyDescent="0.35">
      <c r="Q24" s="664" t="str">
        <f ca="1">"FY "&amp; 'Financial STD'!U11</f>
        <v>FY 2027S</v>
      </c>
      <c r="R24" s="665">
        <f>'Financial STD'!U18</f>
        <v>0</v>
      </c>
      <c r="S24" s="1405">
        <f>S19</f>
        <v>46</v>
      </c>
      <c r="T24" s="666" t="s">
        <v>238</v>
      </c>
      <c r="U24" s="1405">
        <f>U19</f>
        <v>46</v>
      </c>
      <c r="V24" s="667">
        <f>+$R24*$S$24</f>
        <v>0</v>
      </c>
      <c r="W24" s="668" t="s">
        <v>238</v>
      </c>
      <c r="X24" s="669">
        <f>+$R24*$U$24</f>
        <v>0</v>
      </c>
    </row>
    <row r="25" spans="1:47" s="655" customFormat="1" ht="14.65" customHeight="1" x14ac:dyDescent="0.35">
      <c r="Q25" s="664" t="str">
        <f ca="1">"FY "&amp; 'Financial STD'!V11</f>
        <v>FY 2028S</v>
      </c>
      <c r="R25" s="665">
        <f>'Financial STD'!V18</f>
        <v>0</v>
      </c>
      <c r="S25" s="1405">
        <v>2</v>
      </c>
      <c r="T25" s="666" t="s">
        <v>238</v>
      </c>
      <c r="U25" s="1405">
        <v>3</v>
      </c>
      <c r="V25" s="667">
        <f>+$R25*$S$24</f>
        <v>0</v>
      </c>
      <c r="W25" s="668" t="s">
        <v>238</v>
      </c>
      <c r="X25" s="669">
        <f>+$R25*$U$24</f>
        <v>0</v>
      </c>
    </row>
    <row r="26" spans="1:47" s="655" customFormat="1" ht="15" customHeight="1" x14ac:dyDescent="0.35">
      <c r="L26" s="692"/>
      <c r="Q26" s="664" t="str">
        <f ca="1">"FY "&amp; 'Financial STD'!W11</f>
        <v>FY 2029S</v>
      </c>
      <c r="R26" s="665">
        <f>'Financial STD'!W18</f>
        <v>0</v>
      </c>
      <c r="S26" s="1405">
        <v>8.5</v>
      </c>
      <c r="T26" s="666" t="s">
        <v>238</v>
      </c>
      <c r="U26" s="1405">
        <v>12</v>
      </c>
      <c r="V26" s="667">
        <f>+$R26*$S$24</f>
        <v>0</v>
      </c>
      <c r="W26" s="668" t="s">
        <v>238</v>
      </c>
      <c r="X26" s="669">
        <f>+$R26*$U$24</f>
        <v>0</v>
      </c>
    </row>
    <row r="27" spans="1:47" s="655" customFormat="1" ht="7.5" customHeight="1" x14ac:dyDescent="0.35">
      <c r="L27" s="692"/>
      <c r="Q27" s="691"/>
      <c r="X27" s="700"/>
    </row>
    <row r="28" spans="1:47" s="655" customFormat="1" ht="15" customHeight="1" x14ac:dyDescent="0.35">
      <c r="L28" s="692"/>
      <c r="Q28" s="701" t="s">
        <v>514</v>
      </c>
      <c r="R28" s="702"/>
      <c r="S28" s="703">
        <f>AVERAGE(S9:S11,S14:S16,S19:S21,S24:S26)</f>
        <v>20.55</v>
      </c>
      <c r="T28" s="703" t="s">
        <v>238</v>
      </c>
      <c r="U28" s="703">
        <f>AVERAGE(U9:U11,U14:U16,U19:U21,U24:U26)</f>
        <v>21</v>
      </c>
      <c r="V28" s="704">
        <f>AVERAGE(V9:V11,V14:V16,V19:V21,V24:V26)</f>
        <v>0</v>
      </c>
      <c r="W28" s="703" t="s">
        <v>238</v>
      </c>
      <c r="X28" s="705">
        <f>AVERAGE(X9:X11,X14:X16,X19:X21,X24:X26)</f>
        <v>0</v>
      </c>
    </row>
    <row r="29" spans="1:47" s="655" customFormat="1" ht="7.15" customHeight="1" x14ac:dyDescent="0.35">
      <c r="L29" s="692"/>
    </row>
    <row r="30" spans="1:47" s="655" customFormat="1" ht="15" customHeight="1" x14ac:dyDescent="0.35">
      <c r="L30" s="692"/>
    </row>
    <row r="31" spans="1:47" s="215" customFormat="1" ht="15.75" customHeight="1" x14ac:dyDescent="0.35">
      <c r="A31" s="650"/>
      <c r="B31" s="650" t="s">
        <v>517</v>
      </c>
      <c r="C31" s="650"/>
      <c r="D31" s="651"/>
      <c r="E31" s="650"/>
      <c r="F31" s="651"/>
      <c r="G31" s="651"/>
      <c r="H31" s="651"/>
      <c r="I31" s="651"/>
      <c r="J31" s="651"/>
      <c r="K31" s="651"/>
      <c r="L31" s="651"/>
      <c r="M31" s="651"/>
      <c r="N31" s="651"/>
      <c r="O31" s="651"/>
      <c r="P31" s="652"/>
      <c r="Q31" s="651"/>
      <c r="R31" s="651"/>
      <c r="S31" s="651"/>
      <c r="T31" s="651"/>
      <c r="U31" s="651"/>
      <c r="V31" s="651"/>
      <c r="W31" s="651"/>
      <c r="X31" s="651"/>
      <c r="Y31" s="650"/>
      <c r="Z31" s="650"/>
      <c r="AP31" s="651"/>
      <c r="AQ31" s="651"/>
      <c r="AR31" s="651"/>
      <c r="AS31" s="651"/>
      <c r="AT31" s="651"/>
      <c r="AU31" s="651"/>
    </row>
    <row r="32" spans="1:47" s="648" customFormat="1" x14ac:dyDescent="0.35">
      <c r="L32" s="649"/>
    </row>
    <row r="33" spans="1:46" s="648" customFormat="1" x14ac:dyDescent="0.35">
      <c r="A33" s="180"/>
      <c r="B33" s="180"/>
      <c r="C33" s="653"/>
      <c r="D33" s="654"/>
      <c r="J33" s="655"/>
      <c r="K33" s="656" t="s">
        <v>498</v>
      </c>
      <c r="L33" s="656"/>
      <c r="M33" s="657" t="str">
        <f ca="1">Q34</f>
        <v>FY 2027P</v>
      </c>
      <c r="N33" s="657" t="str">
        <f ca="1">Q35</f>
        <v>FY 2028P</v>
      </c>
      <c r="O33" s="657" t="str">
        <f ca="1">Q36</f>
        <v>FY 2029P</v>
      </c>
      <c r="Q33" s="658" t="s">
        <v>409</v>
      </c>
      <c r="R33" s="659" t="s">
        <v>499</v>
      </c>
      <c r="S33" s="660" t="s">
        <v>500</v>
      </c>
      <c r="T33" s="660"/>
      <c r="U33" s="660"/>
      <c r="V33" s="660" t="s">
        <v>501</v>
      </c>
      <c r="W33" s="660"/>
      <c r="X33" s="661"/>
      <c r="Y33" s="180"/>
      <c r="Z33" s="180"/>
    </row>
    <row r="34" spans="1:46" s="648" customFormat="1" x14ac:dyDescent="0.35">
      <c r="A34" s="180"/>
      <c r="B34" s="180"/>
      <c r="C34" s="653"/>
      <c r="D34" s="662"/>
      <c r="J34" s="655"/>
      <c r="K34" s="656" t="s">
        <v>502</v>
      </c>
      <c r="L34" s="656"/>
      <c r="M34" s="663" t="s">
        <v>73</v>
      </c>
      <c r="N34" s="663"/>
      <c r="O34" s="663"/>
      <c r="Q34" s="664" t="str">
        <f ca="1">"FY "&amp; 'Financial STD'!P11</f>
        <v>FY 2027P</v>
      </c>
      <c r="R34" s="665">
        <f>'Financial XaaS'!U25</f>
        <v>0</v>
      </c>
      <c r="S34" s="1405">
        <f>S9</f>
        <v>3</v>
      </c>
      <c r="T34" s="666" t="s">
        <v>238</v>
      </c>
      <c r="U34" s="1405">
        <f>U9</f>
        <v>7</v>
      </c>
      <c r="V34" s="667">
        <f>+$R34*$S$34</f>
        <v>0</v>
      </c>
      <c r="W34" s="668" t="s">
        <v>238</v>
      </c>
      <c r="X34" s="669">
        <f>+$R34*$U$34</f>
        <v>0</v>
      </c>
      <c r="Y34" s="180"/>
      <c r="Z34" s="180"/>
      <c r="AQ34" s="670"/>
      <c r="AR34" s="671" t="s">
        <v>503</v>
      </c>
      <c r="AS34" s="671" t="s">
        <v>504</v>
      </c>
      <c r="AT34" s="672" t="s">
        <v>505</v>
      </c>
    </row>
    <row r="35" spans="1:46" s="648" customFormat="1" ht="16.149999999999999" customHeight="1" x14ac:dyDescent="0.35">
      <c r="A35" s="180"/>
      <c r="B35" s="180"/>
      <c r="C35" s="653"/>
      <c r="D35" s="654"/>
      <c r="J35" s="655"/>
      <c r="Q35" s="664" t="str">
        <f ca="1">"FY "&amp; 'Financial STD'!Q11</f>
        <v>FY 2028P</v>
      </c>
      <c r="R35" s="665">
        <f>'Financial XaaS'!V25</f>
        <v>0</v>
      </c>
      <c r="S35" s="1405"/>
      <c r="T35" s="666" t="s">
        <v>238</v>
      </c>
      <c r="U35" s="1405"/>
      <c r="V35" s="667">
        <f>+$R35*$S$34</f>
        <v>0</v>
      </c>
      <c r="W35" s="668" t="s">
        <v>238</v>
      </c>
      <c r="X35" s="669">
        <f>+$R35*$U$34</f>
        <v>0</v>
      </c>
      <c r="Y35" s="180"/>
      <c r="Z35" s="180"/>
      <c r="AQ35" s="673" t="str">
        <f>K41</f>
        <v>Average</v>
      </c>
      <c r="AR35" s="673">
        <f>M41</f>
        <v>0</v>
      </c>
      <c r="AS35" s="673">
        <f>N41</f>
        <v>0</v>
      </c>
      <c r="AT35" s="673">
        <f>O41</f>
        <v>0</v>
      </c>
    </row>
    <row r="36" spans="1:46" s="648" customFormat="1" ht="16.149999999999999" customHeight="1" x14ac:dyDescent="0.35">
      <c r="A36" s="180"/>
      <c r="B36" s="180"/>
      <c r="D36" s="674"/>
      <c r="J36" s="655"/>
      <c r="L36" s="688" t="s">
        <v>506</v>
      </c>
      <c r="M36" s="675" t="s">
        <v>503</v>
      </c>
      <c r="N36" s="676" t="s">
        <v>504</v>
      </c>
      <c r="O36" s="677" t="s">
        <v>505</v>
      </c>
      <c r="Q36" s="664" t="str">
        <f ca="1">"FY "&amp; 'Financial STD'!R11</f>
        <v>FY 2029P</v>
      </c>
      <c r="R36" s="665">
        <f>'Financial XaaS'!W21</f>
        <v>0</v>
      </c>
      <c r="S36" s="1405"/>
      <c r="T36" s="666" t="s">
        <v>238</v>
      </c>
      <c r="U36" s="1405"/>
      <c r="V36" s="667">
        <f>+$R36*$S$34</f>
        <v>0</v>
      </c>
      <c r="W36" s="668" t="s">
        <v>238</v>
      </c>
      <c r="X36" s="669">
        <f>+$R36*$U$34</f>
        <v>0</v>
      </c>
      <c r="Y36" s="180"/>
      <c r="Z36" s="180"/>
      <c r="AQ36" s="673" t="str">
        <f>K40</f>
        <v>Financings Adj.</v>
      </c>
      <c r="AR36" s="673">
        <f>M40</f>
        <v>0</v>
      </c>
      <c r="AS36" s="673">
        <f>N40</f>
        <v>0</v>
      </c>
      <c r="AT36" s="673">
        <f>O40</f>
        <v>0</v>
      </c>
    </row>
    <row r="37" spans="1:46" s="648" customFormat="1" ht="14.65" customHeight="1" x14ac:dyDescent="0.35">
      <c r="A37" s="180"/>
      <c r="B37" s="180"/>
      <c r="C37" s="653"/>
      <c r="D37" s="678"/>
      <c r="J37" s="655"/>
      <c r="K37" s="679" t="s">
        <v>507</v>
      </c>
      <c r="L37" s="680" t="s">
        <v>508</v>
      </c>
      <c r="M37" s="675">
        <f>IF($M$34&lt;&gt;0,V34,IF($N$34&lt;&gt;0,V35,V36))</f>
        <v>0</v>
      </c>
      <c r="N37" s="676">
        <f>O37-M37</f>
        <v>0</v>
      </c>
      <c r="O37" s="675">
        <f>IF($M$34&lt;&gt;0,X34,IF($N$34&lt;&gt;0,X35,X36))</f>
        <v>0</v>
      </c>
      <c r="Q37" s="681"/>
      <c r="R37" s="655"/>
      <c r="S37" s="655"/>
      <c r="T37" s="655"/>
      <c r="U37" s="655"/>
      <c r="V37" s="682"/>
      <c r="W37" s="682"/>
      <c r="X37" s="683"/>
      <c r="Y37" s="180"/>
      <c r="Z37" s="180"/>
      <c r="AQ37" s="684" t="str">
        <f>K39</f>
        <v>Financings</v>
      </c>
      <c r="AR37" s="684">
        <f>M39</f>
        <v>0</v>
      </c>
      <c r="AS37" s="684">
        <f>N39</f>
        <v>0</v>
      </c>
      <c r="AT37" s="684">
        <f>O39</f>
        <v>0</v>
      </c>
    </row>
    <row r="38" spans="1:46" s="648" customFormat="1" ht="14.65" customHeight="1" x14ac:dyDescent="0.35">
      <c r="A38" s="180"/>
      <c r="B38" s="180"/>
      <c r="C38" s="653"/>
      <c r="D38" s="678"/>
      <c r="J38" s="655"/>
      <c r="K38" s="679" t="s">
        <v>509</v>
      </c>
      <c r="L38" s="680" t="s">
        <v>508</v>
      </c>
      <c r="M38" s="675">
        <f>IF($M$34&lt;&gt;0,V39,IF($N$34&lt;&gt;0,V40,V41))</f>
        <v>0</v>
      </c>
      <c r="N38" s="676">
        <f>O38-M38</f>
        <v>0</v>
      </c>
      <c r="O38" s="675">
        <f>IF($M$34&lt;&gt;0,X39,IF($N$34&lt;&gt;0,X40,X41))</f>
        <v>0</v>
      </c>
      <c r="Q38" s="658" t="s">
        <v>510</v>
      </c>
      <c r="R38" s="685"/>
      <c r="S38" s="666"/>
      <c r="T38" s="666"/>
      <c r="U38" s="666"/>
      <c r="V38" s="667"/>
      <c r="W38" s="668"/>
      <c r="X38" s="669"/>
      <c r="Y38" s="180"/>
      <c r="Z38" s="180"/>
      <c r="AQ38" s="684" t="str">
        <f>K38</f>
        <v>M&amp;A</v>
      </c>
      <c r="AR38" s="684">
        <f>M38</f>
        <v>0</v>
      </c>
      <c r="AS38" s="684">
        <f>N38</f>
        <v>0</v>
      </c>
      <c r="AT38" s="684">
        <f>O38</f>
        <v>0</v>
      </c>
    </row>
    <row r="39" spans="1:46" s="655" customFormat="1" ht="14.65" customHeight="1" x14ac:dyDescent="0.35">
      <c r="K39" s="686" t="s">
        <v>511</v>
      </c>
      <c r="L39" s="687" t="s">
        <v>508</v>
      </c>
      <c r="M39" s="675">
        <f>IF($M$34&lt;&gt;0,V44,IF($N$34&lt;&gt;0,V45,V46))</f>
        <v>0</v>
      </c>
      <c r="N39" s="676">
        <f>O39-M39</f>
        <v>0</v>
      </c>
      <c r="O39" s="675">
        <f>IF($M$34&lt;&gt;0,X44,IF($N$34&lt;&gt;0,X45,X46))</f>
        <v>0</v>
      </c>
      <c r="Q39" s="664" t="str">
        <f t="shared" ref="Q39:R41" ca="1" si="2">Q34</f>
        <v>FY 2027P</v>
      </c>
      <c r="R39" s="685">
        <f t="shared" si="2"/>
        <v>0</v>
      </c>
      <c r="S39" s="1405">
        <f>S14</f>
        <v>46</v>
      </c>
      <c r="T39" s="666" t="s">
        <v>238</v>
      </c>
      <c r="U39" s="1405">
        <f>U14</f>
        <v>46</v>
      </c>
      <c r="V39" s="667">
        <f>+$R39*$S$39</f>
        <v>0</v>
      </c>
      <c r="W39" s="668" t="s">
        <v>238</v>
      </c>
      <c r="X39" s="669">
        <f>+$R39*$U$39</f>
        <v>0</v>
      </c>
      <c r="AQ39" s="684" t="str">
        <f>K37</f>
        <v xml:space="preserve">Public </v>
      </c>
      <c r="AR39" s="684">
        <f>M37</f>
        <v>0</v>
      </c>
      <c r="AS39" s="684">
        <f>N37</f>
        <v>0</v>
      </c>
      <c r="AT39" s="684">
        <f>O37</f>
        <v>0</v>
      </c>
    </row>
    <row r="40" spans="1:46" s="655" customFormat="1" ht="14.65" customHeight="1" x14ac:dyDescent="0.35">
      <c r="K40" s="686" t="s">
        <v>512</v>
      </c>
      <c r="L40" s="687" t="s">
        <v>513</v>
      </c>
      <c r="M40" s="675">
        <f>IF($M$34&lt;&gt;0,V49,IF($N$34&lt;&gt;0,V50,V51))</f>
        <v>0</v>
      </c>
      <c r="N40" s="676">
        <f>O40-M40</f>
        <v>0</v>
      </c>
      <c r="O40" s="675">
        <f>IF($M$34&lt;&gt;0,X49,IF($N$34&lt;&gt;0,X50,X51))</f>
        <v>0</v>
      </c>
      <c r="Q40" s="664" t="str">
        <f t="shared" ca="1" si="2"/>
        <v>FY 2028P</v>
      </c>
      <c r="R40" s="685">
        <f t="shared" si="2"/>
        <v>0</v>
      </c>
      <c r="S40" s="1405">
        <v>15</v>
      </c>
      <c r="T40" s="666" t="s">
        <v>238</v>
      </c>
      <c r="U40" s="1405">
        <v>15</v>
      </c>
      <c r="V40" s="667">
        <f>+$R40*$S$39</f>
        <v>0</v>
      </c>
      <c r="W40" s="668" t="s">
        <v>238</v>
      </c>
      <c r="X40" s="669">
        <f>+$R40*$U$39</f>
        <v>0</v>
      </c>
    </row>
    <row r="41" spans="1:46" s="655" customFormat="1" ht="14.65" customHeight="1" x14ac:dyDescent="0.35">
      <c r="K41" s="1403" t="s">
        <v>514</v>
      </c>
      <c r="L41" s="1403"/>
      <c r="M41" s="689">
        <f>AVERAGEIFS(M37:M40,L37:L40,"&lt;&gt;N")</f>
        <v>0</v>
      </c>
      <c r="N41" s="690">
        <f>O41-M41</f>
        <v>0</v>
      </c>
      <c r="O41" s="689">
        <f>AVERAGEIFS(O37:O40,L37:L40,"&lt;&gt;N")</f>
        <v>0</v>
      </c>
      <c r="Q41" s="664" t="str">
        <f t="shared" ca="1" si="2"/>
        <v>FY 2029P</v>
      </c>
      <c r="R41" s="685">
        <f t="shared" si="2"/>
        <v>0</v>
      </c>
      <c r="S41" s="1405">
        <v>15</v>
      </c>
      <c r="T41" s="666" t="s">
        <v>238</v>
      </c>
      <c r="U41" s="1405">
        <v>15</v>
      </c>
      <c r="V41" s="667">
        <f>+$R41*$S$39</f>
        <v>0</v>
      </c>
      <c r="W41" s="668" t="s">
        <v>238</v>
      </c>
      <c r="X41" s="669">
        <f>+$R41*$U$39</f>
        <v>0</v>
      </c>
    </row>
    <row r="42" spans="1:46" s="655" customFormat="1" ht="14.65" customHeight="1" x14ac:dyDescent="0.35">
      <c r="K42" s="1403" t="s">
        <v>515</v>
      </c>
      <c r="L42" s="1403"/>
      <c r="M42" s="1404">
        <f>AVERAGE(M37:M40,O37:O40)</f>
        <v>0</v>
      </c>
      <c r="N42" s="1404"/>
      <c r="O42" s="1404"/>
      <c r="Q42" s="691"/>
      <c r="R42" s="685"/>
      <c r="S42" s="692"/>
      <c r="T42" s="692"/>
      <c r="U42" s="692"/>
      <c r="V42" s="667"/>
      <c r="W42" s="693"/>
      <c r="X42" s="669"/>
    </row>
    <row r="43" spans="1:46" s="655" customFormat="1" ht="14.65" customHeight="1" x14ac:dyDescent="0.35">
      <c r="Q43" s="658" t="s">
        <v>511</v>
      </c>
      <c r="R43" s="685"/>
      <c r="V43" s="667"/>
      <c r="W43" s="682"/>
      <c r="X43" s="669"/>
    </row>
    <row r="44" spans="1:46" s="655" customFormat="1" ht="14.65" customHeight="1" x14ac:dyDescent="0.35">
      <c r="Q44" s="664" t="str">
        <f t="shared" ref="Q44:R46" ca="1" si="3">Q39</f>
        <v>FY 2027P</v>
      </c>
      <c r="R44" s="685">
        <f t="shared" si="3"/>
        <v>0</v>
      </c>
      <c r="S44" s="1405">
        <f>S19</f>
        <v>46</v>
      </c>
      <c r="T44" s="666" t="s">
        <v>238</v>
      </c>
      <c r="U44" s="1405">
        <f>U19</f>
        <v>46</v>
      </c>
      <c r="V44" s="667">
        <f>+$R44*$S$44</f>
        <v>0</v>
      </c>
      <c r="W44" s="668" t="s">
        <v>238</v>
      </c>
      <c r="X44" s="669">
        <f>+$R44*$U$44</f>
        <v>0</v>
      </c>
    </row>
    <row r="45" spans="1:46" s="655" customFormat="1" ht="14.65" customHeight="1" x14ac:dyDescent="0.35">
      <c r="K45" s="648"/>
      <c r="Q45" s="664" t="str">
        <f t="shared" ca="1" si="3"/>
        <v>FY 2028P</v>
      </c>
      <c r="R45" s="685">
        <f t="shared" si="3"/>
        <v>0</v>
      </c>
      <c r="S45" s="1405">
        <v>15</v>
      </c>
      <c r="T45" s="666" t="s">
        <v>238</v>
      </c>
      <c r="U45" s="1405">
        <v>15</v>
      </c>
      <c r="V45" s="667">
        <f>+$R45*$S$44</f>
        <v>0</v>
      </c>
      <c r="W45" s="668" t="s">
        <v>238</v>
      </c>
      <c r="X45" s="669">
        <f>+$R45*$U$44</f>
        <v>0</v>
      </c>
    </row>
    <row r="46" spans="1:46" s="655" customFormat="1" ht="14.65" customHeight="1" x14ac:dyDescent="0.35">
      <c r="Q46" s="664" t="str">
        <f t="shared" ca="1" si="3"/>
        <v>FY 2029P</v>
      </c>
      <c r="R46" s="685">
        <f t="shared" si="3"/>
        <v>0</v>
      </c>
      <c r="S46" s="1405">
        <v>15</v>
      </c>
      <c r="T46" s="666" t="s">
        <v>238</v>
      </c>
      <c r="U46" s="1405">
        <v>15</v>
      </c>
      <c r="V46" s="667">
        <f>+$R46*$S$44</f>
        <v>0</v>
      </c>
      <c r="W46" s="668" t="s">
        <v>238</v>
      </c>
      <c r="X46" s="669">
        <f>+$R46*$U$44</f>
        <v>0</v>
      </c>
    </row>
    <row r="47" spans="1:46" s="655" customFormat="1" ht="14.65" customHeight="1" x14ac:dyDescent="0.35">
      <c r="Q47" s="694"/>
      <c r="R47" s="695"/>
      <c r="S47" s="696"/>
      <c r="T47" s="696"/>
      <c r="U47" s="696"/>
      <c r="V47" s="697"/>
      <c r="W47" s="698"/>
      <c r="X47" s="699"/>
    </row>
    <row r="48" spans="1:46" s="655" customFormat="1" ht="14.65" customHeight="1" x14ac:dyDescent="0.35">
      <c r="Q48" s="658" t="s">
        <v>516</v>
      </c>
      <c r="R48" s="685"/>
      <c r="V48" s="667"/>
      <c r="W48" s="682"/>
      <c r="X48" s="669"/>
    </row>
    <row r="49" spans="1:47" s="655" customFormat="1" ht="14.65" customHeight="1" x14ac:dyDescent="0.35">
      <c r="Q49" s="664" t="str">
        <f ca="1">"FY "&amp; 'Financial STD'!U11</f>
        <v>FY 2027S</v>
      </c>
      <c r="R49" s="665">
        <f>'Financial XaaS'!U25</f>
        <v>0</v>
      </c>
      <c r="S49" s="1405">
        <f>S24</f>
        <v>46</v>
      </c>
      <c r="T49" s="666" t="s">
        <v>238</v>
      </c>
      <c r="U49" s="1405">
        <f>U24</f>
        <v>46</v>
      </c>
      <c r="V49" s="667">
        <f>+$R49*$S$49</f>
        <v>0</v>
      </c>
      <c r="W49" s="668" t="s">
        <v>238</v>
      </c>
      <c r="X49" s="669">
        <f>+$R49*$U$49</f>
        <v>0</v>
      </c>
    </row>
    <row r="50" spans="1:47" s="655" customFormat="1" ht="14.65" customHeight="1" x14ac:dyDescent="0.35">
      <c r="Q50" s="664" t="str">
        <f ca="1">"FY "&amp; 'Financial STD'!V11</f>
        <v>FY 2028S</v>
      </c>
      <c r="R50" s="665">
        <f>'Financial XaaS'!V25</f>
        <v>0</v>
      </c>
      <c r="S50" s="1405">
        <v>15</v>
      </c>
      <c r="T50" s="666" t="s">
        <v>238</v>
      </c>
      <c r="U50" s="1405">
        <v>15</v>
      </c>
      <c r="V50" s="667">
        <f>+$R50*$S$49</f>
        <v>0</v>
      </c>
      <c r="W50" s="668" t="s">
        <v>238</v>
      </c>
      <c r="X50" s="669">
        <f>+$R50*$U$49</f>
        <v>0</v>
      </c>
    </row>
    <row r="51" spans="1:47" s="655" customFormat="1" ht="15" customHeight="1" x14ac:dyDescent="0.35">
      <c r="L51" s="692"/>
      <c r="Q51" s="664" t="str">
        <f ca="1">"FY "&amp; 'Financial STD'!W11</f>
        <v>FY 2029S</v>
      </c>
      <c r="R51" s="665">
        <f>'Financial XaaS'!W25</f>
        <v>0</v>
      </c>
      <c r="S51" s="1405">
        <v>15</v>
      </c>
      <c r="T51" s="666" t="s">
        <v>238</v>
      </c>
      <c r="U51" s="1405">
        <v>15</v>
      </c>
      <c r="V51" s="667">
        <f>+$R51*$S$49</f>
        <v>0</v>
      </c>
      <c r="W51" s="668" t="s">
        <v>238</v>
      </c>
      <c r="X51" s="669">
        <f>+$R51*$U$49</f>
        <v>0</v>
      </c>
    </row>
    <row r="52" spans="1:47" s="655" customFormat="1" ht="7.5" customHeight="1" x14ac:dyDescent="0.35">
      <c r="L52" s="692"/>
      <c r="Q52" s="691"/>
      <c r="X52" s="700"/>
    </row>
    <row r="53" spans="1:47" s="655" customFormat="1" ht="15" customHeight="1" x14ac:dyDescent="0.35">
      <c r="L53" s="692"/>
      <c r="Q53" s="701" t="s">
        <v>514</v>
      </c>
      <c r="R53" s="702"/>
      <c r="S53" s="703">
        <f>AVERAGE(S34:S36,S39:S41,S44:S46,S49:S51)</f>
        <v>23.1</v>
      </c>
      <c r="T53" s="703" t="s">
        <v>238</v>
      </c>
      <c r="U53" s="703">
        <f>AVERAGE(U34:U36,U39:U41,U44:U46,U49:U51)</f>
        <v>23.5</v>
      </c>
      <c r="V53" s="704">
        <f>AVERAGE(V34:V36,V39:V41,V44:V46,V49:V51)</f>
        <v>0</v>
      </c>
      <c r="W53" s="703" t="s">
        <v>238</v>
      </c>
      <c r="X53" s="705">
        <f>AVERAGE(X34:X36,X39:X41,X44:X46,X49:X51)</f>
        <v>0</v>
      </c>
    </row>
    <row r="54" spans="1:47" s="655" customFormat="1" ht="7.15" customHeight="1" x14ac:dyDescent="0.35">
      <c r="L54" s="692"/>
    </row>
    <row r="55" spans="1:47" x14ac:dyDescent="0.35">
      <c r="S55" s="655"/>
      <c r="AA55" s="1305"/>
      <c r="AB55" s="1305"/>
      <c r="AC55" s="1305"/>
    </row>
    <row r="56" spans="1:47" s="215" customFormat="1" ht="15.75" customHeight="1" x14ac:dyDescent="0.35">
      <c r="A56" s="650"/>
      <c r="B56" s="650" t="s">
        <v>518</v>
      </c>
      <c r="C56" s="650"/>
      <c r="D56" s="651"/>
      <c r="E56" s="650"/>
      <c r="F56" s="651"/>
      <c r="G56" s="651"/>
      <c r="H56" s="651"/>
      <c r="I56" s="651"/>
      <c r="J56" s="651"/>
      <c r="K56" s="651"/>
      <c r="L56" s="651"/>
      <c r="M56" s="651"/>
      <c r="N56" s="651"/>
      <c r="O56" s="651"/>
      <c r="P56" s="652"/>
      <c r="Q56" s="651"/>
      <c r="R56" s="651"/>
      <c r="S56" s="651"/>
      <c r="T56" s="651"/>
      <c r="U56" s="651"/>
      <c r="V56" s="651"/>
      <c r="W56" s="651"/>
      <c r="X56" s="651"/>
      <c r="Y56" s="650"/>
      <c r="Z56" s="650"/>
      <c r="AP56" s="651"/>
      <c r="AQ56" s="651"/>
      <c r="AR56" s="651"/>
      <c r="AS56" s="651"/>
      <c r="AT56" s="651"/>
      <c r="AU56" s="651"/>
    </row>
    <row r="58" spans="1:47" x14ac:dyDescent="0.35">
      <c r="B58" s="706" t="s">
        <v>519</v>
      </c>
      <c r="C58" s="707" t="s">
        <v>520</v>
      </c>
      <c r="D58" s="1401" t="s">
        <v>521</v>
      </c>
      <c r="E58" s="1401"/>
      <c r="F58" s="1401"/>
      <c r="G58" s="1401"/>
      <c r="AA58" s="1305"/>
      <c r="AB58" s="1305"/>
      <c r="AC58" s="1305"/>
    </row>
    <row r="59" spans="1:47" x14ac:dyDescent="0.35">
      <c r="B59" s="706" t="s">
        <v>522</v>
      </c>
      <c r="C59" s="707" t="s">
        <v>523</v>
      </c>
      <c r="D59" s="1401" t="s">
        <v>524</v>
      </c>
      <c r="E59" s="1401"/>
      <c r="F59" s="1401"/>
      <c r="G59" s="1401"/>
      <c r="AA59" s="1305"/>
      <c r="AB59" s="1305"/>
      <c r="AC59" s="1305"/>
    </row>
    <row r="60" spans="1:47" x14ac:dyDescent="0.35">
      <c r="B60" s="706" t="s">
        <v>525</v>
      </c>
      <c r="C60" s="707" t="s">
        <v>526</v>
      </c>
      <c r="D60" s="1402">
        <v>43830</v>
      </c>
      <c r="E60" s="1402"/>
      <c r="F60" s="1402"/>
      <c r="G60" s="1402"/>
      <c r="AA60" s="1305"/>
      <c r="AB60" s="1305"/>
      <c r="AC60" s="1305"/>
    </row>
    <row r="61" spans="1:47" ht="7.5" customHeight="1" x14ac:dyDescent="0.35">
      <c r="B61" s="706" t="s">
        <v>527</v>
      </c>
      <c r="AA61" s="1305"/>
      <c r="AB61" s="1305"/>
      <c r="AC61" s="1305"/>
    </row>
    <row r="62" spans="1:47" s="181" customFormat="1" x14ac:dyDescent="0.35">
      <c r="A62" s="708"/>
      <c r="B62" s="708">
        <v>43465</v>
      </c>
      <c r="C62" s="709" t="s">
        <v>106</v>
      </c>
      <c r="D62" s="443">
        <f>'Exit &amp; Liquidation Analysis'!D17</f>
        <v>0</v>
      </c>
      <c r="E62" s="443">
        <f>'Exit &amp; Liquidation Analysis'!E17</f>
        <v>0</v>
      </c>
      <c r="F62" s="443">
        <f>'Exit &amp; Liquidation Analysis'!F17</f>
        <v>0</v>
      </c>
      <c r="G62" s="443" t="e">
        <f>'Exit &amp; Liquidation Analysis'!G17</f>
        <v>#DIV/0!</v>
      </c>
      <c r="H62" s="443" t="e">
        <f>'Exit &amp; Liquidation Analysis'!H17</f>
        <v>#DIV/0!</v>
      </c>
      <c r="I62" s="443" t="e">
        <f>'Exit &amp; Liquidation Analysis'!I17</f>
        <v>#DIV/0!</v>
      </c>
      <c r="J62" s="443" t="e">
        <f>'Exit &amp; Liquidation Analysis'!J17</f>
        <v>#DIV/0!</v>
      </c>
      <c r="K62" s="443" t="e">
        <f>'Exit &amp; Liquidation Analysis'!K17</f>
        <v>#DIV/0!</v>
      </c>
      <c r="L62" s="443" t="e">
        <f>'Exit &amp; Liquidation Analysis'!L17</f>
        <v>#DIV/0!</v>
      </c>
      <c r="M62" s="180"/>
    </row>
    <row r="63" spans="1:47" s="181" customFormat="1" x14ac:dyDescent="0.35">
      <c r="A63" s="708"/>
      <c r="B63" s="708">
        <v>43830</v>
      </c>
      <c r="C63" s="710" t="str">
        <f>D58&amp; " - Proceeds:"</f>
        <v>Returns Analysis - Participating - Proceeds:</v>
      </c>
      <c r="D63" s="432" t="e">
        <f>IF($D$58='Exit &amp; Liquidation Analysis'!$C$16,'Exit &amp; Liquidation Analysis'!D$19,IF($D$58='Exit &amp; Liquidation Analysis'!$C$26,'Exit &amp; Liquidation Analysis'!D$29,IF($D$58='Exit &amp; Liquidation Analysis'!$C$53,'Exit &amp; Liquidation Analysis'!D$56,IF($D$58='Exit &amp; Liquidation Analysis'!$C$66,'Exit &amp; Liquidation Analysis'!D$69,""))))</f>
        <v>#DIV/0!</v>
      </c>
      <c r="E63" s="432" t="e">
        <f>IF($D$58='Exit &amp; Liquidation Analysis'!$C$16,'Exit &amp; Liquidation Analysis'!E$19,IF($D$58='Exit &amp; Liquidation Analysis'!$C$26,'Exit &amp; Liquidation Analysis'!E$29,IF($D$58='Exit &amp; Liquidation Analysis'!$C$53,'Exit &amp; Liquidation Analysis'!E$56,IF($D$58='Exit &amp; Liquidation Analysis'!$C$66,'Exit &amp; Liquidation Analysis'!E$69,""))))</f>
        <v>#DIV/0!</v>
      </c>
      <c r="F63" s="432" t="e">
        <f>IF($D$58='Exit &amp; Liquidation Analysis'!$C$16,'Exit &amp; Liquidation Analysis'!F$19,IF($D$58='Exit &amp; Liquidation Analysis'!$C$26,'Exit &amp; Liquidation Analysis'!F$29,IF($D$58='Exit &amp; Liquidation Analysis'!$C$53,'Exit &amp; Liquidation Analysis'!F$56,IF($D$58='Exit &amp; Liquidation Analysis'!$C$66,'Exit &amp; Liquidation Analysis'!F$69,""))))</f>
        <v>#DIV/0!</v>
      </c>
      <c r="G63" s="432" t="e">
        <f>IF($D$58='Exit &amp; Liquidation Analysis'!$C$16,'Exit &amp; Liquidation Analysis'!G$19,IF($D$58='Exit &amp; Liquidation Analysis'!$C$26,'Exit &amp; Liquidation Analysis'!G$29,IF($D$58='Exit &amp; Liquidation Analysis'!$C$53,'Exit &amp; Liquidation Analysis'!G$56,IF($D$58='Exit &amp; Liquidation Analysis'!$C$66,'Exit &amp; Liquidation Analysis'!G$69,""))))</f>
        <v>#DIV/0!</v>
      </c>
      <c r="H63" s="432" t="e">
        <f>IF($D$58='Exit &amp; Liquidation Analysis'!$C$16,'Exit &amp; Liquidation Analysis'!H$19,IF($D$58='Exit &amp; Liquidation Analysis'!$C$26,'Exit &amp; Liquidation Analysis'!H$29,IF($D$58='Exit &amp; Liquidation Analysis'!$C$53,'Exit &amp; Liquidation Analysis'!H$56,IF($D$58='Exit &amp; Liquidation Analysis'!$C$66,'Exit &amp; Liquidation Analysis'!H$69,""))))</f>
        <v>#DIV/0!</v>
      </c>
      <c r="I63" s="432" t="e">
        <f>IF($D$58='Exit &amp; Liquidation Analysis'!$C$16,'Exit &amp; Liquidation Analysis'!I$19,IF($D$58='Exit &amp; Liquidation Analysis'!$C$26,'Exit &amp; Liquidation Analysis'!I$29,IF($D$58='Exit &amp; Liquidation Analysis'!$C$53,'Exit &amp; Liquidation Analysis'!I$56,IF($D$58='Exit &amp; Liquidation Analysis'!$C$66,'Exit &amp; Liquidation Analysis'!I$69,""))))</f>
        <v>#DIV/0!</v>
      </c>
      <c r="J63" s="432" t="e">
        <f>IF($D$58='Exit &amp; Liquidation Analysis'!$C$16,'Exit &amp; Liquidation Analysis'!J$19,IF($D$58='Exit &amp; Liquidation Analysis'!$C$26,'Exit &amp; Liquidation Analysis'!J$29,IF($D$58='Exit &amp; Liquidation Analysis'!$C$53,'Exit &amp; Liquidation Analysis'!J$56,IF($D$58='Exit &amp; Liquidation Analysis'!$C$66,'Exit &amp; Liquidation Analysis'!J$69,""))))</f>
        <v>#DIV/0!</v>
      </c>
      <c r="K63" s="432" t="e">
        <f>IF($D$58='Exit &amp; Liquidation Analysis'!$C$16,'Exit &amp; Liquidation Analysis'!K$19,IF($D$58='Exit &amp; Liquidation Analysis'!$C$26,'Exit &amp; Liquidation Analysis'!K$29,IF($D$58='Exit &amp; Liquidation Analysis'!$C$53,'Exit &amp; Liquidation Analysis'!K$56,IF($D$58='Exit &amp; Liquidation Analysis'!$C$66,'Exit &amp; Liquidation Analysis'!K$69,""))))</f>
        <v>#DIV/0!</v>
      </c>
      <c r="L63" s="432" t="e">
        <f>IF($D$58='Exit &amp; Liquidation Analysis'!$C$16,'Exit &amp; Liquidation Analysis'!L$19,IF($D$58='Exit &amp; Liquidation Analysis'!$C$26,'Exit &amp; Liquidation Analysis'!L$29,IF($D$58='Exit &amp; Liquidation Analysis'!$C$53,'Exit &amp; Liquidation Analysis'!L$56,IF($D$58='Exit &amp; Liquidation Analysis'!$C$66,'Exit &amp; Liquidation Analysis'!L$69,""))))</f>
        <v>#DIV/0!</v>
      </c>
      <c r="M63" s="242"/>
    </row>
    <row r="64" spans="1:47" s="181" customFormat="1" x14ac:dyDescent="0.35">
      <c r="A64" s="708"/>
      <c r="B64" s="708">
        <v>44196</v>
      </c>
      <c r="C64" s="710" t="str">
        <f>D58&amp;" - IRR"&amp;YEAR(D60)</f>
        <v>Returns Analysis - Participating - IRR2019</v>
      </c>
      <c r="D64" s="769" t="b">
        <f ca="1">IF($D$60='Exit &amp; Liquidation Analysis'!$C$21,IF($D$58='Exit &amp; Liquidation Analysis'!$C$16,'Exit &amp; Liquidation Analysis'!D$21,IF($D$58='Exit &amp; Liquidation Analysis'!$C$26,'Exit &amp; Liquidation Analysis'!D$33,IF($D$58='Exit &amp; Liquidation Analysis'!$C$53,'Exit &amp; Liquidation Analysis'!D$60,IF($D$58='Exit &amp; Liquidation Analysis'!$C$66,'Exit &amp; Liquidation Analysis'!D$73,"")))),IF($D$60='Exit &amp; Liquidation Analysis'!$C$22,IF($D$58='Exit &amp; Liquidation Analysis'!$C$16,'Exit &amp; Liquidation Analysis'!D$22,IF($D$58='Exit &amp; Liquidation Analysis'!$C$26,'Exit &amp; Liquidation Analysis'!D$34,IF($D$58='Exit &amp; Liquidation Analysis'!$C$53,'Exit &amp; Liquidation Analysis'!D$61,IF($D$58='Exit &amp; Liquidation Analysis'!$C$66,'Exit &amp; Liquidation Analysis'!D$74,"")))),IF($D$60='Exit &amp; Liquidation Analysis'!$C$23,IF($D$58='Exit &amp; Liquidation Analysis'!$C$16,'Exit &amp; Liquidation Analysis'!D$23,IF($D$58='Exit &amp; Liquidation Analysis'!$C$26,'Exit &amp; Liquidation Analysis'!D$35,IF($D$58='Exit &amp; Liquidation Analysis'!$C$53,'Exit &amp; Liquidation Analysis'!D$62,IF($D$58='Exit &amp; Liquidation Analysis'!$C$66,'Exit &amp; Liquidation Analysis'!D$75,"")))))))</f>
        <v>0</v>
      </c>
      <c r="E64" s="769" t="b">
        <f ca="1">IF($D$60='Exit &amp; Liquidation Analysis'!$C$21,IF($D$58='Exit &amp; Liquidation Analysis'!$C$16,'Exit &amp; Liquidation Analysis'!E$21,IF($D$58='Exit &amp; Liquidation Analysis'!$C$26,'Exit &amp; Liquidation Analysis'!E$33,IF($D$58='Exit &amp; Liquidation Analysis'!$C$53,'Exit &amp; Liquidation Analysis'!E$60,IF($D$58='Exit &amp; Liquidation Analysis'!$C$66,'Exit &amp; Liquidation Analysis'!E$73,"")))),IF($D$60='Exit &amp; Liquidation Analysis'!$C$22,IF($D$58='Exit &amp; Liquidation Analysis'!$C$16,'Exit &amp; Liquidation Analysis'!E$22,IF($D$58='Exit &amp; Liquidation Analysis'!$C$26,'Exit &amp; Liquidation Analysis'!E$34,IF($D$58='Exit &amp; Liquidation Analysis'!$C$53,'Exit &amp; Liquidation Analysis'!E$61,IF($D$58='Exit &amp; Liquidation Analysis'!$C$66,'Exit &amp; Liquidation Analysis'!E$74,"")))),IF($D$60='Exit &amp; Liquidation Analysis'!$C$23,IF($D$58='Exit &amp; Liquidation Analysis'!$C$16,'Exit &amp; Liquidation Analysis'!E$23,IF($D$58='Exit &amp; Liquidation Analysis'!$C$26,'Exit &amp; Liquidation Analysis'!E$35,IF($D$58='Exit &amp; Liquidation Analysis'!$C$53,'Exit &amp; Liquidation Analysis'!E$62,IF($D$58='Exit &amp; Liquidation Analysis'!$C$66,'Exit &amp; Liquidation Analysis'!E$75,"")))))))</f>
        <v>0</v>
      </c>
      <c r="F64" s="769" t="b">
        <f ca="1">IF($D$60='Exit &amp; Liquidation Analysis'!$C$21,IF($D$58='Exit &amp; Liquidation Analysis'!$C$16,'Exit &amp; Liquidation Analysis'!F$21,IF($D$58='Exit &amp; Liquidation Analysis'!$C$26,'Exit &amp; Liquidation Analysis'!F$33,IF($D$58='Exit &amp; Liquidation Analysis'!$C$53,'Exit &amp; Liquidation Analysis'!F$60,IF($D$58='Exit &amp; Liquidation Analysis'!$C$66,'Exit &amp; Liquidation Analysis'!F$73,"")))),IF($D$60='Exit &amp; Liquidation Analysis'!$C$22,IF($D$58='Exit &amp; Liquidation Analysis'!$C$16,'Exit &amp; Liquidation Analysis'!F$22,IF($D$58='Exit &amp; Liquidation Analysis'!$C$26,'Exit &amp; Liquidation Analysis'!F$34,IF($D$58='Exit &amp; Liquidation Analysis'!$C$53,'Exit &amp; Liquidation Analysis'!F$61,IF($D$58='Exit &amp; Liquidation Analysis'!$C$66,'Exit &amp; Liquidation Analysis'!F$74,"")))),IF($D$60='Exit &amp; Liquidation Analysis'!$C$23,IF($D$58='Exit &amp; Liquidation Analysis'!$C$16,'Exit &amp; Liquidation Analysis'!F$23,IF($D$58='Exit &amp; Liquidation Analysis'!$C$26,'Exit &amp; Liquidation Analysis'!F$35,IF($D$58='Exit &amp; Liquidation Analysis'!$C$53,'Exit &amp; Liquidation Analysis'!F$62,IF($D$58='Exit &amp; Liquidation Analysis'!$C$66,'Exit &amp; Liquidation Analysis'!F$75,"")))))))</f>
        <v>0</v>
      </c>
      <c r="G64" s="769" t="b">
        <f ca="1">IF($D$60='Exit &amp; Liquidation Analysis'!$C$21,IF($D$58='Exit &amp; Liquidation Analysis'!$C$16,'Exit &amp; Liquidation Analysis'!G$21,IF($D$58='Exit &amp; Liquidation Analysis'!$C$26,'Exit &amp; Liquidation Analysis'!G$33,IF($D$58='Exit &amp; Liquidation Analysis'!$C$53,'Exit &amp; Liquidation Analysis'!G$60,IF($D$58='Exit &amp; Liquidation Analysis'!$C$66,'Exit &amp; Liquidation Analysis'!G$73,"")))),IF($D$60='Exit &amp; Liquidation Analysis'!$C$22,IF($D$58='Exit &amp; Liquidation Analysis'!$C$16,'Exit &amp; Liquidation Analysis'!G$22,IF($D$58='Exit &amp; Liquidation Analysis'!$C$26,'Exit &amp; Liquidation Analysis'!G$34,IF($D$58='Exit &amp; Liquidation Analysis'!$C$53,'Exit &amp; Liquidation Analysis'!G$61,IF($D$58='Exit &amp; Liquidation Analysis'!$C$66,'Exit &amp; Liquidation Analysis'!G$74,"")))),IF($D$60='Exit &amp; Liquidation Analysis'!$C$23,IF($D$58='Exit &amp; Liquidation Analysis'!$C$16,'Exit &amp; Liquidation Analysis'!G$23,IF($D$58='Exit &amp; Liquidation Analysis'!$C$26,'Exit &amp; Liquidation Analysis'!G$35,IF($D$58='Exit &amp; Liquidation Analysis'!$C$53,'Exit &amp; Liquidation Analysis'!G$62,IF($D$58='Exit &amp; Liquidation Analysis'!$C$66,'Exit &amp; Liquidation Analysis'!G$75,"")))))))</f>
        <v>0</v>
      </c>
      <c r="H64" s="769" t="b">
        <f ca="1">IF($D$60='Exit &amp; Liquidation Analysis'!$C$21,IF($D$58='Exit &amp; Liquidation Analysis'!$C$16,'Exit &amp; Liquidation Analysis'!H$21,IF($D$58='Exit &amp; Liquidation Analysis'!$C$26,'Exit &amp; Liquidation Analysis'!H$33,IF($D$58='Exit &amp; Liquidation Analysis'!$C$53,'Exit &amp; Liquidation Analysis'!H$60,IF($D$58='Exit &amp; Liquidation Analysis'!$C$66,'Exit &amp; Liquidation Analysis'!H$73,"")))),IF($D$60='Exit &amp; Liquidation Analysis'!$C$22,IF($D$58='Exit &amp; Liquidation Analysis'!$C$16,'Exit &amp; Liquidation Analysis'!H$22,IF($D$58='Exit &amp; Liquidation Analysis'!$C$26,'Exit &amp; Liquidation Analysis'!H$34,IF($D$58='Exit &amp; Liquidation Analysis'!$C$53,'Exit &amp; Liquidation Analysis'!H$61,IF($D$58='Exit &amp; Liquidation Analysis'!$C$66,'Exit &amp; Liquidation Analysis'!H$74,"")))),IF($D$60='Exit &amp; Liquidation Analysis'!$C$23,IF($D$58='Exit &amp; Liquidation Analysis'!$C$16,'Exit &amp; Liquidation Analysis'!H$23,IF($D$58='Exit &amp; Liquidation Analysis'!$C$26,'Exit &amp; Liquidation Analysis'!H$35,IF($D$58='Exit &amp; Liquidation Analysis'!$C$53,'Exit &amp; Liquidation Analysis'!H$62,IF($D$58='Exit &amp; Liquidation Analysis'!$C$66,'Exit &amp; Liquidation Analysis'!H$75,"")))))))</f>
        <v>0</v>
      </c>
      <c r="I64" s="769" t="b">
        <f ca="1">IF($D$60='Exit &amp; Liquidation Analysis'!$C$21,IF($D$58='Exit &amp; Liquidation Analysis'!$C$16,'Exit &amp; Liquidation Analysis'!I$21,IF($D$58='Exit &amp; Liquidation Analysis'!$C$26,'Exit &amp; Liquidation Analysis'!I$33,IF($D$58='Exit &amp; Liquidation Analysis'!$C$53,'Exit &amp; Liquidation Analysis'!I$60,IF($D$58='Exit &amp; Liquidation Analysis'!$C$66,'Exit &amp; Liquidation Analysis'!I$73,"")))),IF($D$60='Exit &amp; Liquidation Analysis'!$C$22,IF($D$58='Exit &amp; Liquidation Analysis'!$C$16,'Exit &amp; Liquidation Analysis'!I$22,IF($D$58='Exit &amp; Liquidation Analysis'!$C$26,'Exit &amp; Liquidation Analysis'!I$34,IF($D$58='Exit &amp; Liquidation Analysis'!$C$53,'Exit &amp; Liquidation Analysis'!I$61,IF($D$58='Exit &amp; Liquidation Analysis'!$C$66,'Exit &amp; Liquidation Analysis'!I$74,"")))),IF($D$60='Exit &amp; Liquidation Analysis'!$C$23,IF($D$58='Exit &amp; Liquidation Analysis'!$C$16,'Exit &amp; Liquidation Analysis'!I$23,IF($D$58='Exit &amp; Liquidation Analysis'!$C$26,'Exit &amp; Liquidation Analysis'!I$35,IF($D$58='Exit &amp; Liquidation Analysis'!$C$53,'Exit &amp; Liquidation Analysis'!I$62,IF($D$58='Exit &amp; Liquidation Analysis'!$C$66,'Exit &amp; Liquidation Analysis'!I$75,"")))))))</f>
        <v>0</v>
      </c>
      <c r="J64" s="769" t="b">
        <f ca="1">IF($D$60='Exit &amp; Liquidation Analysis'!$C$21,IF($D$58='Exit &amp; Liquidation Analysis'!$C$16,'Exit &amp; Liquidation Analysis'!J$21,IF($D$58='Exit &amp; Liquidation Analysis'!$C$26,'Exit &amp; Liquidation Analysis'!J$33,IF($D$58='Exit &amp; Liquidation Analysis'!$C$53,'Exit &amp; Liquidation Analysis'!J$60,IF($D$58='Exit &amp; Liquidation Analysis'!$C$66,'Exit &amp; Liquidation Analysis'!J$73,"")))),IF($D$60='Exit &amp; Liquidation Analysis'!$C$22,IF($D$58='Exit &amp; Liquidation Analysis'!$C$16,'Exit &amp; Liquidation Analysis'!J$22,IF($D$58='Exit &amp; Liquidation Analysis'!$C$26,'Exit &amp; Liquidation Analysis'!J$34,IF($D$58='Exit &amp; Liquidation Analysis'!$C$53,'Exit &amp; Liquidation Analysis'!J$61,IF($D$58='Exit &amp; Liquidation Analysis'!$C$66,'Exit &amp; Liquidation Analysis'!J$74,"")))),IF($D$60='Exit &amp; Liquidation Analysis'!$C$23,IF($D$58='Exit &amp; Liquidation Analysis'!$C$16,'Exit &amp; Liquidation Analysis'!J$23,IF($D$58='Exit &amp; Liquidation Analysis'!$C$26,'Exit &amp; Liquidation Analysis'!J$35,IF($D$58='Exit &amp; Liquidation Analysis'!$C$53,'Exit &amp; Liquidation Analysis'!J$62,IF($D$58='Exit &amp; Liquidation Analysis'!$C$66,'Exit &amp; Liquidation Analysis'!J$75,"")))))))</f>
        <v>0</v>
      </c>
      <c r="K64" s="769" t="b">
        <f ca="1">IF($D$60='Exit &amp; Liquidation Analysis'!$C$21,IF($D$58='Exit &amp; Liquidation Analysis'!$C$16,'Exit &amp; Liquidation Analysis'!K$21,IF($D$58='Exit &amp; Liquidation Analysis'!$C$26,'Exit &amp; Liquidation Analysis'!K$33,IF($D$58='Exit &amp; Liquidation Analysis'!$C$53,'Exit &amp; Liquidation Analysis'!K$60,IF($D$58='Exit &amp; Liquidation Analysis'!$C$66,'Exit &amp; Liquidation Analysis'!K$73,"")))),IF($D$60='Exit &amp; Liquidation Analysis'!$C$22,IF($D$58='Exit &amp; Liquidation Analysis'!$C$16,'Exit &amp; Liquidation Analysis'!K$22,IF($D$58='Exit &amp; Liquidation Analysis'!$C$26,'Exit &amp; Liquidation Analysis'!K$34,IF($D$58='Exit &amp; Liquidation Analysis'!$C$53,'Exit &amp; Liquidation Analysis'!K$61,IF($D$58='Exit &amp; Liquidation Analysis'!$C$66,'Exit &amp; Liquidation Analysis'!K$74,"")))),IF($D$60='Exit &amp; Liquidation Analysis'!$C$23,IF($D$58='Exit &amp; Liquidation Analysis'!$C$16,'Exit &amp; Liquidation Analysis'!K$23,IF($D$58='Exit &amp; Liquidation Analysis'!$C$26,'Exit &amp; Liquidation Analysis'!K$35,IF($D$58='Exit &amp; Liquidation Analysis'!$C$53,'Exit &amp; Liquidation Analysis'!K$62,IF($D$58='Exit &amp; Liquidation Analysis'!$C$66,'Exit &amp; Liquidation Analysis'!K$75,"")))))))</f>
        <v>0</v>
      </c>
      <c r="L64" s="769" t="b">
        <f ca="1">IF($D$60='Exit &amp; Liquidation Analysis'!$C$21,IF($D$58='Exit &amp; Liquidation Analysis'!$C$16,'Exit &amp; Liquidation Analysis'!L$21,IF($D$58='Exit &amp; Liquidation Analysis'!$C$26,'Exit &amp; Liquidation Analysis'!L$33,IF($D$58='Exit &amp; Liquidation Analysis'!$C$53,'Exit &amp; Liquidation Analysis'!L$60,IF($D$58='Exit &amp; Liquidation Analysis'!$C$66,'Exit &amp; Liquidation Analysis'!L$73,"")))),IF($D$60='Exit &amp; Liquidation Analysis'!$C$22,IF($D$58='Exit &amp; Liquidation Analysis'!$C$16,'Exit &amp; Liquidation Analysis'!L$22,IF($D$58='Exit &amp; Liquidation Analysis'!$C$26,'Exit &amp; Liquidation Analysis'!L$34,IF($D$58='Exit &amp; Liquidation Analysis'!$C$53,'Exit &amp; Liquidation Analysis'!L$61,IF($D$58='Exit &amp; Liquidation Analysis'!$C$66,'Exit &amp; Liquidation Analysis'!L$74,"")))),IF($D$60='Exit &amp; Liquidation Analysis'!$C$23,IF($D$58='Exit &amp; Liquidation Analysis'!$C$16,'Exit &amp; Liquidation Analysis'!L$23,IF($D$58='Exit &amp; Liquidation Analysis'!$C$26,'Exit &amp; Liquidation Analysis'!L$35,IF($D$58='Exit &amp; Liquidation Analysis'!$C$53,'Exit &amp; Liquidation Analysis'!L$62,IF($D$58='Exit &amp; Liquidation Analysis'!$C$66,'Exit &amp; Liquidation Analysis'!L$75,"")))))))</f>
        <v>0</v>
      </c>
      <c r="M64" s="180"/>
    </row>
    <row r="65" spans="1:29" s="181" customFormat="1" x14ac:dyDescent="0.35">
      <c r="A65" s="708"/>
      <c r="B65" s="708"/>
      <c r="C65" s="710" t="str">
        <f>D59&amp; " - Proceeds:"</f>
        <v>NO PLAY - Returns Analysis - Non Participating - Proceeds:</v>
      </c>
      <c r="D65" s="432" t="e">
        <f>IF($D$59='Exit &amp; Liquidation Analysis'!$C$16,'Exit &amp; Liquidation Analysis'!D$19,IF($D$59='Exit &amp; Liquidation Analysis'!$C$26,'Exit &amp; Liquidation Analysis'!D$29,IF($D$59='Exit &amp; Liquidation Analysis'!$C$53,'Exit &amp; Liquidation Analysis'!D$56,IF($D$59='Exit &amp; Liquidation Analysis'!$C$66,'Exit &amp; Liquidation Analysis'!D$69,""))))</f>
        <v>#REF!</v>
      </c>
      <c r="E65" s="432" t="e">
        <f>IF($D$59='Exit &amp; Liquidation Analysis'!$C$16,'Exit &amp; Liquidation Analysis'!E$19,IF($D$59='Exit &amp; Liquidation Analysis'!$C$26,'Exit &amp; Liquidation Analysis'!E$29,IF($D$59='Exit &amp; Liquidation Analysis'!$C$53,'Exit &amp; Liquidation Analysis'!E$56,IF($D$59='Exit &amp; Liquidation Analysis'!$C$66,'Exit &amp; Liquidation Analysis'!E$69,""))))</f>
        <v>#REF!</v>
      </c>
      <c r="F65" s="432" t="e">
        <f>IF($D$59='Exit &amp; Liquidation Analysis'!$C$16,'Exit &amp; Liquidation Analysis'!F$19,IF($D$59='Exit &amp; Liquidation Analysis'!$C$26,'Exit &amp; Liquidation Analysis'!F$29,IF($D$59='Exit &amp; Liquidation Analysis'!$C$53,'Exit &amp; Liquidation Analysis'!F$56,IF($D$59='Exit &amp; Liquidation Analysis'!$C$66,'Exit &amp; Liquidation Analysis'!F$69,""))))</f>
        <v>#REF!</v>
      </c>
      <c r="G65" s="432" t="e">
        <f>IF($D$59='Exit &amp; Liquidation Analysis'!$C$16,'Exit &amp; Liquidation Analysis'!G$19,IF($D$59='Exit &amp; Liquidation Analysis'!$C$26,'Exit &amp; Liquidation Analysis'!G$29,IF($D$59='Exit &amp; Liquidation Analysis'!$C$53,'Exit &amp; Liquidation Analysis'!G$56,IF($D$59='Exit &amp; Liquidation Analysis'!$C$66,'Exit &amp; Liquidation Analysis'!G$69,""))))</f>
        <v>#DIV/0!</v>
      </c>
      <c r="H65" s="432" t="e">
        <f>IF($D$59='Exit &amp; Liquidation Analysis'!$C$16,'Exit &amp; Liquidation Analysis'!H$19,IF($D$59='Exit &amp; Liquidation Analysis'!$C$26,'Exit &amp; Liquidation Analysis'!H$29,IF($D$59='Exit &amp; Liquidation Analysis'!$C$53,'Exit &amp; Liquidation Analysis'!H$56,IF($D$59='Exit &amp; Liquidation Analysis'!$C$66,'Exit &amp; Liquidation Analysis'!H$69,""))))</f>
        <v>#DIV/0!</v>
      </c>
      <c r="I65" s="432" t="e">
        <f>IF($D$59='Exit &amp; Liquidation Analysis'!$C$16,'Exit &amp; Liquidation Analysis'!I$19,IF($D$59='Exit &amp; Liquidation Analysis'!$C$26,'Exit &amp; Liquidation Analysis'!I$29,IF($D$59='Exit &amp; Liquidation Analysis'!$C$53,'Exit &amp; Liquidation Analysis'!I$56,IF($D$59='Exit &amp; Liquidation Analysis'!$C$66,'Exit &amp; Liquidation Analysis'!I$69,""))))</f>
        <v>#DIV/0!</v>
      </c>
      <c r="J65" s="432" t="e">
        <f>IF($D$59='Exit &amp; Liquidation Analysis'!$C$16,'Exit &amp; Liquidation Analysis'!J$19,IF($D$59='Exit &amp; Liquidation Analysis'!$C$26,'Exit &amp; Liquidation Analysis'!J$29,IF($D$59='Exit &amp; Liquidation Analysis'!$C$53,'Exit &amp; Liquidation Analysis'!J$56,IF($D$59='Exit &amp; Liquidation Analysis'!$C$66,'Exit &amp; Liquidation Analysis'!J$69,""))))</f>
        <v>#DIV/0!</v>
      </c>
      <c r="K65" s="432" t="e">
        <f>IF($D$59='Exit &amp; Liquidation Analysis'!$C$16,'Exit &amp; Liquidation Analysis'!K$19,IF($D$59='Exit &amp; Liquidation Analysis'!$C$26,'Exit &amp; Liquidation Analysis'!K$29,IF($D$59='Exit &amp; Liquidation Analysis'!$C$53,'Exit &amp; Liquidation Analysis'!K$56,IF($D$59='Exit &amp; Liquidation Analysis'!$C$66,'Exit &amp; Liquidation Analysis'!K$69,""))))</f>
        <v>#DIV/0!</v>
      </c>
      <c r="L65" s="432" t="e">
        <f>IF($D$59='Exit &amp; Liquidation Analysis'!$C$16,'Exit &amp; Liquidation Analysis'!L$19,IF($D$59='Exit &amp; Liquidation Analysis'!$C$26,'Exit &amp; Liquidation Analysis'!L$29,IF($D$59='Exit &amp; Liquidation Analysis'!$C$53,'Exit &amp; Liquidation Analysis'!L$56,IF($D$59='Exit &amp; Liquidation Analysis'!$C$66,'Exit &amp; Liquidation Analysis'!L$69,""))))</f>
        <v>#DIV/0!</v>
      </c>
      <c r="M65" s="180"/>
    </row>
    <row r="66" spans="1:29" s="181" customFormat="1" x14ac:dyDescent="0.35">
      <c r="A66" s="180"/>
      <c r="B66" s="180"/>
      <c r="C66" s="710" t="str">
        <f>D59&amp;" - IRR"&amp;YEAR(D60)</f>
        <v>NO PLAY - Returns Analysis - Non Participating - IRR2019</v>
      </c>
      <c r="D66" s="769" t="b">
        <f ca="1">IF($D$60='Exit &amp; Liquidation Analysis'!$C$21,IF($D$59='Exit &amp; Liquidation Analysis'!$C$16,'Exit &amp; Liquidation Analysis'!D$21,IF($D$59='Exit &amp; Liquidation Analysis'!$C$26,'Exit &amp; Liquidation Analysis'!D$33,IF($D$59='Exit &amp; Liquidation Analysis'!$C$53,'Exit &amp; Liquidation Analysis'!D$60,IF($D$59='Exit &amp; Liquidation Analysis'!$C$66,'Exit &amp; Liquidation Analysis'!D$73,"")))),IF($D$60='Exit &amp; Liquidation Analysis'!$C$22,IF($D$59='Exit &amp; Liquidation Analysis'!$C$16,'Exit &amp; Liquidation Analysis'!D$22,IF($D$59='Exit &amp; Liquidation Analysis'!$C$26,'Exit &amp; Liquidation Analysis'!D$34,IF($D$59='Exit &amp; Liquidation Analysis'!$C$53,'Exit &amp; Liquidation Analysis'!D$61,IF($D$59='Exit &amp; Liquidation Analysis'!$C$66,'Exit &amp; Liquidation Analysis'!D$74,"")))),IF($D$60='Exit &amp; Liquidation Analysis'!$C$23,IF($D$59='Exit &amp; Liquidation Analysis'!$C$16,'Exit &amp; Liquidation Analysis'!D$23,IF($D$59='Exit &amp; Liquidation Analysis'!$C$26,'Exit &amp; Liquidation Analysis'!D$35,IF($D$59='Exit &amp; Liquidation Analysis'!$C$53,'Exit &amp; Liquidation Analysis'!D$62,IF($D$59='Exit &amp; Liquidation Analysis'!$C$66,'Exit &amp; Liquidation Analysis'!D$75,"")))))))</f>
        <v>0</v>
      </c>
      <c r="E66" s="769" t="b">
        <f ca="1">IF($D$60='Exit &amp; Liquidation Analysis'!$C$21,IF($D$59='Exit &amp; Liquidation Analysis'!$C$16,'Exit &amp; Liquidation Analysis'!E$21,IF($D$59='Exit &amp; Liquidation Analysis'!$C$26,'Exit &amp; Liquidation Analysis'!E$33,IF($D$59='Exit &amp; Liquidation Analysis'!$C$53,'Exit &amp; Liquidation Analysis'!E$60,IF($D$59='Exit &amp; Liquidation Analysis'!$C$66,'Exit &amp; Liquidation Analysis'!E$73,"")))),IF($D$60='Exit &amp; Liquidation Analysis'!$C$22,IF($D$59='Exit &amp; Liquidation Analysis'!$C$16,'Exit &amp; Liquidation Analysis'!E$22,IF($D$59='Exit &amp; Liquidation Analysis'!$C$26,'Exit &amp; Liquidation Analysis'!E$34,IF($D$59='Exit &amp; Liquidation Analysis'!$C$53,'Exit &amp; Liquidation Analysis'!E$61,IF($D$59='Exit &amp; Liquidation Analysis'!$C$66,'Exit &amp; Liquidation Analysis'!E$74,"")))),IF($D$60='Exit &amp; Liquidation Analysis'!$C$23,IF($D$59='Exit &amp; Liquidation Analysis'!$C$16,'Exit &amp; Liquidation Analysis'!E$23,IF($D$59='Exit &amp; Liquidation Analysis'!$C$26,'Exit &amp; Liquidation Analysis'!E$35,IF($D$59='Exit &amp; Liquidation Analysis'!$C$53,'Exit &amp; Liquidation Analysis'!E$62,IF($D$59='Exit &amp; Liquidation Analysis'!$C$66,'Exit &amp; Liquidation Analysis'!E$75,"")))))))</f>
        <v>0</v>
      </c>
      <c r="F66" s="769" t="b">
        <f ca="1">IF($D$60='Exit &amp; Liquidation Analysis'!$C$21,IF($D$59='Exit &amp; Liquidation Analysis'!$C$16,'Exit &amp; Liquidation Analysis'!F$21,IF($D$59='Exit &amp; Liquidation Analysis'!$C$26,'Exit &amp; Liquidation Analysis'!F$33,IF($D$59='Exit &amp; Liquidation Analysis'!$C$53,'Exit &amp; Liquidation Analysis'!F$60,IF($D$59='Exit &amp; Liquidation Analysis'!$C$66,'Exit &amp; Liquidation Analysis'!F$73,"")))),IF($D$60='Exit &amp; Liquidation Analysis'!$C$22,IF($D$59='Exit &amp; Liquidation Analysis'!$C$16,'Exit &amp; Liquidation Analysis'!F$22,IF($D$59='Exit &amp; Liquidation Analysis'!$C$26,'Exit &amp; Liquidation Analysis'!F$34,IF($D$59='Exit &amp; Liquidation Analysis'!$C$53,'Exit &amp; Liquidation Analysis'!F$61,IF($D$59='Exit &amp; Liquidation Analysis'!$C$66,'Exit &amp; Liquidation Analysis'!F$74,"")))),IF($D$60='Exit &amp; Liquidation Analysis'!$C$23,IF($D$59='Exit &amp; Liquidation Analysis'!$C$16,'Exit &amp; Liquidation Analysis'!F$23,IF($D$59='Exit &amp; Liquidation Analysis'!$C$26,'Exit &amp; Liquidation Analysis'!F$35,IF($D$59='Exit &amp; Liquidation Analysis'!$C$53,'Exit &amp; Liquidation Analysis'!F$62,IF($D$59='Exit &amp; Liquidation Analysis'!$C$66,'Exit &amp; Liquidation Analysis'!F$75,"")))))))</f>
        <v>0</v>
      </c>
      <c r="G66" s="769" t="b">
        <f ca="1">IF($D$60='Exit &amp; Liquidation Analysis'!$C$21,IF($D$59='Exit &amp; Liquidation Analysis'!$C$16,'Exit &amp; Liquidation Analysis'!G$21,IF($D$59='Exit &amp; Liquidation Analysis'!$C$26,'Exit &amp; Liquidation Analysis'!G$33,IF($D$59='Exit &amp; Liquidation Analysis'!$C$53,'Exit &amp; Liquidation Analysis'!G$60,IF($D$59='Exit &amp; Liquidation Analysis'!$C$66,'Exit &amp; Liquidation Analysis'!G$73,"")))),IF($D$60='Exit &amp; Liquidation Analysis'!$C$22,IF($D$59='Exit &amp; Liquidation Analysis'!$C$16,'Exit &amp; Liquidation Analysis'!G$22,IF($D$59='Exit &amp; Liquidation Analysis'!$C$26,'Exit &amp; Liquidation Analysis'!G$34,IF($D$59='Exit &amp; Liquidation Analysis'!$C$53,'Exit &amp; Liquidation Analysis'!G$61,IF($D$59='Exit &amp; Liquidation Analysis'!$C$66,'Exit &amp; Liquidation Analysis'!G$74,"")))),IF($D$60='Exit &amp; Liquidation Analysis'!$C$23,IF($D$59='Exit &amp; Liquidation Analysis'!$C$16,'Exit &amp; Liquidation Analysis'!G$23,IF($D$59='Exit &amp; Liquidation Analysis'!$C$26,'Exit &amp; Liquidation Analysis'!G$35,IF($D$59='Exit &amp; Liquidation Analysis'!$C$53,'Exit &amp; Liquidation Analysis'!G$62,IF($D$59='Exit &amp; Liquidation Analysis'!$C$66,'Exit &amp; Liquidation Analysis'!G$75,"")))))))</f>
        <v>0</v>
      </c>
      <c r="H66" s="769" t="b">
        <f ca="1">IF($D$60='Exit &amp; Liquidation Analysis'!$C$21,IF($D$59='Exit &amp; Liquidation Analysis'!$C$16,'Exit &amp; Liquidation Analysis'!H$21,IF($D$59='Exit &amp; Liquidation Analysis'!$C$26,'Exit &amp; Liquidation Analysis'!H$33,IF($D$59='Exit &amp; Liquidation Analysis'!$C$53,'Exit &amp; Liquidation Analysis'!H$60,IF($D$59='Exit &amp; Liquidation Analysis'!$C$66,'Exit &amp; Liquidation Analysis'!H$73,"")))),IF($D$60='Exit &amp; Liquidation Analysis'!$C$22,IF($D$59='Exit &amp; Liquidation Analysis'!$C$16,'Exit &amp; Liquidation Analysis'!H$22,IF($D$59='Exit &amp; Liquidation Analysis'!$C$26,'Exit &amp; Liquidation Analysis'!H$34,IF($D$59='Exit &amp; Liquidation Analysis'!$C$53,'Exit &amp; Liquidation Analysis'!H$61,IF($D$59='Exit &amp; Liquidation Analysis'!$C$66,'Exit &amp; Liquidation Analysis'!H$74,"")))),IF($D$60='Exit &amp; Liquidation Analysis'!$C$23,IF($D$59='Exit &amp; Liquidation Analysis'!$C$16,'Exit &amp; Liquidation Analysis'!H$23,IF($D$59='Exit &amp; Liquidation Analysis'!$C$26,'Exit &amp; Liquidation Analysis'!H$35,IF($D$59='Exit &amp; Liquidation Analysis'!$C$53,'Exit &amp; Liquidation Analysis'!H$62,IF($D$59='Exit &amp; Liquidation Analysis'!$C$66,'Exit &amp; Liquidation Analysis'!H$75,"")))))))</f>
        <v>0</v>
      </c>
      <c r="I66" s="769" t="b">
        <f ca="1">IF($D$60='Exit &amp; Liquidation Analysis'!$C$21,IF($D$59='Exit &amp; Liquidation Analysis'!$C$16,'Exit &amp; Liquidation Analysis'!I$21,IF($D$59='Exit &amp; Liquidation Analysis'!$C$26,'Exit &amp; Liquidation Analysis'!I$33,IF($D$59='Exit &amp; Liquidation Analysis'!$C$53,'Exit &amp; Liquidation Analysis'!I$60,IF($D$59='Exit &amp; Liquidation Analysis'!$C$66,'Exit &amp; Liquidation Analysis'!I$73,"")))),IF($D$60='Exit &amp; Liquidation Analysis'!$C$22,IF($D$59='Exit &amp; Liquidation Analysis'!$C$16,'Exit &amp; Liquidation Analysis'!I$22,IF($D$59='Exit &amp; Liquidation Analysis'!$C$26,'Exit &amp; Liquidation Analysis'!I$34,IF($D$59='Exit &amp; Liquidation Analysis'!$C$53,'Exit &amp; Liquidation Analysis'!I$61,IF($D$59='Exit &amp; Liquidation Analysis'!$C$66,'Exit &amp; Liquidation Analysis'!I$74,"")))),IF($D$60='Exit &amp; Liquidation Analysis'!$C$23,IF($D$59='Exit &amp; Liquidation Analysis'!$C$16,'Exit &amp; Liquidation Analysis'!I$23,IF($D$59='Exit &amp; Liquidation Analysis'!$C$26,'Exit &amp; Liquidation Analysis'!I$35,IF($D$59='Exit &amp; Liquidation Analysis'!$C$53,'Exit &amp; Liquidation Analysis'!I$62,IF($D$59='Exit &amp; Liquidation Analysis'!$C$66,'Exit &amp; Liquidation Analysis'!I$75,"")))))))</f>
        <v>0</v>
      </c>
      <c r="J66" s="769" t="b">
        <f ca="1">IF($D$60='Exit &amp; Liquidation Analysis'!$C$21,IF($D$59='Exit &amp; Liquidation Analysis'!$C$16,'Exit &amp; Liquidation Analysis'!J$21,IF($D$59='Exit &amp; Liquidation Analysis'!$C$26,'Exit &amp; Liquidation Analysis'!J$33,IF($D$59='Exit &amp; Liquidation Analysis'!$C$53,'Exit &amp; Liquidation Analysis'!J$60,IF($D$59='Exit &amp; Liquidation Analysis'!$C$66,'Exit &amp; Liquidation Analysis'!J$73,"")))),IF($D$60='Exit &amp; Liquidation Analysis'!$C$22,IF($D$59='Exit &amp; Liquidation Analysis'!$C$16,'Exit &amp; Liquidation Analysis'!J$22,IF($D$59='Exit &amp; Liquidation Analysis'!$C$26,'Exit &amp; Liquidation Analysis'!J$34,IF($D$59='Exit &amp; Liquidation Analysis'!$C$53,'Exit &amp; Liquidation Analysis'!J$61,IF($D$59='Exit &amp; Liquidation Analysis'!$C$66,'Exit &amp; Liquidation Analysis'!J$74,"")))),IF($D$60='Exit &amp; Liquidation Analysis'!$C$23,IF($D$59='Exit &amp; Liquidation Analysis'!$C$16,'Exit &amp; Liquidation Analysis'!J$23,IF($D$59='Exit &amp; Liquidation Analysis'!$C$26,'Exit &amp; Liquidation Analysis'!J$35,IF($D$59='Exit &amp; Liquidation Analysis'!$C$53,'Exit &amp; Liquidation Analysis'!J$62,IF($D$59='Exit &amp; Liquidation Analysis'!$C$66,'Exit &amp; Liquidation Analysis'!J$75,"")))))))</f>
        <v>0</v>
      </c>
      <c r="K66" s="769" t="b">
        <f ca="1">IF($D$60='Exit &amp; Liquidation Analysis'!$C$21,IF($D$59='Exit &amp; Liquidation Analysis'!$C$16,'Exit &amp; Liquidation Analysis'!K$21,IF($D$59='Exit &amp; Liquidation Analysis'!$C$26,'Exit &amp; Liquidation Analysis'!K$33,IF($D$59='Exit &amp; Liquidation Analysis'!$C$53,'Exit &amp; Liquidation Analysis'!K$60,IF($D$59='Exit &amp; Liquidation Analysis'!$C$66,'Exit &amp; Liquidation Analysis'!K$73,"")))),IF($D$60='Exit &amp; Liquidation Analysis'!$C$22,IF($D$59='Exit &amp; Liquidation Analysis'!$C$16,'Exit &amp; Liquidation Analysis'!K$22,IF($D$59='Exit &amp; Liquidation Analysis'!$C$26,'Exit &amp; Liquidation Analysis'!K$34,IF($D$59='Exit &amp; Liquidation Analysis'!$C$53,'Exit &amp; Liquidation Analysis'!K$61,IF($D$59='Exit &amp; Liquidation Analysis'!$C$66,'Exit &amp; Liquidation Analysis'!K$74,"")))),IF($D$60='Exit &amp; Liquidation Analysis'!$C$23,IF($D$59='Exit &amp; Liquidation Analysis'!$C$16,'Exit &amp; Liquidation Analysis'!K$23,IF($D$59='Exit &amp; Liquidation Analysis'!$C$26,'Exit &amp; Liquidation Analysis'!K$35,IF($D$59='Exit &amp; Liquidation Analysis'!$C$53,'Exit &amp; Liquidation Analysis'!K$62,IF($D$59='Exit &amp; Liquidation Analysis'!$C$66,'Exit &amp; Liquidation Analysis'!K$75,"")))))))</f>
        <v>0</v>
      </c>
      <c r="L66" s="769" t="b">
        <f ca="1">IF($D$60='Exit &amp; Liquidation Analysis'!$C$21,IF($D$59='Exit &amp; Liquidation Analysis'!$C$16,'Exit &amp; Liquidation Analysis'!L$21,IF($D$59='Exit &amp; Liquidation Analysis'!$C$26,'Exit &amp; Liquidation Analysis'!L$33,IF($D$59='Exit &amp; Liquidation Analysis'!$C$53,'Exit &amp; Liquidation Analysis'!L$60,IF($D$59='Exit &amp; Liquidation Analysis'!$C$66,'Exit &amp; Liquidation Analysis'!L$73,"")))),IF($D$60='Exit &amp; Liquidation Analysis'!$C$22,IF($D$59='Exit &amp; Liquidation Analysis'!$C$16,'Exit &amp; Liquidation Analysis'!L$22,IF($D$59='Exit &amp; Liquidation Analysis'!$C$26,'Exit &amp; Liquidation Analysis'!L$34,IF($D$59='Exit &amp; Liquidation Analysis'!$C$53,'Exit &amp; Liquidation Analysis'!L$61,IF($D$59='Exit &amp; Liquidation Analysis'!$C$66,'Exit &amp; Liquidation Analysis'!L$74,"")))),IF($D$60='Exit &amp; Liquidation Analysis'!$C$23,IF($D$59='Exit &amp; Liquidation Analysis'!$C$16,'Exit &amp; Liquidation Analysis'!L$23,IF($D$59='Exit &amp; Liquidation Analysis'!$C$26,'Exit &amp; Liquidation Analysis'!L$35,IF($D$59='Exit &amp; Liquidation Analysis'!$C$53,'Exit &amp; Liquidation Analysis'!L$62,IF($D$59='Exit &amp; Liquidation Analysis'!$C$66,'Exit &amp; Liquidation Analysis'!L$75,"")))))))</f>
        <v>0</v>
      </c>
      <c r="M66" s="180"/>
    </row>
    <row r="67" spans="1:29" x14ac:dyDescent="0.35">
      <c r="N67" s="181"/>
      <c r="AA67" s="1305"/>
      <c r="AB67" s="1305"/>
      <c r="AC67" s="1305"/>
    </row>
    <row r="68" spans="1:29" x14ac:dyDescent="0.35">
      <c r="N68" s="181"/>
      <c r="AA68" s="1305"/>
      <c r="AB68" s="1305"/>
      <c r="AC68" s="1305"/>
    </row>
    <row r="69" spans="1:29" x14ac:dyDescent="0.35">
      <c r="N69" s="181"/>
      <c r="AA69" s="1305"/>
      <c r="AB69" s="1305"/>
      <c r="AC69" s="1305"/>
    </row>
    <row r="70" spans="1:29" x14ac:dyDescent="0.35">
      <c r="L70" s="646"/>
      <c r="N70" s="181"/>
      <c r="O70" s="181"/>
      <c r="P70" s="1305"/>
      <c r="Q70" s="1305"/>
      <c r="R70" s="1305"/>
      <c r="Y70" s="646"/>
      <c r="Z70" s="646"/>
      <c r="AA70" s="646"/>
      <c r="AB70" s="646"/>
      <c r="AC70" s="646"/>
    </row>
    <row r="71" spans="1:29" x14ac:dyDescent="0.35">
      <c r="L71" s="646"/>
      <c r="N71" s="181"/>
      <c r="O71" s="181"/>
      <c r="P71" s="1305"/>
      <c r="Q71" s="1305"/>
      <c r="R71" s="1305"/>
      <c r="Y71" s="646"/>
      <c r="Z71" s="646"/>
      <c r="AA71" s="646"/>
      <c r="AB71" s="646"/>
      <c r="AC71" s="646"/>
    </row>
    <row r="72" spans="1:29" x14ac:dyDescent="0.35">
      <c r="L72" s="646"/>
      <c r="N72" s="181"/>
      <c r="O72" s="181"/>
      <c r="P72" s="1305"/>
      <c r="Q72" s="1305"/>
      <c r="R72" s="1305"/>
      <c r="Y72" s="646"/>
      <c r="Z72" s="646"/>
      <c r="AA72" s="646"/>
      <c r="AB72" s="646"/>
      <c r="AC72" s="646"/>
    </row>
    <row r="73" spans="1:29" x14ac:dyDescent="0.35">
      <c r="L73" s="646"/>
      <c r="N73" s="181"/>
      <c r="O73" s="181"/>
      <c r="P73" s="1305"/>
      <c r="Q73" s="1305"/>
      <c r="R73" s="1305"/>
      <c r="Y73" s="646"/>
      <c r="Z73" s="646"/>
      <c r="AA73" s="646"/>
      <c r="AB73" s="646"/>
      <c r="AC73" s="646"/>
    </row>
    <row r="74" spans="1:29" x14ac:dyDescent="0.35">
      <c r="L74" s="646"/>
      <c r="N74" s="181"/>
      <c r="O74" s="181"/>
      <c r="P74" s="1305"/>
      <c r="Q74" s="1305"/>
      <c r="R74" s="1305"/>
      <c r="Y74" s="646"/>
      <c r="Z74" s="646"/>
      <c r="AA74" s="646"/>
      <c r="AB74" s="646"/>
      <c r="AC74" s="646"/>
    </row>
    <row r="75" spans="1:29" x14ac:dyDescent="0.35">
      <c r="L75" s="646"/>
      <c r="N75" s="181"/>
      <c r="O75" s="181"/>
      <c r="P75" s="1305"/>
      <c r="Q75" s="1305"/>
      <c r="R75" s="1305"/>
      <c r="Y75" s="646"/>
      <c r="Z75" s="646"/>
      <c r="AA75" s="646"/>
      <c r="AB75" s="646"/>
      <c r="AC75" s="646"/>
    </row>
    <row r="76" spans="1:29" x14ac:dyDescent="0.35">
      <c r="L76" s="646"/>
      <c r="N76" s="181"/>
      <c r="O76" s="181"/>
      <c r="P76" s="1305"/>
      <c r="Q76" s="1305"/>
      <c r="R76" s="1305"/>
      <c r="Y76" s="646"/>
      <c r="Z76" s="646"/>
      <c r="AA76" s="646"/>
      <c r="AB76" s="646"/>
      <c r="AC76" s="646"/>
    </row>
    <row r="77" spans="1:29" x14ac:dyDescent="0.35">
      <c r="L77" s="646"/>
      <c r="N77" s="181"/>
      <c r="O77" s="181"/>
      <c r="P77" s="1305"/>
      <c r="Q77" s="1305"/>
      <c r="R77" s="1305"/>
      <c r="Y77" s="646"/>
      <c r="Z77" s="646"/>
      <c r="AA77" s="646"/>
      <c r="AB77" s="646"/>
      <c r="AC77" s="646"/>
    </row>
    <row r="78" spans="1:29" x14ac:dyDescent="0.35">
      <c r="L78" s="646"/>
      <c r="N78" s="181"/>
      <c r="O78" s="181"/>
      <c r="P78" s="1305"/>
      <c r="Q78" s="1305"/>
      <c r="R78" s="1305"/>
      <c r="Y78" s="646"/>
      <c r="Z78" s="646"/>
      <c r="AA78" s="646"/>
      <c r="AB78" s="646"/>
      <c r="AC78" s="646"/>
    </row>
    <row r="79" spans="1:29" x14ac:dyDescent="0.35">
      <c r="L79" s="646"/>
      <c r="N79" s="181"/>
      <c r="O79" s="181"/>
      <c r="P79" s="1305"/>
      <c r="Q79" s="1305"/>
      <c r="R79" s="1305"/>
      <c r="Y79" s="646"/>
      <c r="Z79" s="646"/>
      <c r="AA79" s="646"/>
      <c r="AB79" s="646"/>
      <c r="AC79" s="646"/>
    </row>
    <row r="80" spans="1:29" x14ac:dyDescent="0.35">
      <c r="L80" s="646"/>
      <c r="N80" s="181"/>
      <c r="O80" s="181"/>
      <c r="P80" s="1305"/>
      <c r="Q80" s="1305"/>
      <c r="R80" s="1305"/>
      <c r="Y80" s="646"/>
      <c r="Z80" s="646"/>
      <c r="AA80" s="646"/>
      <c r="AB80" s="646"/>
      <c r="AC80" s="646"/>
    </row>
    <row r="81" spans="12:29" x14ac:dyDescent="0.35">
      <c r="L81" s="646"/>
      <c r="N81" s="181"/>
      <c r="O81" s="181"/>
      <c r="P81" s="1305"/>
      <c r="Q81" s="1305"/>
      <c r="R81" s="1305"/>
      <c r="Y81" s="646"/>
      <c r="Z81" s="646"/>
      <c r="AA81" s="646"/>
      <c r="AB81" s="646"/>
      <c r="AC81" s="646"/>
    </row>
    <row r="82" spans="12:29" x14ac:dyDescent="0.35">
      <c r="L82" s="646"/>
      <c r="N82" s="181"/>
      <c r="O82" s="181"/>
      <c r="P82" s="1305"/>
      <c r="Q82" s="1305"/>
      <c r="R82" s="1305"/>
      <c r="Y82" s="646"/>
      <c r="Z82" s="646"/>
      <c r="AA82" s="646"/>
      <c r="AB82" s="646"/>
      <c r="AC82" s="646"/>
    </row>
  </sheetData>
  <mergeCells count="25">
    <mergeCell ref="S39:S41"/>
    <mergeCell ref="U39:U41"/>
    <mergeCell ref="K17:L17"/>
    <mergeCell ref="M17:O17"/>
    <mergeCell ref="S9:S11"/>
    <mergeCell ref="U9:U11"/>
    <mergeCell ref="S14:S16"/>
    <mergeCell ref="U14:U16"/>
    <mergeCell ref="K16:L16"/>
    <mergeCell ref="S19:S21"/>
    <mergeCell ref="U19:U21"/>
    <mergeCell ref="S24:S26"/>
    <mergeCell ref="U24:U26"/>
    <mergeCell ref="S34:S36"/>
    <mergeCell ref="U34:U36"/>
    <mergeCell ref="M42:O42"/>
    <mergeCell ref="S49:S51"/>
    <mergeCell ref="U49:U51"/>
    <mergeCell ref="S44:S46"/>
    <mergeCell ref="U44:U46"/>
    <mergeCell ref="D58:G58"/>
    <mergeCell ref="D59:G59"/>
    <mergeCell ref="D60:G60"/>
    <mergeCell ref="K41:L41"/>
    <mergeCell ref="K42:L42"/>
  </mergeCells>
  <conditionalFormatting sqref="E64:L64">
    <cfRule type="containsText" dxfId="10" priority="2" operator="containsText" text="Negative">
      <formula>NOT(ISERROR(SEARCH("Negative",E64)))</formula>
    </cfRule>
  </conditionalFormatting>
  <conditionalFormatting sqref="E66:L66">
    <cfRule type="containsText" dxfId="9" priority="1" operator="containsText" text="Negative">
      <formula>NOT(ISERROR(SEARCH("Negative",E66)))</formula>
    </cfRule>
  </conditionalFormatting>
  <dataValidations count="2">
    <dataValidation type="list" allowBlank="1" showInputMessage="1" showErrorMessage="1" sqref="D60:G60" xr:uid="{14E621FA-F5CB-4B76-A648-F291629ACF79}">
      <formula1>$B$62:$B$64</formula1>
    </dataValidation>
    <dataValidation type="list" allowBlank="1" showInputMessage="1" showErrorMessage="1" sqref="D58:G59" xr:uid="{FCA0CFF8-E558-438B-9D8B-D5C3FDC639B6}">
      <formula1>$B$58:$B$61</formula1>
    </dataValidation>
  </dataValidations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36F0-07DE-47B2-AC52-CA9D9470E2F0}">
  <dimension ref="A1:CE133"/>
  <sheetViews>
    <sheetView zoomScale="85" zoomScaleNormal="85" workbookViewId="0">
      <selection activeCell="G27" sqref="G27"/>
    </sheetView>
  </sheetViews>
  <sheetFormatPr defaultColWidth="8.7265625" defaultRowHeight="15.5" outlineLevelRow="2" outlineLevelCol="2" x14ac:dyDescent="0.35"/>
  <cols>
    <col min="1" max="2" width="0.81640625" style="181" customWidth="1"/>
    <col min="3" max="3" width="3.7265625" style="191" customWidth="1"/>
    <col min="4" max="4" width="37.1796875" style="191" customWidth="1" outlineLevel="1"/>
    <col min="5" max="7" width="13.81640625" style="191" customWidth="1" outlineLevel="2"/>
    <col min="8" max="8" width="16.453125" style="191" customWidth="1" outlineLevel="2"/>
    <col min="9" max="9" width="13.81640625" style="191" customWidth="1" outlineLevel="2"/>
    <col min="10" max="10" width="13.81640625" style="191" customWidth="1" outlineLevel="1"/>
    <col min="11" max="11" width="16.453125" style="191" hidden="1" customWidth="1" outlineLevel="2"/>
    <col min="12" max="12" width="13.81640625" style="191" hidden="1" customWidth="1" outlineLevel="2"/>
    <col min="13" max="13" width="13.81640625" style="191" customWidth="1" outlineLevel="1" collapsed="1"/>
    <col min="14" max="14" width="16.453125" style="191" hidden="1" customWidth="1" outlineLevel="2"/>
    <col min="15" max="15" width="13.81640625" style="191" hidden="1" customWidth="1" outlineLevel="2"/>
    <col min="16" max="16" width="13.81640625" style="191" customWidth="1" outlineLevel="1" collapsed="1"/>
    <col min="17" max="17" width="16.453125" style="191" hidden="1" customWidth="1" outlineLevel="2"/>
    <col min="18" max="18" width="13.81640625" style="191" hidden="1" customWidth="1" outlineLevel="2"/>
    <col min="19" max="19" width="13.81640625" style="191" customWidth="1" outlineLevel="1" collapsed="1"/>
    <col min="20" max="20" width="16.453125" style="191" hidden="1" customWidth="1" outlineLevel="2"/>
    <col min="21" max="21" width="13.81640625" style="191" hidden="1" customWidth="1" outlineLevel="2"/>
    <col min="22" max="22" width="13.81640625" style="191" customWidth="1" outlineLevel="1" collapsed="1"/>
    <col min="23" max="23" width="16.453125" style="191" hidden="1" customWidth="1" outlineLevel="2"/>
    <col min="24" max="24" width="13.81640625" style="191" hidden="1" customWidth="1" outlineLevel="2"/>
    <col min="25" max="25" width="13.81640625" style="191" customWidth="1" outlineLevel="1" collapsed="1"/>
    <col min="26" max="26" width="16.453125" style="191" hidden="1" customWidth="1" outlineLevel="2"/>
    <col min="27" max="27" width="13.81640625" style="191" hidden="1" customWidth="1" outlineLevel="2"/>
    <col min="28" max="28" width="13.81640625" style="191" customWidth="1" outlineLevel="1" collapsed="1"/>
    <col min="29" max="29" width="16.453125" style="191" hidden="1" customWidth="1" outlineLevel="2"/>
    <col min="30" max="30" width="13.81640625" style="191" hidden="1" customWidth="1" outlineLevel="2"/>
    <col min="31" max="31" width="13.81640625" style="191" customWidth="1" outlineLevel="1" collapsed="1"/>
    <col min="32" max="32" width="16.453125" style="191" hidden="1" customWidth="1" outlineLevel="2"/>
    <col min="33" max="33" width="13.81640625" style="191" hidden="1" customWidth="1" outlineLevel="2"/>
    <col min="34" max="34" width="13.81640625" style="191" customWidth="1" outlineLevel="1" collapsed="1"/>
    <col min="35" max="35" width="1.26953125" style="181" customWidth="1" outlineLevel="1"/>
    <col min="36" max="36" width="13.81640625" style="191" customWidth="1" outlineLevel="1"/>
    <col min="37" max="37" width="1.26953125" style="181" customWidth="1" outlineLevel="1"/>
    <col min="38" max="38" width="13.81640625" style="191" customWidth="1" outlineLevel="1"/>
    <col min="39" max="39" width="14" style="191" customWidth="1" outlineLevel="1"/>
    <col min="40" max="41" width="1.26953125" style="181" customWidth="1" outlineLevel="2"/>
    <col min="42" max="42" width="8.7265625" style="191"/>
    <col min="43" max="44" width="1.26953125" style="181" customWidth="1" outlineLevel="1"/>
    <col min="45" max="45" width="25" style="3" customWidth="1" outlineLevel="1"/>
    <col min="46" max="46" width="1.1796875" style="3" customWidth="1" outlineLevel="1"/>
    <col min="47" max="47" width="8.7265625" style="3" outlineLevel="1"/>
    <col min="48" max="48" width="1.1796875" style="3" customWidth="1" outlineLevel="1"/>
    <col min="49" max="51" width="9" style="3" customWidth="1" outlineLevel="1"/>
    <col min="52" max="52" width="1.1796875" style="3" customWidth="1" outlineLevel="1"/>
    <col min="53" max="53" width="8.7265625" style="3" outlineLevel="1"/>
    <col min="54" max="54" width="25" style="3" customWidth="1" outlineLevel="1"/>
    <col min="55" max="58" width="9.453125" style="3" customWidth="1" outlineLevel="1"/>
    <col min="59" max="60" width="1.26953125" style="181" customWidth="1" outlineLevel="1"/>
    <col min="61" max="61" width="8.7265625" style="191"/>
    <col min="62" max="63" width="1.26953125" style="181" customWidth="1" outlineLevel="1"/>
    <col min="64" max="64" width="37.7265625" style="3" customWidth="1" outlineLevel="1"/>
    <col min="65" max="65" width="1.26953125" style="3" customWidth="1" outlineLevel="1"/>
    <col min="66" max="66" width="11.54296875" style="3" customWidth="1" outlineLevel="1"/>
    <col min="67" max="67" width="1.26953125" style="3" customWidth="1" outlineLevel="1"/>
    <col min="68" max="70" width="9" style="3" customWidth="1" outlineLevel="1"/>
    <col min="71" max="71" width="1.1796875" style="3" customWidth="1" outlineLevel="1"/>
    <col min="72" max="72" width="8.7265625" style="3" outlineLevel="1"/>
    <col min="73" max="73" width="37.7265625" style="3" customWidth="1" outlineLevel="1"/>
    <col min="74" max="74" width="1.26953125" style="3" customWidth="1" outlineLevel="1"/>
    <col min="75" max="78" width="9.453125" style="3" customWidth="1" outlineLevel="1"/>
    <col min="79" max="80" width="1.26953125" style="181" customWidth="1" outlineLevel="1"/>
    <col min="81" max="81" width="8.7265625" style="191"/>
    <col min="82" max="83" width="1.26953125" style="181" customWidth="1"/>
    <col min="84" max="16384" width="8.7265625" style="191"/>
  </cols>
  <sheetData>
    <row r="1" spans="1:83" s="181" customFormat="1" ht="7.5" customHeight="1" x14ac:dyDescent="0.35">
      <c r="A1" s="21" t="s">
        <v>1</v>
      </c>
      <c r="B1" s="178"/>
      <c r="C1" s="179"/>
      <c r="D1" s="180"/>
      <c r="E1" s="180"/>
      <c r="F1" s="180"/>
      <c r="G1" s="180"/>
      <c r="H1" s="180"/>
      <c r="I1" s="180"/>
      <c r="P1" s="180"/>
      <c r="U1" s="180"/>
      <c r="V1" s="180"/>
      <c r="X1" s="180"/>
      <c r="Y1" s="180"/>
      <c r="Z1" s="22"/>
      <c r="AA1" s="2"/>
      <c r="AB1" s="2"/>
      <c r="AC1" s="2"/>
      <c r="AD1" s="2"/>
      <c r="AE1" s="2"/>
      <c r="AF1" s="3"/>
      <c r="AG1" s="2"/>
      <c r="AH1" s="3"/>
      <c r="AI1" s="22"/>
      <c r="AJ1" s="3"/>
      <c r="AK1" s="3"/>
      <c r="AL1" s="3"/>
      <c r="AM1" s="3"/>
      <c r="AN1" s="180"/>
      <c r="AO1" s="180"/>
      <c r="AQ1" s="180"/>
      <c r="AR1" s="180"/>
      <c r="AS1" s="22"/>
      <c r="AT1" s="2"/>
      <c r="AU1" s="2"/>
      <c r="AV1" s="2"/>
      <c r="AW1" s="2"/>
      <c r="AX1" s="2"/>
      <c r="AY1" s="3"/>
      <c r="AZ1" s="2"/>
      <c r="BA1" s="3"/>
      <c r="BB1" s="22"/>
      <c r="BC1" s="3"/>
      <c r="BD1" s="3"/>
      <c r="BE1" s="3"/>
      <c r="BF1" s="3"/>
      <c r="BG1" s="180"/>
      <c r="BH1" s="180"/>
      <c r="BJ1" s="180"/>
      <c r="BK1" s="180"/>
      <c r="BL1" s="22"/>
      <c r="BM1" s="2"/>
      <c r="BN1" s="2"/>
      <c r="BO1" s="2"/>
      <c r="BP1" s="2"/>
      <c r="BQ1" s="2"/>
      <c r="BR1" s="3"/>
      <c r="BS1" s="3"/>
      <c r="BT1" s="3"/>
      <c r="BU1" s="22"/>
      <c r="BV1" s="2"/>
      <c r="BW1" s="3"/>
      <c r="BX1" s="3"/>
      <c r="BY1" s="3"/>
      <c r="BZ1" s="3"/>
      <c r="CA1" s="180"/>
      <c r="CB1" s="180"/>
      <c r="CD1" s="180"/>
      <c r="CE1" s="180"/>
    </row>
    <row r="2" spans="1:83" s="186" customFormat="1" ht="21.5" thickBot="1" x14ac:dyDescent="0.55000000000000004">
      <c r="A2" s="182"/>
      <c r="B2" s="182"/>
      <c r="C2" s="183" t="str">
        <f xml:space="preserve"> "Project " &amp; 'Master Inputs'!D8 &amp; " - Copy&amp;Paste"</f>
        <v>Project MODEL - Copy&amp;Paste</v>
      </c>
      <c r="D2" s="184"/>
      <c r="E2" s="185"/>
      <c r="F2" s="185"/>
      <c r="G2" s="185"/>
      <c r="H2" s="185"/>
      <c r="I2" s="185"/>
      <c r="J2" s="184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185"/>
      <c r="AO2" s="185"/>
      <c r="AP2" s="185"/>
      <c r="AQ2" s="185"/>
      <c r="AR2" s="18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185"/>
      <c r="BH2" s="185"/>
      <c r="BI2" s="185"/>
      <c r="BJ2" s="185"/>
      <c r="BK2" s="185"/>
      <c r="BL2" s="4"/>
      <c r="BM2" s="25"/>
      <c r="BN2" s="25"/>
      <c r="BO2" s="25"/>
      <c r="BP2" s="25"/>
      <c r="BQ2" s="4"/>
      <c r="BR2" s="4"/>
      <c r="BS2" s="4"/>
      <c r="BT2" s="4"/>
      <c r="BU2" s="4"/>
      <c r="BV2" s="25"/>
      <c r="BW2" s="25"/>
      <c r="BX2" s="25"/>
      <c r="BY2" s="24"/>
      <c r="BZ2" s="24"/>
      <c r="CA2" s="185"/>
      <c r="CB2" s="185"/>
      <c r="CC2" s="185"/>
      <c r="CD2" s="185"/>
      <c r="CE2" s="185"/>
    </row>
    <row r="3" spans="1:83" s="26" customFormat="1" ht="13" x14ac:dyDescent="0.3">
      <c r="C3" s="27" t="s">
        <v>528</v>
      </c>
    </row>
    <row r="4" spans="1:83" s="181" customFormat="1" ht="8.15" customHeight="1" x14ac:dyDescent="0.35">
      <c r="A4" s="180"/>
      <c r="B4" s="180"/>
      <c r="C4" s="179"/>
      <c r="D4" s="180"/>
      <c r="E4" s="180"/>
      <c r="F4" s="180"/>
      <c r="G4" s="180"/>
      <c r="H4" s="180"/>
      <c r="I4" s="180"/>
      <c r="P4" s="189"/>
      <c r="U4" s="189"/>
      <c r="V4" s="189"/>
      <c r="X4" s="189"/>
      <c r="Y4" s="189"/>
      <c r="Z4" s="27"/>
      <c r="AA4" s="26"/>
      <c r="AB4" s="26"/>
      <c r="AC4" s="26"/>
      <c r="AD4" s="26"/>
      <c r="AE4" s="26"/>
      <c r="AF4" s="26"/>
      <c r="AG4" s="26"/>
      <c r="AH4" s="26"/>
      <c r="AI4" s="27"/>
      <c r="AJ4" s="26"/>
      <c r="AK4" s="26"/>
      <c r="AL4" s="26"/>
      <c r="AM4" s="26"/>
      <c r="AN4" s="189"/>
      <c r="AO4" s="189"/>
      <c r="AQ4" s="189"/>
      <c r="AR4" s="189"/>
      <c r="AS4" s="27"/>
      <c r="AT4" s="26"/>
      <c r="AU4" s="26"/>
      <c r="AV4" s="26"/>
      <c r="AW4" s="26"/>
      <c r="AX4" s="26"/>
      <c r="AY4" s="26"/>
      <c r="AZ4" s="26"/>
      <c r="BA4" s="26"/>
      <c r="BB4" s="27"/>
      <c r="BC4" s="26"/>
      <c r="BD4" s="26"/>
      <c r="BE4" s="26"/>
      <c r="BF4" s="26"/>
      <c r="BG4" s="189"/>
      <c r="BH4" s="189"/>
      <c r="BJ4" s="189"/>
      <c r="BK4" s="189"/>
      <c r="BL4" s="27"/>
      <c r="BM4" s="26"/>
      <c r="BN4" s="26"/>
      <c r="BO4" s="26"/>
      <c r="BP4" s="26"/>
      <c r="BQ4" s="26"/>
      <c r="BR4" s="26"/>
      <c r="BS4" s="3"/>
      <c r="BT4" s="3"/>
      <c r="BU4" s="27"/>
      <c r="BV4" s="26"/>
      <c r="BW4" s="26"/>
      <c r="BX4" s="26"/>
      <c r="BY4" s="26"/>
      <c r="BZ4" s="26"/>
      <c r="CA4" s="189"/>
      <c r="CB4" s="189"/>
      <c r="CD4" s="189"/>
      <c r="CE4" s="189"/>
    </row>
    <row r="5" spans="1:83" ht="15.75" customHeight="1" x14ac:dyDescent="0.35">
      <c r="A5" s="180"/>
      <c r="B5" s="180"/>
      <c r="C5" s="190"/>
      <c r="D5" s="190"/>
      <c r="E5" s="190"/>
      <c r="P5" s="180"/>
      <c r="U5" s="180"/>
      <c r="V5" s="180"/>
      <c r="X5" s="180"/>
      <c r="Y5" s="180"/>
      <c r="Z5" s="22"/>
      <c r="AA5" s="2"/>
      <c r="AB5" s="2"/>
      <c r="AC5" s="2"/>
      <c r="AD5" s="2"/>
      <c r="AE5" s="2"/>
      <c r="AF5" s="3"/>
      <c r="AG5" s="2"/>
      <c r="AH5" s="3"/>
      <c r="AI5" s="22"/>
      <c r="AJ5" s="3"/>
      <c r="AK5" s="3"/>
      <c r="AL5" s="3"/>
      <c r="AM5" s="3"/>
      <c r="AN5" s="180"/>
      <c r="AO5" s="180"/>
      <c r="AQ5" s="180"/>
      <c r="AR5" s="180"/>
      <c r="AS5" s="22"/>
      <c r="AT5" s="2"/>
      <c r="AU5" s="2"/>
      <c r="AV5" s="2"/>
      <c r="AW5" s="2"/>
      <c r="AX5" s="2"/>
      <c r="AZ5" s="2"/>
      <c r="BB5" s="22"/>
      <c r="BG5" s="180"/>
      <c r="BH5" s="180"/>
      <c r="BJ5" s="180"/>
      <c r="BK5" s="180"/>
      <c r="BL5" s="22"/>
      <c r="BM5" s="2"/>
      <c r="BN5" s="2"/>
      <c r="BO5" s="2"/>
      <c r="BP5" s="2"/>
      <c r="BQ5" s="2"/>
      <c r="BU5" s="22"/>
      <c r="BV5" s="2"/>
      <c r="CA5" s="180"/>
      <c r="CB5" s="180"/>
      <c r="CD5" s="180"/>
      <c r="CE5" s="180"/>
    </row>
    <row r="6" spans="1:83" s="713" customFormat="1" ht="15.75" customHeight="1" x14ac:dyDescent="0.35">
      <c r="A6" s="712"/>
      <c r="B6" s="712" t="s">
        <v>529</v>
      </c>
      <c r="C6" s="712"/>
      <c r="E6" s="712"/>
      <c r="P6" s="652"/>
    </row>
    <row r="7" spans="1:83" ht="15.75" customHeight="1" outlineLevel="1" x14ac:dyDescent="0.35">
      <c r="A7" s="180"/>
      <c r="B7" s="180"/>
      <c r="C7" s="190"/>
      <c r="D7" s="180"/>
      <c r="E7" s="180"/>
      <c r="F7" s="180"/>
      <c r="G7" s="180"/>
      <c r="H7" s="180"/>
      <c r="I7" s="180"/>
      <c r="J7" s="181"/>
      <c r="K7" s="180"/>
      <c r="L7" s="180"/>
      <c r="M7" s="180"/>
      <c r="N7" s="181"/>
      <c r="O7" s="180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0"/>
      <c r="AJ7" s="181"/>
      <c r="AK7" s="180"/>
      <c r="AL7" s="181"/>
      <c r="AM7" s="181"/>
      <c r="AN7" s="180"/>
      <c r="AO7" s="180"/>
      <c r="AQ7" s="180"/>
      <c r="AR7" s="180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80"/>
      <c r="BH7" s="180"/>
      <c r="BJ7" s="180"/>
      <c r="BK7" s="180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191"/>
      <c r="BW7" s="191"/>
      <c r="BX7" s="191"/>
      <c r="BY7" s="191"/>
      <c r="BZ7" s="191"/>
      <c r="CA7" s="180"/>
      <c r="CB7" s="180"/>
      <c r="CD7" s="180"/>
      <c r="CE7" s="180"/>
    </row>
    <row r="8" spans="1:83" ht="15.75" customHeight="1" outlineLevel="1" x14ac:dyDescent="0.35">
      <c r="A8" s="191"/>
      <c r="B8" s="191"/>
      <c r="D8" s="197" t="str">
        <f>'Cap Table'!D6</f>
        <v>Current Funding Series</v>
      </c>
      <c r="H8" s="1368" t="str">
        <f>'Cap Table'!E6</f>
        <v>Seed</v>
      </c>
      <c r="I8" s="1369">
        <v>0</v>
      </c>
      <c r="K8" s="196"/>
      <c r="L8" s="247"/>
      <c r="M8" s="196"/>
      <c r="AI8" s="180"/>
      <c r="AK8" s="180"/>
      <c r="AN8" s="180"/>
      <c r="AO8" s="180"/>
      <c r="AQ8" s="180"/>
      <c r="AR8" s="180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80"/>
      <c r="BH8" s="180"/>
      <c r="BJ8" s="180"/>
      <c r="BK8" s="180"/>
      <c r="BL8" s="191"/>
      <c r="BM8" s="191"/>
      <c r="BN8" s="191"/>
      <c r="BO8" s="191"/>
      <c r="BP8" s="191"/>
      <c r="BQ8" s="191"/>
      <c r="BR8" s="191"/>
      <c r="BS8" s="191"/>
      <c r="BT8" s="191"/>
      <c r="BU8" s="191"/>
      <c r="BV8" s="191"/>
      <c r="BW8" s="191"/>
      <c r="BX8" s="191"/>
      <c r="BY8" s="191"/>
      <c r="BZ8" s="191"/>
      <c r="CA8" s="180"/>
      <c r="CB8" s="180"/>
      <c r="CD8" s="180"/>
      <c r="CE8" s="180"/>
    </row>
    <row r="9" spans="1:83" ht="15.75" customHeight="1" outlineLevel="1" x14ac:dyDescent="0.35">
      <c r="A9" s="202"/>
      <c r="B9" s="202"/>
      <c r="D9" s="197" t="str">
        <f>'Cap Table'!D7</f>
        <v>DTC Investment in Seed</v>
      </c>
      <c r="H9" s="1370">
        <f>'Cap Table'!E7</f>
        <v>0</v>
      </c>
      <c r="I9" s="1371">
        <v>0</v>
      </c>
      <c r="K9" s="196"/>
      <c r="L9" s="247"/>
      <c r="M9" s="196"/>
      <c r="AI9" s="180"/>
      <c r="AK9" s="180"/>
      <c r="AN9" s="180"/>
      <c r="AO9" s="180"/>
      <c r="AQ9" s="180"/>
      <c r="AR9" s="180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80"/>
      <c r="BH9" s="180"/>
      <c r="BJ9" s="180"/>
      <c r="BK9" s="180"/>
      <c r="BL9" s="191"/>
      <c r="BM9" s="191"/>
      <c r="BN9" s="191"/>
      <c r="BO9" s="191"/>
      <c r="BP9" s="191"/>
      <c r="BQ9" s="191"/>
      <c r="BR9" s="191"/>
      <c r="BS9" s="191"/>
      <c r="BT9" s="191"/>
      <c r="BU9" s="191"/>
      <c r="BV9" s="191"/>
      <c r="BW9" s="191"/>
      <c r="BX9" s="191"/>
      <c r="BY9" s="191"/>
      <c r="BZ9" s="191"/>
      <c r="CA9" s="180"/>
      <c r="CB9" s="180"/>
      <c r="CD9" s="180"/>
      <c r="CE9" s="180"/>
    </row>
    <row r="10" spans="1:83" ht="15.75" customHeight="1" outlineLevel="1" x14ac:dyDescent="0.35">
      <c r="A10" s="180"/>
      <c r="B10" s="180"/>
      <c r="D10" s="197" t="str">
        <f>'Cap Table'!D8</f>
        <v>Pre-Money Valuation</v>
      </c>
      <c r="H10" s="1370">
        <f>'Cap Table'!E8</f>
        <v>0</v>
      </c>
      <c r="I10" s="1371">
        <v>0</v>
      </c>
      <c r="K10" s="196"/>
      <c r="L10" s="247"/>
      <c r="M10" s="196"/>
      <c r="AI10" s="203"/>
      <c r="AK10" s="203"/>
      <c r="AN10" s="203"/>
      <c r="AO10" s="203"/>
      <c r="AQ10" s="203"/>
      <c r="AR10" s="203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203"/>
      <c r="BH10" s="203"/>
      <c r="BJ10" s="203"/>
      <c r="BK10" s="203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203"/>
      <c r="CB10" s="203"/>
      <c r="CD10" s="203"/>
      <c r="CE10" s="203"/>
    </row>
    <row r="11" spans="1:83" ht="15.75" customHeight="1" outlineLevel="1" x14ac:dyDescent="0.35">
      <c r="A11" s="180"/>
      <c r="B11" s="180"/>
      <c r="D11" s="197" t="str">
        <f>'Cap Table'!D9</f>
        <v>Total Seed Round</v>
      </c>
      <c r="H11" s="1370">
        <f>'Cap Table'!E9</f>
        <v>0</v>
      </c>
      <c r="I11" s="1371">
        <v>0</v>
      </c>
      <c r="K11" s="196"/>
      <c r="L11" s="187"/>
      <c r="M11" s="196"/>
      <c r="AI11" s="180"/>
      <c r="AK11" s="180"/>
      <c r="AN11" s="180"/>
      <c r="AO11" s="180"/>
      <c r="AQ11" s="180"/>
      <c r="AR11" s="180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80"/>
      <c r="BH11" s="180"/>
      <c r="BJ11" s="180"/>
      <c r="BK11" s="180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80"/>
      <c r="CB11" s="180"/>
      <c r="CD11" s="180"/>
      <c r="CE11" s="180"/>
    </row>
    <row r="12" spans="1:83" ht="15.75" customHeight="1" outlineLevel="1" x14ac:dyDescent="0.35">
      <c r="A12" s="180"/>
      <c r="B12" s="180"/>
      <c r="D12" s="197" t="str">
        <f>'Cap Table'!D10</f>
        <v>Post-Money Valuation</v>
      </c>
      <c r="G12" s="204"/>
      <c r="H12" s="1354" t="e">
        <f>'Cap Table'!E10</f>
        <v>#DIV/0!</v>
      </c>
      <c r="I12" s="1355">
        <v>0</v>
      </c>
      <c r="K12" s="196"/>
      <c r="L12" s="187"/>
      <c r="M12" s="196"/>
      <c r="AI12" s="180"/>
      <c r="AK12" s="180"/>
      <c r="AN12" s="180"/>
      <c r="AO12" s="180"/>
      <c r="AQ12" s="180"/>
      <c r="AR12" s="180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80"/>
      <c r="BH12" s="180"/>
      <c r="BJ12" s="180"/>
      <c r="BK12" s="180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80"/>
      <c r="CB12" s="180"/>
      <c r="CD12" s="180"/>
      <c r="CE12" s="180"/>
    </row>
    <row r="13" spans="1:83" ht="9" customHeight="1" outlineLevel="1" x14ac:dyDescent="0.35">
      <c r="A13" s="37"/>
      <c r="B13" s="37"/>
      <c r="H13" s="226"/>
      <c r="K13" s="196"/>
      <c r="L13" s="196"/>
      <c r="M13" s="196"/>
      <c r="N13" s="190"/>
      <c r="O13" s="192"/>
      <c r="P13" s="192"/>
      <c r="AI13" s="180"/>
      <c r="AK13" s="180"/>
      <c r="AN13" s="180"/>
      <c r="AO13" s="180"/>
      <c r="AQ13" s="180"/>
      <c r="AR13" s="180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80"/>
      <c r="BH13" s="180"/>
      <c r="BJ13" s="180"/>
      <c r="BK13" s="180"/>
      <c r="BL13" s="191"/>
      <c r="BM13" s="191"/>
      <c r="BN13" s="191"/>
      <c r="BO13" s="191"/>
      <c r="BP13" s="191"/>
      <c r="BQ13" s="191"/>
      <c r="BR13" s="191"/>
      <c r="BS13" s="191"/>
      <c r="BT13" s="191"/>
      <c r="BU13" s="191"/>
      <c r="BV13" s="191"/>
      <c r="BW13" s="191"/>
      <c r="BX13" s="191"/>
      <c r="BY13" s="191"/>
      <c r="BZ13" s="191"/>
      <c r="CA13" s="180"/>
      <c r="CB13" s="180"/>
      <c r="CD13" s="180"/>
      <c r="CE13" s="180"/>
    </row>
    <row r="14" spans="1:83" s="211" customFormat="1" ht="15.75" customHeight="1" outlineLevel="1" x14ac:dyDescent="0.35">
      <c r="A14" s="212"/>
      <c r="B14" s="212"/>
      <c r="D14" s="213"/>
      <c r="G14" s="213"/>
      <c r="H14" s="1409" t="str">
        <f>'Cap Table'!H13</f>
        <v>Seed</v>
      </c>
      <c r="I14" s="1410">
        <v>0</v>
      </c>
      <c r="J14" s="1410">
        <v>0</v>
      </c>
      <c r="K14" s="1409" t="str">
        <f>'Cap Table'!P13</f>
        <v>Series A</v>
      </c>
      <c r="L14" s="1410">
        <v>0</v>
      </c>
      <c r="M14" s="1410">
        <v>0</v>
      </c>
      <c r="N14" s="1409" t="str">
        <f>'Cap Table'!X13</f>
        <v>Series B</v>
      </c>
      <c r="O14" s="1410">
        <v>0</v>
      </c>
      <c r="P14" s="1410">
        <v>0</v>
      </c>
      <c r="Q14" s="1409" t="str">
        <f>'Cap Table'!AF13</f>
        <v>Series C</v>
      </c>
      <c r="R14" s="1410">
        <v>0</v>
      </c>
      <c r="S14" s="1410">
        <v>0</v>
      </c>
      <c r="T14" s="1409" t="str">
        <f>'Cap Table'!AN13</f>
        <v>Series D</v>
      </c>
      <c r="U14" s="1410">
        <v>0</v>
      </c>
      <c r="V14" s="1410">
        <v>0</v>
      </c>
      <c r="W14" s="1409" t="str">
        <f>'Cap Table'!AV13</f>
        <v>Series E</v>
      </c>
      <c r="X14" s="1410">
        <v>0</v>
      </c>
      <c r="Y14" s="1410">
        <v>0</v>
      </c>
      <c r="Z14" s="1409" t="str">
        <f>'Cap Table'!BD13</f>
        <v>Series E-1</v>
      </c>
      <c r="AA14" s="1410">
        <v>0</v>
      </c>
      <c r="AB14" s="1410">
        <v>0</v>
      </c>
      <c r="AC14" s="1409" t="str">
        <f>'Cap Table'!BL13</f>
        <v>Series F</v>
      </c>
      <c r="AD14" s="1410">
        <v>0</v>
      </c>
      <c r="AE14" s="1410">
        <v>0</v>
      </c>
      <c r="AF14" s="1409" t="str">
        <f>'Cap Table'!BT13</f>
        <v>Series G</v>
      </c>
      <c r="AG14" s="1410">
        <v>0</v>
      </c>
      <c r="AH14" s="1410">
        <v>0</v>
      </c>
      <c r="AI14" s="180"/>
      <c r="AJ14" s="180"/>
      <c r="AK14" s="180"/>
      <c r="AN14" s="180"/>
      <c r="AO14" s="180"/>
      <c r="AQ14" s="180"/>
      <c r="AR14" s="180"/>
      <c r="BG14" s="180"/>
      <c r="BH14" s="180"/>
      <c r="BJ14" s="180"/>
      <c r="BK14" s="180"/>
      <c r="CA14" s="180"/>
      <c r="CB14" s="180"/>
      <c r="CD14" s="180"/>
      <c r="CE14" s="180"/>
    </row>
    <row r="15" spans="1:83" ht="15.75" customHeight="1" outlineLevel="1" x14ac:dyDescent="0.35">
      <c r="D15" s="714"/>
      <c r="E15" s="215"/>
      <c r="F15" s="215"/>
      <c r="G15" s="215"/>
      <c r="H15" s="1407" t="str">
        <f>'Cap Table'!H14</f>
        <v>[Date]</v>
      </c>
      <c r="I15" s="1407">
        <v>0</v>
      </c>
      <c r="J15" s="1407">
        <v>0</v>
      </c>
      <c r="K15" s="1406" t="str">
        <f>'Cap Table'!P14</f>
        <v>[Date]</v>
      </c>
      <c r="L15" s="1407">
        <v>0</v>
      </c>
      <c r="M15" s="1407">
        <v>0</v>
      </c>
      <c r="N15" s="1406" t="str">
        <f>'Cap Table'!X14</f>
        <v>[Date]</v>
      </c>
      <c r="O15" s="1407">
        <v>0</v>
      </c>
      <c r="P15" s="1407">
        <v>0</v>
      </c>
      <c r="Q15" s="1406" t="str">
        <f>'Cap Table'!AF14</f>
        <v>[Date]</v>
      </c>
      <c r="R15" s="1407">
        <v>0</v>
      </c>
      <c r="S15" s="1407">
        <v>0</v>
      </c>
      <c r="T15" s="1406" t="str">
        <f>'Cap Table'!AN14</f>
        <v>[Date]</v>
      </c>
      <c r="U15" s="1407">
        <v>0</v>
      </c>
      <c r="V15" s="1407">
        <v>0</v>
      </c>
      <c r="W15" s="1406" t="str">
        <f>'Cap Table'!AV14</f>
        <v>[Date]</v>
      </c>
      <c r="X15" s="1407">
        <v>0</v>
      </c>
      <c r="Y15" s="1407">
        <v>0</v>
      </c>
      <c r="Z15" s="1406" t="str">
        <f>'Cap Table'!BD14</f>
        <v>[Date]</v>
      </c>
      <c r="AA15" s="1407">
        <v>0</v>
      </c>
      <c r="AB15" s="1407">
        <v>0</v>
      </c>
      <c r="AC15" s="1406" t="str">
        <f>'Cap Table'!BL14</f>
        <v>[Date]</v>
      </c>
      <c r="AD15" s="1407">
        <v>0</v>
      </c>
      <c r="AE15" s="1407">
        <v>0</v>
      </c>
      <c r="AF15" s="1406" t="str">
        <f>'Cap Table'!BT14</f>
        <v>[Date]</v>
      </c>
      <c r="AG15" s="1407">
        <v>0</v>
      </c>
      <c r="AH15" s="1407">
        <v>0</v>
      </c>
      <c r="AJ15" s="181"/>
      <c r="AL15" s="215"/>
      <c r="AM15" s="215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L15" s="191"/>
      <c r="BM15" s="191"/>
      <c r="BN15" s="191"/>
      <c r="BO15" s="191"/>
      <c r="BP15" s="191"/>
      <c r="BQ15" s="191"/>
      <c r="BR15" s="191"/>
      <c r="BS15" s="191"/>
      <c r="BT15" s="191"/>
      <c r="BU15" s="191"/>
      <c r="BV15" s="191"/>
      <c r="BW15" s="191"/>
      <c r="BX15" s="191"/>
      <c r="BY15" s="191"/>
      <c r="BZ15" s="191"/>
    </row>
    <row r="16" spans="1:83" s="214" customFormat="1" ht="48" customHeight="1" outlineLevel="1" x14ac:dyDescent="0.35">
      <c r="A16" s="180"/>
      <c r="B16" s="180"/>
      <c r="C16" s="217"/>
      <c r="D16" s="711"/>
      <c r="E16" s="711" t="str">
        <f>'Cap Table'!E15</f>
        <v>Options</v>
      </c>
      <c r="F16" s="711" t="str">
        <f>'Cap Table'!F15</f>
        <v>Warrants</v>
      </c>
      <c r="G16" s="711" t="str">
        <f>'Cap Table'!G15</f>
        <v>Common Stock</v>
      </c>
      <c r="H16" s="267" t="str">
        <f>'Cap Table'!H15</f>
        <v>Seed Prfrd</v>
      </c>
      <c r="I16" s="711" t="str">
        <f>'Cap Table'!I15</f>
        <v>Seed Warrants</v>
      </c>
      <c r="J16" s="711" t="str">
        <f>'Cap Table'!J15</f>
        <v>Seed
$$ Invested</v>
      </c>
      <c r="K16" s="267" t="str">
        <f>'Cap Table'!P15</f>
        <v>Series A Prfrd</v>
      </c>
      <c r="L16" s="711" t="str">
        <f>'Cap Table'!Q15</f>
        <v>Series A Warrants</v>
      </c>
      <c r="M16" s="711" t="str">
        <f>'Cap Table'!R15</f>
        <v>Series A
$$ Invested</v>
      </c>
      <c r="N16" s="267" t="str">
        <f>'Cap Table'!X15</f>
        <v>Series B Prfrd</v>
      </c>
      <c r="O16" s="711" t="str">
        <f>'Cap Table'!Y15</f>
        <v>Series B Warrants</v>
      </c>
      <c r="P16" s="711" t="str">
        <f>'Cap Table'!Z15</f>
        <v>Series B
$$ Invested</v>
      </c>
      <c r="Q16" s="267" t="str">
        <f>'Cap Table'!AF15</f>
        <v>Series C Prfrd</v>
      </c>
      <c r="R16" s="711" t="str">
        <f>'Cap Table'!AG15</f>
        <v>Series C Warrants</v>
      </c>
      <c r="S16" s="711" t="str">
        <f>'Cap Table'!AH15</f>
        <v>Series C
$$ Invested</v>
      </c>
      <c r="T16" s="267" t="str">
        <f>'Cap Table'!AN15</f>
        <v>Series D Prfrd</v>
      </c>
      <c r="U16" s="711" t="str">
        <f>'Cap Table'!AO15</f>
        <v>Series D Warrants</v>
      </c>
      <c r="V16" s="711" t="str">
        <f>'Cap Table'!AP15</f>
        <v>Series D
$$ Invested</v>
      </c>
      <c r="W16" s="267" t="str">
        <f>'Cap Table'!AV15</f>
        <v>Series E Prfrd</v>
      </c>
      <c r="X16" s="711" t="str">
        <f>'Cap Table'!AW15</f>
        <v>Series E Warrants</v>
      </c>
      <c r="Y16" s="711" t="str">
        <f>'Cap Table'!AX15</f>
        <v>Series E
$$ Invested</v>
      </c>
      <c r="Z16" s="267" t="str">
        <f>'Cap Table'!BD15</f>
        <v>Series E-1 Prfrd</v>
      </c>
      <c r="AA16" s="711" t="str">
        <f>'Cap Table'!BE15</f>
        <v>Series E-1 Warrants</v>
      </c>
      <c r="AB16" s="711" t="str">
        <f>'Cap Table'!BF15</f>
        <v>Series E-1
$$ Invested</v>
      </c>
      <c r="AC16" s="267" t="str">
        <f>'Cap Table'!BL15</f>
        <v>Series F Prfrd</v>
      </c>
      <c r="AD16" s="711" t="str">
        <f>'Cap Table'!BM15</f>
        <v>Series F Warrants</v>
      </c>
      <c r="AE16" s="711" t="str">
        <f>'Cap Table'!BN15</f>
        <v>Series F
$$ Invested</v>
      </c>
      <c r="AF16" s="711" t="str">
        <f>'Cap Table'!BT15</f>
        <v>Series G Prfrd</v>
      </c>
      <c r="AG16" s="711" t="str">
        <f>'Cap Table'!BU15</f>
        <v>Series G Warrants</v>
      </c>
      <c r="AH16" s="711" t="str">
        <f>'Cap Table'!BV15</f>
        <v>Series G
$$ Invested</v>
      </c>
      <c r="AI16" s="180"/>
      <c r="AJ16" s="711" t="str">
        <f>'Cap Table'!CC15</f>
        <v>TOTAL $$ INVESTED</v>
      </c>
      <c r="AK16" s="180"/>
      <c r="AL16" s="711" t="str">
        <f>'Cap Table'!BZ15</f>
        <v>% Total Prfrd</v>
      </c>
      <c r="AM16" s="711" t="str">
        <f>'Cap Table'!CA15</f>
        <v>% Fully Diluted</v>
      </c>
      <c r="AN16" s="180"/>
      <c r="AO16" s="180"/>
      <c r="AQ16" s="180"/>
      <c r="AR16" s="180"/>
      <c r="BG16" s="180"/>
      <c r="BH16" s="180"/>
      <c r="BJ16" s="180"/>
      <c r="BK16" s="180"/>
      <c r="CA16" s="180"/>
      <c r="CB16" s="180"/>
      <c r="CD16" s="180"/>
      <c r="CE16" s="180"/>
    </row>
    <row r="17" spans="1:83" s="226" customFormat="1" ht="15.75" hidden="1" customHeight="1" outlineLevel="2" x14ac:dyDescent="0.35">
      <c r="A17" s="180"/>
      <c r="B17" s="180"/>
      <c r="D17" s="219" t="str">
        <f>'Cap Table'!D16</f>
        <v>Issue Price</v>
      </c>
      <c r="E17" s="191"/>
      <c r="F17" s="191"/>
      <c r="G17" s="191"/>
      <c r="H17" s="274" t="e">
        <f>'Cap Table'!H16</f>
        <v>#DIV/0!</v>
      </c>
      <c r="I17" s="274" t="e">
        <f>'Cap Table'!I16</f>
        <v>#DIV/0!</v>
      </c>
      <c r="J17" s="274" t="e">
        <f>H17</f>
        <v>#DIV/0!</v>
      </c>
      <c r="K17" s="274">
        <f>'Cap Table'!P16</f>
        <v>0</v>
      </c>
      <c r="L17" s="274">
        <f>'Cap Table'!Q16</f>
        <v>0</v>
      </c>
      <c r="M17" s="274">
        <f>K17</f>
        <v>0</v>
      </c>
      <c r="N17" s="274">
        <f>'Cap Table'!X16</f>
        <v>0</v>
      </c>
      <c r="O17" s="274">
        <f>'Cap Table'!Y16</f>
        <v>0</v>
      </c>
      <c r="P17" s="274">
        <f>N17</f>
        <v>0</v>
      </c>
      <c r="Q17" s="274">
        <f>'Cap Table'!AF16</f>
        <v>0</v>
      </c>
      <c r="R17" s="274">
        <f>'Cap Table'!AG16</f>
        <v>0</v>
      </c>
      <c r="S17" s="274">
        <f>Q17</f>
        <v>0</v>
      </c>
      <c r="T17" s="274">
        <f>'Cap Table'!AN16</f>
        <v>0</v>
      </c>
      <c r="U17" s="274">
        <f>'Cap Table'!AO16</f>
        <v>0</v>
      </c>
      <c r="V17" s="274">
        <f>T17</f>
        <v>0</v>
      </c>
      <c r="W17" s="274">
        <f>'Cap Table'!AV16</f>
        <v>0</v>
      </c>
      <c r="X17" s="274">
        <f>'Cap Table'!AW16</f>
        <v>0</v>
      </c>
      <c r="Y17" s="274">
        <f>W17</f>
        <v>0</v>
      </c>
      <c r="Z17" s="274">
        <f>'Cap Table'!BD16</f>
        <v>0</v>
      </c>
      <c r="AA17" s="274">
        <f>'Cap Table'!BE16</f>
        <v>0</v>
      </c>
      <c r="AB17" s="274">
        <f>Z17</f>
        <v>0</v>
      </c>
      <c r="AC17" s="274">
        <f>'Cap Table'!BL16</f>
        <v>0</v>
      </c>
      <c r="AD17" s="274">
        <f>'Cap Table'!BM16</f>
        <v>0</v>
      </c>
      <c r="AE17" s="274">
        <f>AC17</f>
        <v>0</v>
      </c>
      <c r="AF17" s="274">
        <f>'Cap Table'!BT16</f>
        <v>0</v>
      </c>
      <c r="AG17" s="274">
        <f>'Cap Table'!BU16</f>
        <v>0</v>
      </c>
      <c r="AH17" s="274">
        <f>AF17</f>
        <v>0</v>
      </c>
      <c r="AI17" s="180"/>
      <c r="AJ17" s="278"/>
      <c r="AK17" s="180"/>
      <c r="AL17" s="715">
        <f>'Cap Table'!BZ16</f>
        <v>0</v>
      </c>
      <c r="AM17" s="277">
        <f>'Cap Table'!CA16</f>
        <v>0</v>
      </c>
      <c r="AN17" s="180"/>
      <c r="AO17" s="180"/>
      <c r="AQ17" s="180"/>
      <c r="AR17" s="180"/>
      <c r="BG17" s="180"/>
      <c r="BH17" s="180"/>
      <c r="BJ17" s="180"/>
      <c r="BK17" s="180"/>
      <c r="CA17" s="180"/>
      <c r="CB17" s="180"/>
      <c r="CD17" s="180"/>
      <c r="CE17" s="180"/>
    </row>
    <row r="18" spans="1:83" s="226" customFormat="1" ht="15.75" hidden="1" customHeight="1" outlineLevel="2" x14ac:dyDescent="0.35">
      <c r="A18" s="180"/>
      <c r="B18" s="180"/>
      <c r="C18" s="716" t="s">
        <v>530</v>
      </c>
      <c r="D18" s="219" t="str">
        <f>'Cap Table'!D17</f>
        <v>Liquidation Preference Multiple</v>
      </c>
      <c r="E18" s="191"/>
      <c r="F18" s="191"/>
      <c r="G18" s="191"/>
      <c r="H18" s="279">
        <f>'Cap Table'!H17</f>
        <v>1</v>
      </c>
      <c r="I18" s="275">
        <f>'Cap Table'!I17</f>
        <v>0</v>
      </c>
      <c r="J18" s="279">
        <f>H18</f>
        <v>1</v>
      </c>
      <c r="K18" s="279">
        <f>'Cap Table'!P17</f>
        <v>1</v>
      </c>
      <c r="L18" s="275">
        <f>'Cap Table'!Q17</f>
        <v>0</v>
      </c>
      <c r="M18" s="279">
        <f>K18</f>
        <v>1</v>
      </c>
      <c r="N18" s="279">
        <f>'Cap Table'!X17</f>
        <v>1</v>
      </c>
      <c r="O18" s="275">
        <f>'Cap Table'!Y17</f>
        <v>0</v>
      </c>
      <c r="P18" s="279">
        <f>N18</f>
        <v>1</v>
      </c>
      <c r="Q18" s="279">
        <f>'Cap Table'!AF17</f>
        <v>1</v>
      </c>
      <c r="R18" s="275">
        <f>'Cap Table'!AG17</f>
        <v>0</v>
      </c>
      <c r="S18" s="279">
        <f>Q18</f>
        <v>1</v>
      </c>
      <c r="T18" s="279">
        <f>'Cap Table'!AN17</f>
        <v>1</v>
      </c>
      <c r="U18" s="275">
        <f>'Cap Table'!AO17</f>
        <v>0</v>
      </c>
      <c r="V18" s="279">
        <f>T18</f>
        <v>1</v>
      </c>
      <c r="W18" s="279">
        <f>'Cap Table'!AV17</f>
        <v>1</v>
      </c>
      <c r="X18" s="275">
        <f>'Cap Table'!AW17</f>
        <v>0</v>
      </c>
      <c r="Y18" s="279">
        <f>W18</f>
        <v>1</v>
      </c>
      <c r="Z18" s="279">
        <f>'Cap Table'!BD17</f>
        <v>1</v>
      </c>
      <c r="AA18" s="275">
        <f>'Cap Table'!BE17</f>
        <v>0</v>
      </c>
      <c r="AB18" s="279">
        <f>Z18</f>
        <v>1</v>
      </c>
      <c r="AC18" s="279">
        <f>'Cap Table'!BL17</f>
        <v>1</v>
      </c>
      <c r="AD18" s="275">
        <f>'Cap Table'!BM17</f>
        <v>0</v>
      </c>
      <c r="AE18" s="279">
        <f>AC18</f>
        <v>1</v>
      </c>
      <c r="AF18" s="279">
        <f>'Cap Table'!BT17</f>
        <v>1</v>
      </c>
      <c r="AG18" s="275">
        <f>'Cap Table'!BU17</f>
        <v>0</v>
      </c>
      <c r="AH18" s="279">
        <f>AF18</f>
        <v>1</v>
      </c>
      <c r="AI18" s="180"/>
      <c r="AJ18" s="281"/>
      <c r="AK18" s="180"/>
      <c r="AL18" s="715">
        <f>'Cap Table'!BZ17</f>
        <v>0</v>
      </c>
      <c r="AM18" s="280">
        <f>'Cap Table'!CA17</f>
        <v>0</v>
      </c>
      <c r="AN18" s="180"/>
      <c r="AO18" s="180"/>
      <c r="AQ18" s="180"/>
      <c r="AR18" s="180"/>
      <c r="BG18" s="180"/>
      <c r="BH18" s="180"/>
      <c r="BJ18" s="180"/>
      <c r="BK18" s="180"/>
      <c r="CA18" s="180"/>
      <c r="CB18" s="180"/>
      <c r="CD18" s="180"/>
      <c r="CE18" s="180"/>
    </row>
    <row r="19" spans="1:83" s="181" customFormat="1" hidden="1" outlineLevel="2" x14ac:dyDescent="0.35">
      <c r="A19" s="180"/>
      <c r="B19" s="180"/>
      <c r="C19" s="179"/>
      <c r="D19" s="219" t="str">
        <f>'Cap Table'!D18</f>
        <v>Seniority Rank</v>
      </c>
      <c r="E19" s="282"/>
      <c r="F19" s="282"/>
      <c r="G19" s="282"/>
      <c r="H19" s="283">
        <f>'Cap Table'!H18</f>
        <v>3</v>
      </c>
      <c r="I19" s="284">
        <f>'Cap Table'!I18</f>
        <v>0</v>
      </c>
      <c r="J19" s="283">
        <f>H19</f>
        <v>3</v>
      </c>
      <c r="K19" s="283">
        <f>'Cap Table'!P18</f>
        <v>3</v>
      </c>
      <c r="L19" s="284">
        <f>'Cap Table'!Q18</f>
        <v>0</v>
      </c>
      <c r="M19" s="283">
        <f>K19</f>
        <v>3</v>
      </c>
      <c r="N19" s="283">
        <f>'Cap Table'!X18</f>
        <v>3</v>
      </c>
      <c r="O19" s="284">
        <f>'Cap Table'!Y18</f>
        <v>0</v>
      </c>
      <c r="P19" s="283">
        <f>N19</f>
        <v>3</v>
      </c>
      <c r="Q19" s="283">
        <f>'Cap Table'!AF18</f>
        <v>3</v>
      </c>
      <c r="R19" s="284">
        <f>'Cap Table'!AG18</f>
        <v>0</v>
      </c>
      <c r="S19" s="283">
        <f>Q19</f>
        <v>3</v>
      </c>
      <c r="T19" s="283">
        <f>'Cap Table'!AN18</f>
        <v>3</v>
      </c>
      <c r="U19" s="284">
        <f>'Cap Table'!AO18</f>
        <v>0</v>
      </c>
      <c r="V19" s="283">
        <f>T19</f>
        <v>3</v>
      </c>
      <c r="W19" s="283">
        <f>'Cap Table'!AV18</f>
        <v>3</v>
      </c>
      <c r="X19" s="284">
        <f>'Cap Table'!AW18</f>
        <v>0</v>
      </c>
      <c r="Y19" s="283">
        <f>W19</f>
        <v>3</v>
      </c>
      <c r="Z19" s="283">
        <f>'Cap Table'!BD18</f>
        <v>3</v>
      </c>
      <c r="AA19" s="284">
        <f>'Cap Table'!BE18</f>
        <v>0</v>
      </c>
      <c r="AB19" s="283">
        <f>Z19</f>
        <v>3</v>
      </c>
      <c r="AC19" s="283">
        <f>'Cap Table'!BL18</f>
        <v>3</v>
      </c>
      <c r="AD19" s="284">
        <f>'Cap Table'!BM18</f>
        <v>0</v>
      </c>
      <c r="AE19" s="283">
        <f>AC19</f>
        <v>3</v>
      </c>
      <c r="AF19" s="283">
        <f>'Cap Table'!BT18</f>
        <v>3</v>
      </c>
      <c r="AG19" s="284">
        <f>'Cap Table'!BU18</f>
        <v>0</v>
      </c>
      <c r="AH19" s="283">
        <f>AF19</f>
        <v>3</v>
      </c>
      <c r="AI19" s="180"/>
      <c r="AJ19" s="286"/>
      <c r="AK19" s="180"/>
      <c r="AL19" s="717">
        <f>'Cap Table'!BZ18</f>
        <v>0</v>
      </c>
      <c r="AM19" s="285">
        <f>'Cap Table'!CA18</f>
        <v>0</v>
      </c>
      <c r="AN19" s="180"/>
      <c r="AO19" s="180"/>
      <c r="AQ19" s="180"/>
      <c r="AR19" s="180"/>
      <c r="BG19" s="180"/>
      <c r="BH19" s="180"/>
      <c r="BJ19" s="180"/>
      <c r="BK19" s="180"/>
      <c r="CA19" s="180"/>
      <c r="CB19" s="180"/>
      <c r="CD19" s="180"/>
      <c r="CE19" s="180"/>
    </row>
    <row r="20" spans="1:83" ht="8.15" hidden="1" customHeight="1" outlineLevel="2" x14ac:dyDescent="0.35">
      <c r="A20" s="180"/>
      <c r="B20" s="180"/>
      <c r="D20" s="180"/>
      <c r="E20" s="180"/>
      <c r="F20" s="180"/>
      <c r="G20" s="235"/>
      <c r="H20" s="180"/>
      <c r="I20" s="180"/>
      <c r="J20" s="181"/>
      <c r="K20" s="180"/>
      <c r="L20" s="180"/>
      <c r="M20" s="181"/>
      <c r="N20" s="180"/>
      <c r="O20" s="180"/>
      <c r="P20" s="181"/>
      <c r="Q20" s="180"/>
      <c r="R20" s="180"/>
      <c r="S20" s="181"/>
      <c r="T20" s="180"/>
      <c r="U20" s="180"/>
      <c r="V20" s="181"/>
      <c r="W20" s="180"/>
      <c r="X20" s="180"/>
      <c r="Y20" s="181"/>
      <c r="Z20" s="180"/>
      <c r="AA20" s="180"/>
      <c r="AB20" s="181"/>
      <c r="AC20" s="180"/>
      <c r="AD20" s="180"/>
      <c r="AE20" s="181"/>
      <c r="AF20" s="180"/>
      <c r="AG20" s="180"/>
      <c r="AH20" s="181"/>
      <c r="AI20" s="180"/>
      <c r="AJ20" s="181"/>
      <c r="AK20" s="180"/>
      <c r="AL20" s="180"/>
      <c r="AM20" s="235"/>
      <c r="AN20" s="180"/>
      <c r="AQ20" s="180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80"/>
      <c r="BJ20" s="180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80"/>
      <c r="CD20" s="180"/>
    </row>
    <row r="21" spans="1:83" ht="15.75" customHeight="1" outlineLevel="1" collapsed="1" x14ac:dyDescent="0.35">
      <c r="A21" s="180"/>
      <c r="B21" s="180"/>
      <c r="D21" s="718" t="str">
        <f>'Cap Table'!D20</f>
        <v>Dell Technologies Capital</v>
      </c>
      <c r="E21" s="719">
        <f>'Cap Table'!E20</f>
        <v>0</v>
      </c>
      <c r="F21" s="719">
        <f>'Cap Table'!F20</f>
        <v>0</v>
      </c>
      <c r="G21" s="719">
        <f>'Cap Table'!G20</f>
        <v>0</v>
      </c>
      <c r="H21" s="720">
        <f>'Cap Table'!H20</f>
        <v>0</v>
      </c>
      <c r="I21" s="721">
        <f>'Cap Table'!I20</f>
        <v>0</v>
      </c>
      <c r="J21" s="722" t="e">
        <f>'Cap Table'!J20</f>
        <v>#DIV/0!</v>
      </c>
      <c r="K21" s="720">
        <f>'Cap Table'!P20</f>
        <v>0</v>
      </c>
      <c r="L21" s="721">
        <f>'Cap Table'!Q20</f>
        <v>0</v>
      </c>
      <c r="M21" s="722">
        <f>'Cap Table'!R20</f>
        <v>0</v>
      </c>
      <c r="N21" s="720">
        <f>'Cap Table'!X20</f>
        <v>0</v>
      </c>
      <c r="O21" s="721">
        <f>'Cap Table'!Y20</f>
        <v>0</v>
      </c>
      <c r="P21" s="722">
        <f>'Cap Table'!Z20</f>
        <v>0</v>
      </c>
      <c r="Q21" s="720">
        <f>'Cap Table'!AF20</f>
        <v>0</v>
      </c>
      <c r="R21" s="721">
        <f>'Cap Table'!AG20</f>
        <v>0</v>
      </c>
      <c r="S21" s="722">
        <f>'Cap Table'!AH20</f>
        <v>0</v>
      </c>
      <c r="T21" s="720">
        <f>'Cap Table'!AN20</f>
        <v>0</v>
      </c>
      <c r="U21" s="721">
        <f>'Cap Table'!AO20</f>
        <v>0</v>
      </c>
      <c r="V21" s="722">
        <f>'Cap Table'!AP20</f>
        <v>0</v>
      </c>
      <c r="W21" s="720">
        <f>'Cap Table'!AV20</f>
        <v>0</v>
      </c>
      <c r="X21" s="721">
        <f>'Cap Table'!AW20</f>
        <v>0</v>
      </c>
      <c r="Y21" s="722">
        <f>'Cap Table'!AX20</f>
        <v>0</v>
      </c>
      <c r="Z21" s="720">
        <f>'Cap Table'!BD20</f>
        <v>0</v>
      </c>
      <c r="AA21" s="721">
        <f>'Cap Table'!BE20</f>
        <v>0</v>
      </c>
      <c r="AB21" s="722">
        <f>'Cap Table'!BF20</f>
        <v>0</v>
      </c>
      <c r="AC21" s="720">
        <f>'Cap Table'!BL20</f>
        <v>0</v>
      </c>
      <c r="AD21" s="721">
        <f>'Cap Table'!BM20</f>
        <v>0</v>
      </c>
      <c r="AE21" s="722">
        <f>'Cap Table'!BN20</f>
        <v>0</v>
      </c>
      <c r="AF21" s="720">
        <f>'Cap Table'!BT20</f>
        <v>0</v>
      </c>
      <c r="AG21" s="721">
        <f>'Cap Table'!BU20</f>
        <v>0</v>
      </c>
      <c r="AH21" s="722">
        <f>'Cap Table'!BV20</f>
        <v>0</v>
      </c>
      <c r="AI21" s="180"/>
      <c r="AJ21" s="722" t="e">
        <f>'Cap Table'!CC20</f>
        <v>#DIV/0!</v>
      </c>
      <c r="AK21" s="180"/>
      <c r="AL21" s="723" t="e">
        <f>'Cap Table'!BZ20</f>
        <v>#DIV/0!</v>
      </c>
      <c r="AM21" s="723" t="e">
        <f>'Cap Table'!CA20</f>
        <v>#DIV/0!</v>
      </c>
      <c r="AN21" s="180"/>
      <c r="AO21" s="180"/>
      <c r="AQ21" s="180"/>
      <c r="AR21" s="180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80"/>
      <c r="BH21" s="180"/>
      <c r="BJ21" s="180"/>
      <c r="BK21" s="180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80"/>
      <c r="CB21" s="180"/>
      <c r="CD21" s="180"/>
      <c r="CE21" s="180"/>
    </row>
    <row r="22" spans="1:83" ht="15.75" customHeight="1" outlineLevel="1" x14ac:dyDescent="0.35">
      <c r="A22" s="180"/>
      <c r="B22" s="180"/>
      <c r="D22" s="272" t="str">
        <f>'Cap Table'!D21</f>
        <v>Investor 1</v>
      </c>
      <c r="E22" s="272">
        <f>'Cap Table'!E21</f>
        <v>0</v>
      </c>
      <c r="F22" s="272">
        <f>'Cap Table'!F21</f>
        <v>0</v>
      </c>
      <c r="G22" s="272">
        <f>'Cap Table'!G21</f>
        <v>0</v>
      </c>
      <c r="H22" s="272">
        <f>'Cap Table'!H21</f>
        <v>0</v>
      </c>
      <c r="I22" s="272">
        <f>'Cap Table'!I21</f>
        <v>0</v>
      </c>
      <c r="J22" s="272" t="e">
        <f>'Cap Table'!J21</f>
        <v>#DIV/0!</v>
      </c>
      <c r="K22" s="272">
        <f>'Cap Table'!P21</f>
        <v>0</v>
      </c>
      <c r="L22" s="272">
        <f>'Cap Table'!Q21</f>
        <v>0</v>
      </c>
      <c r="M22" s="272">
        <f>'Cap Table'!R21</f>
        <v>0</v>
      </c>
      <c r="N22" s="272">
        <f>'Cap Table'!X21</f>
        <v>0</v>
      </c>
      <c r="O22" s="272">
        <f>'Cap Table'!Y21</f>
        <v>0</v>
      </c>
      <c r="P22" s="272">
        <f>'Cap Table'!Z21</f>
        <v>0</v>
      </c>
      <c r="Q22" s="272">
        <f>'Cap Table'!AF21</f>
        <v>0</v>
      </c>
      <c r="R22" s="272">
        <f>'Cap Table'!AG21</f>
        <v>0</v>
      </c>
      <c r="S22" s="272">
        <f>'Cap Table'!AH21</f>
        <v>0</v>
      </c>
      <c r="T22" s="272">
        <f>'Cap Table'!AN21</f>
        <v>0</v>
      </c>
      <c r="U22" s="272">
        <f>'Cap Table'!AO21</f>
        <v>0</v>
      </c>
      <c r="V22" s="272">
        <f>'Cap Table'!AP21</f>
        <v>0</v>
      </c>
      <c r="W22" s="272">
        <f>'Cap Table'!AV21</f>
        <v>0</v>
      </c>
      <c r="X22" s="272">
        <f>'Cap Table'!AW21</f>
        <v>0</v>
      </c>
      <c r="Y22" s="272">
        <f>'Cap Table'!AX21</f>
        <v>0</v>
      </c>
      <c r="Z22" s="272">
        <f>'Cap Table'!BD21</f>
        <v>0</v>
      </c>
      <c r="AA22" s="272">
        <f>'Cap Table'!BE21</f>
        <v>0</v>
      </c>
      <c r="AB22" s="272">
        <f>'Cap Table'!BF21</f>
        <v>0</v>
      </c>
      <c r="AC22" s="272">
        <f>'Cap Table'!BL21</f>
        <v>0</v>
      </c>
      <c r="AD22" s="272">
        <f>'Cap Table'!BM21</f>
        <v>0</v>
      </c>
      <c r="AE22" s="272">
        <f>'Cap Table'!BN21</f>
        <v>0</v>
      </c>
      <c r="AF22" s="272">
        <f>'Cap Table'!BT21</f>
        <v>0</v>
      </c>
      <c r="AG22" s="272">
        <f>'Cap Table'!BU21</f>
        <v>0</v>
      </c>
      <c r="AH22" s="272">
        <f>'Cap Table'!BV21</f>
        <v>0</v>
      </c>
      <c r="AI22" s="180"/>
      <c r="AJ22" s="272" t="e">
        <f>'Cap Table'!CC21</f>
        <v>#DIV/0!</v>
      </c>
      <c r="AK22" s="180"/>
      <c r="AL22" s="288" t="e">
        <f>'Cap Table'!BZ21</f>
        <v>#DIV/0!</v>
      </c>
      <c r="AM22" s="288" t="e">
        <f>'Cap Table'!CA21</f>
        <v>#DIV/0!</v>
      </c>
      <c r="AN22" s="242"/>
      <c r="AO22" s="242"/>
      <c r="AQ22" s="242"/>
      <c r="AR22" s="242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242"/>
      <c r="BH22" s="242"/>
      <c r="BJ22" s="242"/>
      <c r="BK22" s="242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/>
      <c r="BX22" s="191"/>
      <c r="BY22" s="191"/>
      <c r="BZ22" s="191"/>
      <c r="CA22" s="242"/>
      <c r="CB22" s="242"/>
      <c r="CD22" s="242"/>
      <c r="CE22" s="242"/>
    </row>
    <row r="23" spans="1:83" ht="15.75" customHeight="1" outlineLevel="1" x14ac:dyDescent="0.35">
      <c r="A23" s="180"/>
      <c r="B23" s="180"/>
      <c r="D23" s="272" t="str">
        <f>'Cap Table'!D22</f>
        <v>Investor 2</v>
      </c>
      <c r="E23" s="272">
        <f>'Cap Table'!E22</f>
        <v>0</v>
      </c>
      <c r="F23" s="272">
        <f>'Cap Table'!F22</f>
        <v>0</v>
      </c>
      <c r="G23" s="272">
        <f>'Cap Table'!G22</f>
        <v>0</v>
      </c>
      <c r="H23" s="272">
        <f>'Cap Table'!H22</f>
        <v>0</v>
      </c>
      <c r="I23" s="272">
        <f>'Cap Table'!I22</f>
        <v>0</v>
      </c>
      <c r="J23" s="272" t="e">
        <f>'Cap Table'!J22</f>
        <v>#DIV/0!</v>
      </c>
      <c r="K23" s="272">
        <f>'Cap Table'!P22</f>
        <v>0</v>
      </c>
      <c r="L23" s="272">
        <f>'Cap Table'!Q22</f>
        <v>0</v>
      </c>
      <c r="M23" s="272">
        <f>'Cap Table'!R22</f>
        <v>0</v>
      </c>
      <c r="N23" s="272">
        <f>'Cap Table'!X22</f>
        <v>0</v>
      </c>
      <c r="O23" s="272">
        <f>'Cap Table'!Y22</f>
        <v>0</v>
      </c>
      <c r="P23" s="272">
        <f>'Cap Table'!Z22</f>
        <v>0</v>
      </c>
      <c r="Q23" s="272">
        <f>'Cap Table'!AF22</f>
        <v>0</v>
      </c>
      <c r="R23" s="272">
        <f>'Cap Table'!AG22</f>
        <v>0</v>
      </c>
      <c r="S23" s="272">
        <f>'Cap Table'!AH22</f>
        <v>0</v>
      </c>
      <c r="T23" s="272">
        <f>'Cap Table'!AN22</f>
        <v>0</v>
      </c>
      <c r="U23" s="272">
        <f>'Cap Table'!AO22</f>
        <v>0</v>
      </c>
      <c r="V23" s="272">
        <f>'Cap Table'!AP22</f>
        <v>0</v>
      </c>
      <c r="W23" s="272">
        <f>'Cap Table'!AV22</f>
        <v>0</v>
      </c>
      <c r="X23" s="272">
        <f>'Cap Table'!AW22</f>
        <v>0</v>
      </c>
      <c r="Y23" s="272">
        <f>'Cap Table'!AX22</f>
        <v>0</v>
      </c>
      <c r="Z23" s="272">
        <f>'Cap Table'!BD22</f>
        <v>0</v>
      </c>
      <c r="AA23" s="272">
        <f>'Cap Table'!BE22</f>
        <v>0</v>
      </c>
      <c r="AB23" s="272">
        <f>'Cap Table'!BF22</f>
        <v>0</v>
      </c>
      <c r="AC23" s="272">
        <f>'Cap Table'!BL22</f>
        <v>0</v>
      </c>
      <c r="AD23" s="272">
        <f>'Cap Table'!BM22</f>
        <v>0</v>
      </c>
      <c r="AE23" s="272">
        <f>'Cap Table'!BN22</f>
        <v>0</v>
      </c>
      <c r="AF23" s="272">
        <f>'Cap Table'!BT22</f>
        <v>0</v>
      </c>
      <c r="AG23" s="272">
        <f>'Cap Table'!BU22</f>
        <v>0</v>
      </c>
      <c r="AH23" s="272">
        <f>'Cap Table'!BV22</f>
        <v>0</v>
      </c>
      <c r="AI23" s="242"/>
      <c r="AJ23" s="272" t="e">
        <f>'Cap Table'!CC22</f>
        <v>#DIV/0!</v>
      </c>
      <c r="AK23" s="242"/>
      <c r="AL23" s="288" t="e">
        <f>'Cap Table'!BZ22</f>
        <v>#DIV/0!</v>
      </c>
      <c r="AM23" s="288" t="e">
        <f>'Cap Table'!CA22</f>
        <v>#DIV/0!</v>
      </c>
      <c r="AN23" s="180"/>
      <c r="AO23" s="180"/>
      <c r="AQ23" s="180"/>
      <c r="AR23" s="180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80"/>
      <c r="BH23" s="180"/>
      <c r="BJ23" s="180"/>
      <c r="BK23" s="180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80"/>
      <c r="CB23" s="180"/>
      <c r="CD23" s="180"/>
      <c r="CE23" s="180"/>
    </row>
    <row r="24" spans="1:83" ht="15.75" customHeight="1" outlineLevel="1" x14ac:dyDescent="0.35">
      <c r="A24" s="180"/>
      <c r="B24" s="180"/>
      <c r="D24" s="272" t="str">
        <f>'Cap Table'!D23</f>
        <v>Investor 3</v>
      </c>
      <c r="E24" s="272">
        <f>'Cap Table'!E23</f>
        <v>0</v>
      </c>
      <c r="F24" s="272">
        <f>'Cap Table'!F23</f>
        <v>0</v>
      </c>
      <c r="G24" s="272">
        <f>'Cap Table'!G23</f>
        <v>0</v>
      </c>
      <c r="H24" s="272">
        <f>'Cap Table'!H23</f>
        <v>0</v>
      </c>
      <c r="I24" s="272">
        <f>'Cap Table'!I23</f>
        <v>0</v>
      </c>
      <c r="J24" s="272" t="e">
        <f>'Cap Table'!J23</f>
        <v>#DIV/0!</v>
      </c>
      <c r="K24" s="272">
        <f>'Cap Table'!P23</f>
        <v>0</v>
      </c>
      <c r="L24" s="272">
        <f>'Cap Table'!Q23</f>
        <v>0</v>
      </c>
      <c r="M24" s="272">
        <f>'Cap Table'!R23</f>
        <v>0</v>
      </c>
      <c r="N24" s="272">
        <f>'Cap Table'!X23</f>
        <v>0</v>
      </c>
      <c r="O24" s="272">
        <f>'Cap Table'!Y23</f>
        <v>0</v>
      </c>
      <c r="P24" s="272">
        <f>'Cap Table'!Z23</f>
        <v>0</v>
      </c>
      <c r="Q24" s="272">
        <f>'Cap Table'!AF23</f>
        <v>0</v>
      </c>
      <c r="R24" s="272">
        <f>'Cap Table'!AG23</f>
        <v>0</v>
      </c>
      <c r="S24" s="272">
        <f>'Cap Table'!AH23</f>
        <v>0</v>
      </c>
      <c r="T24" s="272">
        <f>'Cap Table'!AN23</f>
        <v>0</v>
      </c>
      <c r="U24" s="272">
        <f>'Cap Table'!AO23</f>
        <v>0</v>
      </c>
      <c r="V24" s="272">
        <f>'Cap Table'!AP23</f>
        <v>0</v>
      </c>
      <c r="W24" s="272">
        <f>'Cap Table'!AV23</f>
        <v>0</v>
      </c>
      <c r="X24" s="272">
        <f>'Cap Table'!AW23</f>
        <v>0</v>
      </c>
      <c r="Y24" s="272">
        <f>'Cap Table'!AX23</f>
        <v>0</v>
      </c>
      <c r="Z24" s="272">
        <f>'Cap Table'!BD23</f>
        <v>0</v>
      </c>
      <c r="AA24" s="272">
        <f>'Cap Table'!BE23</f>
        <v>0</v>
      </c>
      <c r="AB24" s="272">
        <f>'Cap Table'!BF23</f>
        <v>0</v>
      </c>
      <c r="AC24" s="272">
        <f>'Cap Table'!BL23</f>
        <v>0</v>
      </c>
      <c r="AD24" s="272">
        <f>'Cap Table'!BM23</f>
        <v>0</v>
      </c>
      <c r="AE24" s="272">
        <f>'Cap Table'!BN23</f>
        <v>0</v>
      </c>
      <c r="AF24" s="272">
        <f>'Cap Table'!BT23</f>
        <v>0</v>
      </c>
      <c r="AG24" s="272">
        <f>'Cap Table'!BU23</f>
        <v>0</v>
      </c>
      <c r="AH24" s="272">
        <f>'Cap Table'!BV23</f>
        <v>0</v>
      </c>
      <c r="AI24" s="180"/>
      <c r="AJ24" s="272" t="e">
        <f>'Cap Table'!CC23</f>
        <v>#DIV/0!</v>
      </c>
      <c r="AK24" s="180"/>
      <c r="AL24" s="288" t="e">
        <f>'Cap Table'!BZ23</f>
        <v>#DIV/0!</v>
      </c>
      <c r="AM24" s="288" t="e">
        <f>'Cap Table'!CA23</f>
        <v>#DIV/0!</v>
      </c>
      <c r="AN24" s="180"/>
      <c r="AO24" s="180"/>
      <c r="AQ24" s="180"/>
      <c r="AR24" s="180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80"/>
      <c r="BH24" s="180"/>
      <c r="BJ24" s="180"/>
      <c r="BK24" s="180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80"/>
      <c r="CB24" s="180"/>
      <c r="CD24" s="180"/>
      <c r="CE24" s="180"/>
    </row>
    <row r="25" spans="1:83" ht="15.75" customHeight="1" outlineLevel="1" x14ac:dyDescent="0.35">
      <c r="A25" s="180"/>
      <c r="B25" s="180"/>
      <c r="D25" s="272" t="str">
        <f>'Cap Table'!D24</f>
        <v>Investor 4</v>
      </c>
      <c r="E25" s="272">
        <f>'Cap Table'!E24</f>
        <v>0</v>
      </c>
      <c r="F25" s="272">
        <f>'Cap Table'!F24</f>
        <v>0</v>
      </c>
      <c r="G25" s="272">
        <f>'Cap Table'!G24</f>
        <v>0</v>
      </c>
      <c r="H25" s="272">
        <f>'Cap Table'!H24</f>
        <v>0</v>
      </c>
      <c r="I25" s="272">
        <f>'Cap Table'!I24</f>
        <v>0</v>
      </c>
      <c r="J25" s="272" t="e">
        <f>'Cap Table'!J24</f>
        <v>#DIV/0!</v>
      </c>
      <c r="K25" s="272">
        <f>'Cap Table'!P24</f>
        <v>0</v>
      </c>
      <c r="L25" s="272">
        <f>'Cap Table'!Q24</f>
        <v>0</v>
      </c>
      <c r="M25" s="272">
        <f>'Cap Table'!R24</f>
        <v>0</v>
      </c>
      <c r="N25" s="272">
        <f>'Cap Table'!X24</f>
        <v>0</v>
      </c>
      <c r="O25" s="272">
        <f>'Cap Table'!Y24</f>
        <v>0</v>
      </c>
      <c r="P25" s="272">
        <f>'Cap Table'!Z24</f>
        <v>0</v>
      </c>
      <c r="Q25" s="272">
        <f>'Cap Table'!AF24</f>
        <v>0</v>
      </c>
      <c r="R25" s="272">
        <f>'Cap Table'!AG24</f>
        <v>0</v>
      </c>
      <c r="S25" s="272">
        <f>'Cap Table'!AH24</f>
        <v>0</v>
      </c>
      <c r="T25" s="272">
        <f>'Cap Table'!AN24</f>
        <v>0</v>
      </c>
      <c r="U25" s="272">
        <f>'Cap Table'!AO24</f>
        <v>0</v>
      </c>
      <c r="V25" s="272">
        <f>'Cap Table'!AP24</f>
        <v>0</v>
      </c>
      <c r="W25" s="272">
        <f>'Cap Table'!AV24</f>
        <v>0</v>
      </c>
      <c r="X25" s="272">
        <f>'Cap Table'!AW24</f>
        <v>0</v>
      </c>
      <c r="Y25" s="272">
        <f>'Cap Table'!AX24</f>
        <v>0</v>
      </c>
      <c r="Z25" s="272">
        <f>'Cap Table'!BD24</f>
        <v>0</v>
      </c>
      <c r="AA25" s="272">
        <f>'Cap Table'!BE24</f>
        <v>0</v>
      </c>
      <c r="AB25" s="272">
        <f>'Cap Table'!BF24</f>
        <v>0</v>
      </c>
      <c r="AC25" s="272">
        <f>'Cap Table'!BL24</f>
        <v>0</v>
      </c>
      <c r="AD25" s="272">
        <f>'Cap Table'!BM24</f>
        <v>0</v>
      </c>
      <c r="AE25" s="272">
        <f>'Cap Table'!BN24</f>
        <v>0</v>
      </c>
      <c r="AF25" s="272">
        <f>'Cap Table'!BT24</f>
        <v>0</v>
      </c>
      <c r="AG25" s="272">
        <f>'Cap Table'!BU24</f>
        <v>0</v>
      </c>
      <c r="AH25" s="272">
        <f>'Cap Table'!BV24</f>
        <v>0</v>
      </c>
      <c r="AI25" s="180"/>
      <c r="AJ25" s="272" t="e">
        <f>'Cap Table'!CC24</f>
        <v>#DIV/0!</v>
      </c>
      <c r="AK25" s="180"/>
      <c r="AL25" s="288" t="e">
        <f>'Cap Table'!BZ24</f>
        <v>#DIV/0!</v>
      </c>
      <c r="AM25" s="288" t="e">
        <f>'Cap Table'!CA24</f>
        <v>#DIV/0!</v>
      </c>
      <c r="AN25" s="180"/>
      <c r="AO25" s="180"/>
      <c r="AQ25" s="180"/>
      <c r="AR25" s="180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80"/>
      <c r="BH25" s="180"/>
      <c r="BJ25" s="180"/>
      <c r="BK25" s="180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80"/>
      <c r="CB25" s="180"/>
      <c r="CD25" s="180"/>
      <c r="CE25" s="180"/>
    </row>
    <row r="26" spans="1:83" ht="15.75" customHeight="1" outlineLevel="1" x14ac:dyDescent="0.35">
      <c r="A26" s="180"/>
      <c r="B26" s="180"/>
      <c r="D26" s="272" t="str">
        <f>'Cap Table'!D25</f>
        <v>Investor 5</v>
      </c>
      <c r="E26" s="272">
        <f>'Cap Table'!E25</f>
        <v>0</v>
      </c>
      <c r="F26" s="272">
        <f>'Cap Table'!F25</f>
        <v>0</v>
      </c>
      <c r="G26" s="272">
        <f>'Cap Table'!G25</f>
        <v>0</v>
      </c>
      <c r="H26" s="272">
        <f>'Cap Table'!H25</f>
        <v>0</v>
      </c>
      <c r="I26" s="272">
        <f>'Cap Table'!I25</f>
        <v>0</v>
      </c>
      <c r="J26" s="272" t="e">
        <f>'Cap Table'!J25</f>
        <v>#DIV/0!</v>
      </c>
      <c r="K26" s="272">
        <f>'Cap Table'!P25</f>
        <v>0</v>
      </c>
      <c r="L26" s="272">
        <f>'Cap Table'!Q25</f>
        <v>0</v>
      </c>
      <c r="M26" s="272">
        <f>'Cap Table'!R25</f>
        <v>0</v>
      </c>
      <c r="N26" s="272">
        <f>'Cap Table'!X25</f>
        <v>0</v>
      </c>
      <c r="O26" s="272">
        <f>'Cap Table'!Y25</f>
        <v>0</v>
      </c>
      <c r="P26" s="272">
        <f>'Cap Table'!Z25</f>
        <v>0</v>
      </c>
      <c r="Q26" s="272">
        <f>'Cap Table'!AF25</f>
        <v>0</v>
      </c>
      <c r="R26" s="272">
        <f>'Cap Table'!AG25</f>
        <v>0</v>
      </c>
      <c r="S26" s="272">
        <f>'Cap Table'!AH25</f>
        <v>0</v>
      </c>
      <c r="T26" s="272">
        <f>'Cap Table'!AN25</f>
        <v>0</v>
      </c>
      <c r="U26" s="272">
        <f>'Cap Table'!AO25</f>
        <v>0</v>
      </c>
      <c r="V26" s="272">
        <f>'Cap Table'!AP25</f>
        <v>0</v>
      </c>
      <c r="W26" s="272">
        <f>'Cap Table'!AV25</f>
        <v>0</v>
      </c>
      <c r="X26" s="272">
        <f>'Cap Table'!AW25</f>
        <v>0</v>
      </c>
      <c r="Y26" s="272">
        <f>'Cap Table'!AX25</f>
        <v>0</v>
      </c>
      <c r="Z26" s="272">
        <f>'Cap Table'!BD25</f>
        <v>0</v>
      </c>
      <c r="AA26" s="272">
        <f>'Cap Table'!BE25</f>
        <v>0</v>
      </c>
      <c r="AB26" s="272">
        <f>'Cap Table'!BF25</f>
        <v>0</v>
      </c>
      <c r="AC26" s="272">
        <f>'Cap Table'!BL25</f>
        <v>0</v>
      </c>
      <c r="AD26" s="272">
        <f>'Cap Table'!BM25</f>
        <v>0</v>
      </c>
      <c r="AE26" s="272">
        <f>'Cap Table'!BN25</f>
        <v>0</v>
      </c>
      <c r="AF26" s="272">
        <f>'Cap Table'!BT25</f>
        <v>0</v>
      </c>
      <c r="AG26" s="272">
        <f>'Cap Table'!BU25</f>
        <v>0</v>
      </c>
      <c r="AH26" s="272">
        <f>'Cap Table'!BV25</f>
        <v>0</v>
      </c>
      <c r="AI26" s="180"/>
      <c r="AJ26" s="272" t="e">
        <f>'Cap Table'!CC25</f>
        <v>#DIV/0!</v>
      </c>
      <c r="AK26" s="180"/>
      <c r="AL26" s="288" t="e">
        <f>'Cap Table'!BZ25</f>
        <v>#DIV/0!</v>
      </c>
      <c r="AM26" s="288" t="e">
        <f>'Cap Table'!CA25</f>
        <v>#DIV/0!</v>
      </c>
      <c r="AN26" s="180"/>
      <c r="AO26" s="180"/>
      <c r="AQ26" s="180"/>
      <c r="AR26" s="180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80"/>
      <c r="BH26" s="180"/>
      <c r="BJ26" s="180"/>
      <c r="BK26" s="180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80"/>
      <c r="CB26" s="180"/>
      <c r="CD26" s="180"/>
      <c r="CE26" s="180"/>
    </row>
    <row r="27" spans="1:83" ht="15.75" customHeight="1" outlineLevel="1" x14ac:dyDescent="0.35">
      <c r="A27" s="180"/>
      <c r="B27" s="180"/>
      <c r="D27" s="272" t="str">
        <f>'Cap Table'!D41</f>
        <v>Investor 6</v>
      </c>
      <c r="E27" s="272">
        <f>'Cap Table'!E41</f>
        <v>0</v>
      </c>
      <c r="F27" s="272">
        <f>'Cap Table'!F41</f>
        <v>0</v>
      </c>
      <c r="G27" s="272">
        <f>'Cap Table'!G41</f>
        <v>0</v>
      </c>
      <c r="H27" s="272">
        <f>'Cap Table'!H41</f>
        <v>0</v>
      </c>
      <c r="I27" s="272">
        <f>'Cap Table'!I41</f>
        <v>0</v>
      </c>
      <c r="J27" s="272" t="e">
        <f>'Cap Table'!J41</f>
        <v>#DIV/0!</v>
      </c>
      <c r="K27" s="272">
        <f>'Cap Table'!P41</f>
        <v>0</v>
      </c>
      <c r="L27" s="272">
        <f>'Cap Table'!Q41</f>
        <v>0</v>
      </c>
      <c r="M27" s="272">
        <f>'Cap Table'!R41</f>
        <v>0</v>
      </c>
      <c r="N27" s="272">
        <f>'Cap Table'!X41</f>
        <v>0</v>
      </c>
      <c r="O27" s="272">
        <f>'Cap Table'!Y41</f>
        <v>0</v>
      </c>
      <c r="P27" s="272">
        <f>'Cap Table'!Z41</f>
        <v>0</v>
      </c>
      <c r="Q27" s="272">
        <f>'Cap Table'!AF41</f>
        <v>0</v>
      </c>
      <c r="R27" s="272">
        <f>'Cap Table'!AG41</f>
        <v>0</v>
      </c>
      <c r="S27" s="272">
        <f>'Cap Table'!AH41</f>
        <v>0</v>
      </c>
      <c r="T27" s="272">
        <f>'Cap Table'!AN41</f>
        <v>0</v>
      </c>
      <c r="U27" s="272">
        <f>'Cap Table'!AO41</f>
        <v>0</v>
      </c>
      <c r="V27" s="272">
        <f>'Cap Table'!AP41</f>
        <v>0</v>
      </c>
      <c r="W27" s="272">
        <f>'Cap Table'!AV41</f>
        <v>0</v>
      </c>
      <c r="X27" s="272">
        <f>'Cap Table'!AW41</f>
        <v>0</v>
      </c>
      <c r="Y27" s="272">
        <f>'Cap Table'!AX41</f>
        <v>0</v>
      </c>
      <c r="Z27" s="272">
        <f>'Cap Table'!BD41</f>
        <v>0</v>
      </c>
      <c r="AA27" s="272">
        <f>'Cap Table'!BE41</f>
        <v>0</v>
      </c>
      <c r="AB27" s="272">
        <f>'Cap Table'!BF41</f>
        <v>0</v>
      </c>
      <c r="AC27" s="272">
        <f>'Cap Table'!BL41</f>
        <v>0</v>
      </c>
      <c r="AD27" s="272">
        <f>'Cap Table'!BM41</f>
        <v>0</v>
      </c>
      <c r="AE27" s="272">
        <f>'Cap Table'!BN41</f>
        <v>0</v>
      </c>
      <c r="AF27" s="272">
        <f>'Cap Table'!BT41</f>
        <v>0</v>
      </c>
      <c r="AG27" s="272">
        <f>'Cap Table'!BU41</f>
        <v>0</v>
      </c>
      <c r="AH27" s="272">
        <f>'Cap Table'!BV41</f>
        <v>0</v>
      </c>
      <c r="AI27" s="180"/>
      <c r="AJ27" s="272" t="e">
        <f>'Cap Table'!CC41</f>
        <v>#DIV/0!</v>
      </c>
      <c r="AK27" s="180"/>
      <c r="AL27" s="288" t="e">
        <f>'Cap Table'!BZ41</f>
        <v>#DIV/0!</v>
      </c>
      <c r="AM27" s="288" t="e">
        <f>'Cap Table'!CA41</f>
        <v>#DIV/0!</v>
      </c>
      <c r="AN27" s="180"/>
      <c r="AO27" s="180"/>
      <c r="AQ27" s="180"/>
      <c r="AR27" s="180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80"/>
      <c r="BH27" s="180"/>
      <c r="BJ27" s="180"/>
      <c r="BK27" s="180"/>
      <c r="BL27" s="191"/>
      <c r="BM27" s="191"/>
      <c r="BN27" s="191"/>
      <c r="BO27" s="191"/>
      <c r="BP27" s="191"/>
      <c r="BQ27" s="191"/>
      <c r="BR27" s="191"/>
      <c r="BS27" s="191"/>
      <c r="BT27" s="191"/>
      <c r="BU27" s="191"/>
      <c r="BV27" s="191"/>
      <c r="BW27" s="191"/>
      <c r="BX27" s="191"/>
      <c r="BY27" s="191"/>
      <c r="BZ27" s="191"/>
      <c r="CA27" s="180"/>
      <c r="CB27" s="180"/>
      <c r="CD27" s="180"/>
      <c r="CE27" s="180"/>
    </row>
    <row r="28" spans="1:83" ht="15.75" customHeight="1" outlineLevel="1" x14ac:dyDescent="0.35">
      <c r="A28" s="180"/>
      <c r="B28" s="180"/>
      <c r="D28" s="272">
        <f>'Cap Table'!D42</f>
        <v>0</v>
      </c>
      <c r="E28" s="272">
        <f>'Cap Table'!E42</f>
        <v>0</v>
      </c>
      <c r="F28" s="272">
        <f>'Cap Table'!F42</f>
        <v>0</v>
      </c>
      <c r="G28" s="272">
        <f>'Cap Table'!G42</f>
        <v>0</v>
      </c>
      <c r="H28" s="272">
        <f>'Cap Table'!H42</f>
        <v>0</v>
      </c>
      <c r="I28" s="272">
        <f>'Cap Table'!I42</f>
        <v>0</v>
      </c>
      <c r="J28" s="272" t="e">
        <f>'Cap Table'!J42</f>
        <v>#DIV/0!</v>
      </c>
      <c r="K28" s="272">
        <f>'Cap Table'!P42</f>
        <v>0</v>
      </c>
      <c r="L28" s="272">
        <f>'Cap Table'!Q42</f>
        <v>0</v>
      </c>
      <c r="M28" s="272">
        <f>'Cap Table'!R42</f>
        <v>0</v>
      </c>
      <c r="N28" s="272">
        <f>'Cap Table'!X42</f>
        <v>0</v>
      </c>
      <c r="O28" s="272">
        <f>'Cap Table'!Y42</f>
        <v>0</v>
      </c>
      <c r="P28" s="272">
        <f>'Cap Table'!Z42</f>
        <v>0</v>
      </c>
      <c r="Q28" s="272">
        <f>'Cap Table'!AF42</f>
        <v>0</v>
      </c>
      <c r="R28" s="272">
        <f>'Cap Table'!AG42</f>
        <v>0</v>
      </c>
      <c r="S28" s="272">
        <f>'Cap Table'!AH42</f>
        <v>0</v>
      </c>
      <c r="T28" s="272">
        <f>'Cap Table'!AN42</f>
        <v>0</v>
      </c>
      <c r="U28" s="272">
        <f>'Cap Table'!AO42</f>
        <v>0</v>
      </c>
      <c r="V28" s="272">
        <f>'Cap Table'!AP42</f>
        <v>0</v>
      </c>
      <c r="W28" s="272">
        <f>'Cap Table'!AV42</f>
        <v>0</v>
      </c>
      <c r="X28" s="272">
        <f>'Cap Table'!AW42</f>
        <v>0</v>
      </c>
      <c r="Y28" s="272">
        <f>'Cap Table'!AX42</f>
        <v>0</v>
      </c>
      <c r="Z28" s="272">
        <f>'Cap Table'!BD42</f>
        <v>0</v>
      </c>
      <c r="AA28" s="272">
        <f>'Cap Table'!BE42</f>
        <v>0</v>
      </c>
      <c r="AB28" s="272">
        <f>'Cap Table'!BF42</f>
        <v>0</v>
      </c>
      <c r="AC28" s="272">
        <f>'Cap Table'!BL42</f>
        <v>0</v>
      </c>
      <c r="AD28" s="272">
        <f>'Cap Table'!BM42</f>
        <v>0</v>
      </c>
      <c r="AE28" s="272">
        <f>'Cap Table'!BN42</f>
        <v>0</v>
      </c>
      <c r="AF28" s="272">
        <f>'Cap Table'!BT42</f>
        <v>0</v>
      </c>
      <c r="AG28" s="272">
        <f>'Cap Table'!BU42</f>
        <v>0</v>
      </c>
      <c r="AH28" s="272">
        <f>'Cap Table'!BV42</f>
        <v>0</v>
      </c>
      <c r="AI28" s="180"/>
      <c r="AJ28" s="272" t="e">
        <f>'Cap Table'!CC42</f>
        <v>#DIV/0!</v>
      </c>
      <c r="AK28" s="180"/>
      <c r="AL28" s="288" t="e">
        <f>'Cap Table'!BZ42</f>
        <v>#DIV/0!</v>
      </c>
      <c r="AM28" s="288" t="e">
        <f>'Cap Table'!CA42</f>
        <v>#DIV/0!</v>
      </c>
      <c r="AN28" s="180"/>
      <c r="AO28" s="180"/>
      <c r="AQ28" s="180"/>
      <c r="AR28" s="180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80"/>
      <c r="BH28" s="180"/>
      <c r="BJ28" s="180"/>
      <c r="BK28" s="180"/>
      <c r="BL28" s="191"/>
      <c r="BM28" s="191"/>
      <c r="BN28" s="191"/>
      <c r="BO28" s="191"/>
      <c r="BP28" s="191"/>
      <c r="BQ28" s="191"/>
      <c r="BR28" s="191"/>
      <c r="BS28" s="191"/>
      <c r="BT28" s="191"/>
      <c r="BU28" s="191"/>
      <c r="BV28" s="191"/>
      <c r="BW28" s="191"/>
      <c r="BX28" s="191"/>
      <c r="BY28" s="191"/>
      <c r="BZ28" s="191"/>
      <c r="CA28" s="180"/>
      <c r="CB28" s="180"/>
      <c r="CD28" s="180"/>
      <c r="CE28" s="180"/>
    </row>
    <row r="29" spans="1:83" ht="15.75" customHeight="1" outlineLevel="1" x14ac:dyDescent="0.35">
      <c r="A29" s="180"/>
      <c r="B29" s="180"/>
      <c r="D29" s="272" t="str">
        <f>'Cap Table'!D43</f>
        <v>Founders/Leadership</v>
      </c>
      <c r="E29" s="272">
        <f>'Cap Table'!E43</f>
        <v>0</v>
      </c>
      <c r="F29" s="272">
        <f>'Cap Table'!F43</f>
        <v>0</v>
      </c>
      <c r="G29" s="272">
        <f>'Cap Table'!G43</f>
        <v>0</v>
      </c>
      <c r="H29" s="272">
        <f>'Cap Table'!H43</f>
        <v>0</v>
      </c>
      <c r="I29" s="272">
        <f>'Cap Table'!I43</f>
        <v>0</v>
      </c>
      <c r="J29" s="272" t="e">
        <f>'Cap Table'!J43</f>
        <v>#DIV/0!</v>
      </c>
      <c r="K29" s="272">
        <f>'Cap Table'!P43</f>
        <v>0</v>
      </c>
      <c r="L29" s="272">
        <f>'Cap Table'!Q43</f>
        <v>0</v>
      </c>
      <c r="M29" s="272">
        <f>'Cap Table'!R43</f>
        <v>0</v>
      </c>
      <c r="N29" s="272">
        <f>'Cap Table'!X43</f>
        <v>0</v>
      </c>
      <c r="O29" s="272">
        <f>'Cap Table'!Y43</f>
        <v>0</v>
      </c>
      <c r="P29" s="272">
        <f>'Cap Table'!Z43</f>
        <v>0</v>
      </c>
      <c r="Q29" s="272">
        <f>'Cap Table'!AF43</f>
        <v>0</v>
      </c>
      <c r="R29" s="272">
        <f>'Cap Table'!AG43</f>
        <v>0</v>
      </c>
      <c r="S29" s="272">
        <f>'Cap Table'!AH43</f>
        <v>0</v>
      </c>
      <c r="T29" s="272">
        <f>'Cap Table'!AN43</f>
        <v>0</v>
      </c>
      <c r="U29" s="272">
        <f>'Cap Table'!AO43</f>
        <v>0</v>
      </c>
      <c r="V29" s="272">
        <f>'Cap Table'!AP43</f>
        <v>0</v>
      </c>
      <c r="W29" s="272">
        <f>'Cap Table'!AV43</f>
        <v>0</v>
      </c>
      <c r="X29" s="272">
        <f>'Cap Table'!AW43</f>
        <v>0</v>
      </c>
      <c r="Y29" s="272">
        <f>'Cap Table'!AX43</f>
        <v>0</v>
      </c>
      <c r="Z29" s="272">
        <f>'Cap Table'!BD43</f>
        <v>0</v>
      </c>
      <c r="AA29" s="272">
        <f>'Cap Table'!BE43</f>
        <v>0</v>
      </c>
      <c r="AB29" s="272">
        <f>'Cap Table'!BF43</f>
        <v>0</v>
      </c>
      <c r="AC29" s="272">
        <f>'Cap Table'!BL43</f>
        <v>0</v>
      </c>
      <c r="AD29" s="272">
        <f>'Cap Table'!BM43</f>
        <v>0</v>
      </c>
      <c r="AE29" s="272">
        <f>'Cap Table'!BN43</f>
        <v>0</v>
      </c>
      <c r="AF29" s="272">
        <f>'Cap Table'!BT43</f>
        <v>0</v>
      </c>
      <c r="AG29" s="272">
        <f>'Cap Table'!BU43</f>
        <v>0</v>
      </c>
      <c r="AH29" s="272">
        <f>'Cap Table'!BV43</f>
        <v>0</v>
      </c>
      <c r="AI29" s="180"/>
      <c r="AJ29" s="272" t="e">
        <f>'Cap Table'!CC43</f>
        <v>#DIV/0!</v>
      </c>
      <c r="AK29" s="180"/>
      <c r="AL29" s="288" t="e">
        <f>'Cap Table'!BZ43</f>
        <v>#DIV/0!</v>
      </c>
      <c r="AM29" s="288" t="e">
        <f>'Cap Table'!CA43</f>
        <v>#DIV/0!</v>
      </c>
      <c r="AN29" s="180"/>
      <c r="AO29" s="180"/>
      <c r="AQ29" s="180"/>
      <c r="AR29" s="180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80"/>
      <c r="BH29" s="180"/>
      <c r="BJ29" s="180"/>
      <c r="BK29" s="180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80"/>
      <c r="CB29" s="180"/>
      <c r="CD29" s="180"/>
      <c r="CE29" s="180"/>
    </row>
    <row r="30" spans="1:83" ht="15.75" customHeight="1" outlineLevel="1" x14ac:dyDescent="0.35">
      <c r="A30" s="180"/>
      <c r="B30" s="180"/>
      <c r="D30" s="272" t="str">
        <f>'Cap Table'!D44</f>
        <v>Others 1</v>
      </c>
      <c r="E30" s="272">
        <f>'Cap Table'!E44</f>
        <v>0</v>
      </c>
      <c r="F30" s="272">
        <f>'Cap Table'!F44</f>
        <v>0</v>
      </c>
      <c r="G30" s="272">
        <f>'Cap Table'!G44</f>
        <v>0</v>
      </c>
      <c r="H30" s="272">
        <f>'Cap Table'!H44</f>
        <v>0</v>
      </c>
      <c r="I30" s="272">
        <f>'Cap Table'!I44</f>
        <v>0</v>
      </c>
      <c r="J30" s="272" t="e">
        <f>'Cap Table'!J44</f>
        <v>#DIV/0!</v>
      </c>
      <c r="K30" s="272">
        <f>'Cap Table'!P44</f>
        <v>0</v>
      </c>
      <c r="L30" s="272">
        <f>'Cap Table'!Q44</f>
        <v>0</v>
      </c>
      <c r="M30" s="272">
        <f>'Cap Table'!R44</f>
        <v>0</v>
      </c>
      <c r="N30" s="272">
        <f>'Cap Table'!X44</f>
        <v>0</v>
      </c>
      <c r="O30" s="272">
        <f>'Cap Table'!Y44</f>
        <v>0</v>
      </c>
      <c r="P30" s="272">
        <f>'Cap Table'!Z44</f>
        <v>0</v>
      </c>
      <c r="Q30" s="272">
        <f>'Cap Table'!AF44</f>
        <v>0</v>
      </c>
      <c r="R30" s="272">
        <f>'Cap Table'!AG44</f>
        <v>0</v>
      </c>
      <c r="S30" s="272">
        <f>'Cap Table'!AH44</f>
        <v>0</v>
      </c>
      <c r="T30" s="272">
        <f>'Cap Table'!AN44</f>
        <v>0</v>
      </c>
      <c r="U30" s="272">
        <f>'Cap Table'!AO44</f>
        <v>0</v>
      </c>
      <c r="V30" s="272">
        <f>'Cap Table'!AP44</f>
        <v>0</v>
      </c>
      <c r="W30" s="272">
        <f>'Cap Table'!AV44</f>
        <v>0</v>
      </c>
      <c r="X30" s="272">
        <f>'Cap Table'!AW44</f>
        <v>0</v>
      </c>
      <c r="Y30" s="272">
        <f>'Cap Table'!AX44</f>
        <v>0</v>
      </c>
      <c r="Z30" s="272">
        <f>'Cap Table'!BD44</f>
        <v>0</v>
      </c>
      <c r="AA30" s="272">
        <f>'Cap Table'!BE44</f>
        <v>0</v>
      </c>
      <c r="AB30" s="272">
        <f>'Cap Table'!BF44</f>
        <v>0</v>
      </c>
      <c r="AC30" s="272">
        <f>'Cap Table'!BL44</f>
        <v>0</v>
      </c>
      <c r="AD30" s="272">
        <f>'Cap Table'!BM44</f>
        <v>0</v>
      </c>
      <c r="AE30" s="272">
        <f>'Cap Table'!BN44</f>
        <v>0</v>
      </c>
      <c r="AF30" s="272">
        <f>'Cap Table'!BT44</f>
        <v>0</v>
      </c>
      <c r="AG30" s="272">
        <f>'Cap Table'!BU44</f>
        <v>0</v>
      </c>
      <c r="AH30" s="272">
        <f>'Cap Table'!BV44</f>
        <v>0</v>
      </c>
      <c r="AI30" s="180"/>
      <c r="AJ30" s="272" t="e">
        <f>'Cap Table'!CC44</f>
        <v>#DIV/0!</v>
      </c>
      <c r="AK30" s="180"/>
      <c r="AL30" s="288" t="e">
        <f>'Cap Table'!BZ44</f>
        <v>#DIV/0!</v>
      </c>
      <c r="AM30" s="288" t="e">
        <f>'Cap Table'!CA44</f>
        <v>#DIV/0!</v>
      </c>
      <c r="AN30" s="180"/>
      <c r="AO30" s="180"/>
      <c r="AQ30" s="180"/>
      <c r="AR30" s="180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80"/>
      <c r="BH30" s="180"/>
      <c r="BJ30" s="180"/>
      <c r="BK30" s="180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80"/>
      <c r="CB30" s="180"/>
      <c r="CD30" s="180"/>
      <c r="CE30" s="180"/>
    </row>
    <row r="31" spans="1:83" ht="15.75" customHeight="1" outlineLevel="1" x14ac:dyDescent="0.35">
      <c r="A31" s="180"/>
      <c r="B31" s="180"/>
      <c r="D31" s="272" t="str">
        <f>'Cap Table'!D45</f>
        <v>Others 2</v>
      </c>
      <c r="E31" s="272">
        <f>'Cap Table'!E45</f>
        <v>0</v>
      </c>
      <c r="F31" s="272">
        <f>'Cap Table'!F45</f>
        <v>0</v>
      </c>
      <c r="G31" s="272">
        <f>'Cap Table'!G45</f>
        <v>0</v>
      </c>
      <c r="H31" s="272">
        <f>'Cap Table'!H45</f>
        <v>0</v>
      </c>
      <c r="I31" s="272">
        <f>'Cap Table'!I45</f>
        <v>0</v>
      </c>
      <c r="J31" s="272" t="e">
        <f>'Cap Table'!J45</f>
        <v>#DIV/0!</v>
      </c>
      <c r="K31" s="272">
        <f>'Cap Table'!P45</f>
        <v>0</v>
      </c>
      <c r="L31" s="272">
        <f>'Cap Table'!Q45</f>
        <v>0</v>
      </c>
      <c r="M31" s="272">
        <f>'Cap Table'!R45</f>
        <v>0</v>
      </c>
      <c r="N31" s="272">
        <f>'Cap Table'!X45</f>
        <v>0</v>
      </c>
      <c r="O31" s="272">
        <f>'Cap Table'!Y45</f>
        <v>0</v>
      </c>
      <c r="P31" s="272">
        <f>'Cap Table'!Z45</f>
        <v>0</v>
      </c>
      <c r="Q31" s="272">
        <f>'Cap Table'!AF45</f>
        <v>0</v>
      </c>
      <c r="R31" s="272">
        <f>'Cap Table'!AG45</f>
        <v>0</v>
      </c>
      <c r="S31" s="272">
        <f>'Cap Table'!AH45</f>
        <v>0</v>
      </c>
      <c r="T31" s="272">
        <f>'Cap Table'!AN45</f>
        <v>0</v>
      </c>
      <c r="U31" s="272">
        <f>'Cap Table'!AO45</f>
        <v>0</v>
      </c>
      <c r="V31" s="272">
        <f>'Cap Table'!AP45</f>
        <v>0</v>
      </c>
      <c r="W31" s="272">
        <f>'Cap Table'!AV45</f>
        <v>0</v>
      </c>
      <c r="X31" s="272">
        <f>'Cap Table'!AW45</f>
        <v>0</v>
      </c>
      <c r="Y31" s="272">
        <f>'Cap Table'!AX45</f>
        <v>0</v>
      </c>
      <c r="Z31" s="272">
        <f>'Cap Table'!BD45</f>
        <v>0</v>
      </c>
      <c r="AA31" s="272">
        <f>'Cap Table'!BE45</f>
        <v>0</v>
      </c>
      <c r="AB31" s="272">
        <f>'Cap Table'!BF45</f>
        <v>0</v>
      </c>
      <c r="AC31" s="272">
        <f>'Cap Table'!BL45</f>
        <v>0</v>
      </c>
      <c r="AD31" s="272">
        <f>'Cap Table'!BM45</f>
        <v>0</v>
      </c>
      <c r="AE31" s="272">
        <f>'Cap Table'!BN45</f>
        <v>0</v>
      </c>
      <c r="AF31" s="272">
        <f>'Cap Table'!BT45</f>
        <v>0</v>
      </c>
      <c r="AG31" s="272">
        <f>'Cap Table'!BU45</f>
        <v>0</v>
      </c>
      <c r="AH31" s="272">
        <f>'Cap Table'!BV45</f>
        <v>0</v>
      </c>
      <c r="AI31" s="180"/>
      <c r="AJ31" s="272" t="e">
        <f>'Cap Table'!CC45</f>
        <v>#DIV/0!</v>
      </c>
      <c r="AK31" s="180"/>
      <c r="AL31" s="288" t="e">
        <f>'Cap Table'!BZ45</f>
        <v>#DIV/0!</v>
      </c>
      <c r="AM31" s="288" t="e">
        <f>'Cap Table'!CA45</f>
        <v>#DIV/0!</v>
      </c>
      <c r="AN31" s="180"/>
      <c r="AO31" s="180"/>
      <c r="AQ31" s="180"/>
      <c r="AR31" s="180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80"/>
      <c r="BH31" s="180"/>
      <c r="BJ31" s="180"/>
      <c r="BK31" s="180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80"/>
      <c r="CB31" s="180"/>
      <c r="CD31" s="180"/>
      <c r="CE31" s="180"/>
    </row>
    <row r="32" spans="1:83" ht="15.75" customHeight="1" outlineLevel="1" x14ac:dyDescent="0.35">
      <c r="A32" s="180"/>
      <c r="B32" s="180"/>
      <c r="D32" s="272" t="str">
        <f>'Cap Table'!D46</f>
        <v>Others 3</v>
      </c>
      <c r="E32" s="272">
        <f>'Cap Table'!E46</f>
        <v>0</v>
      </c>
      <c r="F32" s="272">
        <f>'Cap Table'!F46</f>
        <v>0</v>
      </c>
      <c r="G32" s="272">
        <f>'Cap Table'!G46</f>
        <v>0</v>
      </c>
      <c r="H32" s="272">
        <f>'Cap Table'!H46</f>
        <v>0</v>
      </c>
      <c r="I32" s="272">
        <f>'Cap Table'!I46</f>
        <v>0</v>
      </c>
      <c r="J32" s="272" t="e">
        <f>'Cap Table'!J46</f>
        <v>#DIV/0!</v>
      </c>
      <c r="K32" s="272">
        <f>'Cap Table'!P46</f>
        <v>0</v>
      </c>
      <c r="L32" s="272">
        <f>'Cap Table'!Q46</f>
        <v>0</v>
      </c>
      <c r="M32" s="272">
        <f>'Cap Table'!R46</f>
        <v>0</v>
      </c>
      <c r="N32" s="272">
        <f>'Cap Table'!X46</f>
        <v>0</v>
      </c>
      <c r="O32" s="272">
        <f>'Cap Table'!Y46</f>
        <v>0</v>
      </c>
      <c r="P32" s="272">
        <f>'Cap Table'!Z46</f>
        <v>0</v>
      </c>
      <c r="Q32" s="272">
        <f>'Cap Table'!AF46</f>
        <v>0</v>
      </c>
      <c r="R32" s="272">
        <f>'Cap Table'!AG46</f>
        <v>0</v>
      </c>
      <c r="S32" s="272">
        <f>'Cap Table'!AH46</f>
        <v>0</v>
      </c>
      <c r="T32" s="272">
        <f>'Cap Table'!AN46</f>
        <v>0</v>
      </c>
      <c r="U32" s="272">
        <f>'Cap Table'!AO46</f>
        <v>0</v>
      </c>
      <c r="V32" s="272">
        <f>'Cap Table'!AP46</f>
        <v>0</v>
      </c>
      <c r="W32" s="272">
        <f>'Cap Table'!AV46</f>
        <v>0</v>
      </c>
      <c r="X32" s="272">
        <f>'Cap Table'!AW46</f>
        <v>0</v>
      </c>
      <c r="Y32" s="272">
        <f>'Cap Table'!AX46</f>
        <v>0</v>
      </c>
      <c r="Z32" s="272">
        <f>'Cap Table'!BD46</f>
        <v>0</v>
      </c>
      <c r="AA32" s="272">
        <f>'Cap Table'!BE46</f>
        <v>0</v>
      </c>
      <c r="AB32" s="272">
        <f>'Cap Table'!BF46</f>
        <v>0</v>
      </c>
      <c r="AC32" s="272">
        <f>'Cap Table'!BL46</f>
        <v>0</v>
      </c>
      <c r="AD32" s="272">
        <f>'Cap Table'!BM46</f>
        <v>0</v>
      </c>
      <c r="AE32" s="272">
        <f>'Cap Table'!BN46</f>
        <v>0</v>
      </c>
      <c r="AF32" s="272">
        <f>'Cap Table'!BT46</f>
        <v>0</v>
      </c>
      <c r="AG32" s="272">
        <f>'Cap Table'!BU46</f>
        <v>0</v>
      </c>
      <c r="AH32" s="272">
        <f>'Cap Table'!BV46</f>
        <v>0</v>
      </c>
      <c r="AI32" s="180"/>
      <c r="AJ32" s="272" t="e">
        <f>'Cap Table'!CC46</f>
        <v>#DIV/0!</v>
      </c>
      <c r="AK32" s="180"/>
      <c r="AL32" s="288" t="e">
        <f>'Cap Table'!BZ46</f>
        <v>#DIV/0!</v>
      </c>
      <c r="AM32" s="288" t="e">
        <f>'Cap Table'!CA46</f>
        <v>#DIV/0!</v>
      </c>
      <c r="AN32" s="180"/>
      <c r="AO32" s="180"/>
      <c r="AQ32" s="180"/>
      <c r="AR32" s="180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80"/>
      <c r="BH32" s="180"/>
      <c r="BJ32" s="180"/>
      <c r="BK32" s="180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191"/>
      <c r="BY32" s="191"/>
      <c r="BZ32" s="191"/>
      <c r="CA32" s="180"/>
      <c r="CB32" s="180"/>
      <c r="CD32" s="180"/>
      <c r="CE32" s="180"/>
    </row>
    <row r="33" spans="1:83" ht="15.75" customHeight="1" outlineLevel="1" x14ac:dyDescent="0.35">
      <c r="A33" s="180"/>
      <c r="B33" s="180"/>
      <c r="D33" s="272" t="str">
        <f>'Cap Table'!D47</f>
        <v>Others 4</v>
      </c>
      <c r="E33" s="272">
        <f>'Cap Table'!E47</f>
        <v>0</v>
      </c>
      <c r="F33" s="272">
        <f>'Cap Table'!F47</f>
        <v>0</v>
      </c>
      <c r="G33" s="272">
        <f>'Cap Table'!G47</f>
        <v>0</v>
      </c>
      <c r="H33" s="272">
        <f>'Cap Table'!H47</f>
        <v>0</v>
      </c>
      <c r="I33" s="272">
        <f>'Cap Table'!I47</f>
        <v>0</v>
      </c>
      <c r="J33" s="272" t="e">
        <f>'Cap Table'!J47</f>
        <v>#DIV/0!</v>
      </c>
      <c r="K33" s="272">
        <f>'Cap Table'!P47</f>
        <v>0</v>
      </c>
      <c r="L33" s="272">
        <f>'Cap Table'!Q47</f>
        <v>0</v>
      </c>
      <c r="M33" s="272">
        <f>'Cap Table'!R47</f>
        <v>0</v>
      </c>
      <c r="N33" s="272">
        <f>'Cap Table'!X47</f>
        <v>0</v>
      </c>
      <c r="O33" s="272">
        <f>'Cap Table'!Y47</f>
        <v>0</v>
      </c>
      <c r="P33" s="272">
        <f>'Cap Table'!Z47</f>
        <v>0</v>
      </c>
      <c r="Q33" s="272">
        <f>'Cap Table'!AF47</f>
        <v>0</v>
      </c>
      <c r="R33" s="272">
        <f>'Cap Table'!AG47</f>
        <v>0</v>
      </c>
      <c r="S33" s="272">
        <f>'Cap Table'!AH47</f>
        <v>0</v>
      </c>
      <c r="T33" s="272">
        <f>'Cap Table'!AN47</f>
        <v>0</v>
      </c>
      <c r="U33" s="272">
        <f>'Cap Table'!AO47</f>
        <v>0</v>
      </c>
      <c r="V33" s="272">
        <f>'Cap Table'!AP47</f>
        <v>0</v>
      </c>
      <c r="W33" s="272">
        <f>'Cap Table'!AV47</f>
        <v>0</v>
      </c>
      <c r="X33" s="272">
        <f>'Cap Table'!AW47</f>
        <v>0</v>
      </c>
      <c r="Y33" s="272">
        <f>'Cap Table'!AX47</f>
        <v>0</v>
      </c>
      <c r="Z33" s="272">
        <f>'Cap Table'!BD47</f>
        <v>0</v>
      </c>
      <c r="AA33" s="272">
        <f>'Cap Table'!BE47</f>
        <v>0</v>
      </c>
      <c r="AB33" s="272">
        <f>'Cap Table'!BF47</f>
        <v>0</v>
      </c>
      <c r="AC33" s="272">
        <f>'Cap Table'!BL47</f>
        <v>0</v>
      </c>
      <c r="AD33" s="272">
        <f>'Cap Table'!BM47</f>
        <v>0</v>
      </c>
      <c r="AE33" s="272">
        <f>'Cap Table'!BN47</f>
        <v>0</v>
      </c>
      <c r="AF33" s="272">
        <f>'Cap Table'!BT47</f>
        <v>0</v>
      </c>
      <c r="AG33" s="272">
        <f>'Cap Table'!BU47</f>
        <v>0</v>
      </c>
      <c r="AH33" s="272">
        <f>'Cap Table'!BV47</f>
        <v>0</v>
      </c>
      <c r="AI33" s="180"/>
      <c r="AJ33" s="272" t="e">
        <f>'Cap Table'!CC47</f>
        <v>#DIV/0!</v>
      </c>
      <c r="AK33" s="180"/>
      <c r="AL33" s="288" t="e">
        <f>'Cap Table'!BZ47</f>
        <v>#DIV/0!</v>
      </c>
      <c r="AM33" s="288" t="e">
        <f>'Cap Table'!CA47</f>
        <v>#DIV/0!</v>
      </c>
      <c r="AN33" s="180"/>
      <c r="AO33" s="180"/>
      <c r="AQ33" s="180"/>
      <c r="AR33" s="180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80"/>
      <c r="BH33" s="180"/>
      <c r="BJ33" s="180"/>
      <c r="BK33" s="180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191"/>
      <c r="BW33" s="191"/>
      <c r="BX33" s="191"/>
      <c r="BY33" s="191"/>
      <c r="BZ33" s="191"/>
      <c r="CA33" s="180"/>
      <c r="CB33" s="180"/>
      <c r="CD33" s="180"/>
      <c r="CE33" s="180"/>
    </row>
    <row r="34" spans="1:83" ht="15.75" customHeight="1" outlineLevel="1" x14ac:dyDescent="0.35">
      <c r="A34" s="180"/>
      <c r="B34" s="180"/>
      <c r="D34" s="272" t="str">
        <f>'Cap Table'!D48</f>
        <v>Others 1</v>
      </c>
      <c r="E34" s="272">
        <f>'Cap Table'!E48</f>
        <v>0</v>
      </c>
      <c r="F34" s="272">
        <f>'Cap Table'!F48</f>
        <v>0</v>
      </c>
      <c r="G34" s="272">
        <f>'Cap Table'!G48</f>
        <v>0</v>
      </c>
      <c r="H34" s="272">
        <f>'Cap Table'!H48</f>
        <v>0</v>
      </c>
      <c r="I34" s="272">
        <f>'Cap Table'!I48</f>
        <v>0</v>
      </c>
      <c r="J34" s="272" t="e">
        <f>'Cap Table'!J48</f>
        <v>#DIV/0!</v>
      </c>
      <c r="K34" s="272">
        <f>'Cap Table'!P48</f>
        <v>0</v>
      </c>
      <c r="L34" s="272">
        <f>'Cap Table'!Q48</f>
        <v>0</v>
      </c>
      <c r="M34" s="272">
        <f>'Cap Table'!R48</f>
        <v>0</v>
      </c>
      <c r="N34" s="272">
        <f>'Cap Table'!X48</f>
        <v>0</v>
      </c>
      <c r="O34" s="272">
        <f>'Cap Table'!Y48</f>
        <v>0</v>
      </c>
      <c r="P34" s="272">
        <f>'Cap Table'!Z48</f>
        <v>0</v>
      </c>
      <c r="Q34" s="272">
        <f>'Cap Table'!AF48</f>
        <v>0</v>
      </c>
      <c r="R34" s="272">
        <f>'Cap Table'!AG48</f>
        <v>0</v>
      </c>
      <c r="S34" s="272">
        <f>'Cap Table'!AH48</f>
        <v>0</v>
      </c>
      <c r="T34" s="272">
        <f>'Cap Table'!AN48</f>
        <v>0</v>
      </c>
      <c r="U34" s="272">
        <f>'Cap Table'!AO48</f>
        <v>0</v>
      </c>
      <c r="V34" s="272">
        <f>'Cap Table'!AP48</f>
        <v>0</v>
      </c>
      <c r="W34" s="272">
        <f>'Cap Table'!AV48</f>
        <v>0</v>
      </c>
      <c r="X34" s="272">
        <f>'Cap Table'!AW48</f>
        <v>0</v>
      </c>
      <c r="Y34" s="272">
        <f>'Cap Table'!AX48</f>
        <v>0</v>
      </c>
      <c r="Z34" s="272">
        <f>'Cap Table'!BD48</f>
        <v>0</v>
      </c>
      <c r="AA34" s="272">
        <f>'Cap Table'!BE48</f>
        <v>0</v>
      </c>
      <c r="AB34" s="272">
        <f>'Cap Table'!BF48</f>
        <v>0</v>
      </c>
      <c r="AC34" s="272">
        <f>'Cap Table'!BL48</f>
        <v>0</v>
      </c>
      <c r="AD34" s="272">
        <f>'Cap Table'!BM48</f>
        <v>0</v>
      </c>
      <c r="AE34" s="272">
        <f>'Cap Table'!BN48</f>
        <v>0</v>
      </c>
      <c r="AF34" s="272">
        <f>'Cap Table'!BT48</f>
        <v>0</v>
      </c>
      <c r="AG34" s="272">
        <f>'Cap Table'!BU48</f>
        <v>0</v>
      </c>
      <c r="AH34" s="272">
        <f>'Cap Table'!BV48</f>
        <v>0</v>
      </c>
      <c r="AI34" s="180"/>
      <c r="AJ34" s="272" t="e">
        <f>'Cap Table'!CC48</f>
        <v>#DIV/0!</v>
      </c>
      <c r="AK34" s="180"/>
      <c r="AL34" s="288" t="e">
        <f>'Cap Table'!BZ48</f>
        <v>#DIV/0!</v>
      </c>
      <c r="AM34" s="288" t="e">
        <f>'Cap Table'!CA48</f>
        <v>#DIV/0!</v>
      </c>
      <c r="AN34" s="180"/>
      <c r="AO34" s="180"/>
      <c r="AQ34" s="180"/>
      <c r="AR34" s="180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80"/>
      <c r="BH34" s="180"/>
      <c r="BJ34" s="180"/>
      <c r="BK34" s="180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80"/>
      <c r="CB34" s="180"/>
      <c r="CD34" s="180"/>
      <c r="CE34" s="180"/>
    </row>
    <row r="35" spans="1:83" ht="15.75" customHeight="1" outlineLevel="1" x14ac:dyDescent="0.35">
      <c r="A35" s="180"/>
      <c r="B35" s="180"/>
      <c r="D35" s="272">
        <f>'Cap Table'!D49</f>
        <v>0</v>
      </c>
      <c r="E35" s="272">
        <f>'Cap Table'!E49</f>
        <v>0</v>
      </c>
      <c r="F35" s="272">
        <f>'Cap Table'!F49</f>
        <v>0</v>
      </c>
      <c r="G35" s="272">
        <f>'Cap Table'!G49</f>
        <v>0</v>
      </c>
      <c r="H35" s="272">
        <f>'Cap Table'!H49</f>
        <v>0</v>
      </c>
      <c r="I35" s="272">
        <f>'Cap Table'!I49</f>
        <v>0</v>
      </c>
      <c r="J35" s="272" t="e">
        <f>'Cap Table'!J49</f>
        <v>#DIV/0!</v>
      </c>
      <c r="K35" s="272">
        <f>'Cap Table'!P49</f>
        <v>0</v>
      </c>
      <c r="L35" s="272">
        <f>'Cap Table'!Q49</f>
        <v>0</v>
      </c>
      <c r="M35" s="272">
        <f>'Cap Table'!R49</f>
        <v>0</v>
      </c>
      <c r="N35" s="272">
        <f>'Cap Table'!X49</f>
        <v>0</v>
      </c>
      <c r="O35" s="272">
        <f>'Cap Table'!Y49</f>
        <v>0</v>
      </c>
      <c r="P35" s="272">
        <f>'Cap Table'!Z49</f>
        <v>0</v>
      </c>
      <c r="Q35" s="272">
        <f>'Cap Table'!AF49</f>
        <v>0</v>
      </c>
      <c r="R35" s="272">
        <f>'Cap Table'!AG49</f>
        <v>0</v>
      </c>
      <c r="S35" s="272">
        <f>'Cap Table'!AH49</f>
        <v>0</v>
      </c>
      <c r="T35" s="272">
        <f>'Cap Table'!AN49</f>
        <v>0</v>
      </c>
      <c r="U35" s="272">
        <f>'Cap Table'!AO49</f>
        <v>0</v>
      </c>
      <c r="V35" s="272">
        <f>'Cap Table'!AP49</f>
        <v>0</v>
      </c>
      <c r="W35" s="272">
        <f>'Cap Table'!AV49</f>
        <v>0</v>
      </c>
      <c r="X35" s="272">
        <f>'Cap Table'!AW49</f>
        <v>0</v>
      </c>
      <c r="Y35" s="272">
        <f>'Cap Table'!AX49</f>
        <v>0</v>
      </c>
      <c r="Z35" s="272">
        <f>'Cap Table'!BD49</f>
        <v>0</v>
      </c>
      <c r="AA35" s="272">
        <f>'Cap Table'!BE49</f>
        <v>0</v>
      </c>
      <c r="AB35" s="272">
        <f>'Cap Table'!BF49</f>
        <v>0</v>
      </c>
      <c r="AC35" s="272">
        <f>'Cap Table'!BL49</f>
        <v>0</v>
      </c>
      <c r="AD35" s="272">
        <f>'Cap Table'!BM49</f>
        <v>0</v>
      </c>
      <c r="AE35" s="272">
        <f>'Cap Table'!BN49</f>
        <v>0</v>
      </c>
      <c r="AF35" s="272">
        <f>'Cap Table'!BT49</f>
        <v>0</v>
      </c>
      <c r="AG35" s="272">
        <f>'Cap Table'!BU49</f>
        <v>0</v>
      </c>
      <c r="AH35" s="272">
        <f>'Cap Table'!BV49</f>
        <v>0</v>
      </c>
      <c r="AI35" s="180"/>
      <c r="AJ35" s="272" t="e">
        <f>'Cap Table'!CC49</f>
        <v>#DIV/0!</v>
      </c>
      <c r="AK35" s="180"/>
      <c r="AL35" s="288" t="e">
        <f>'Cap Table'!BZ49</f>
        <v>#DIV/0!</v>
      </c>
      <c r="AM35" s="288" t="e">
        <f>'Cap Table'!CA49</f>
        <v>#DIV/0!</v>
      </c>
      <c r="AN35" s="180"/>
      <c r="AO35" s="180"/>
      <c r="AQ35" s="180"/>
      <c r="AR35" s="180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80"/>
      <c r="BH35" s="180"/>
      <c r="BJ35" s="180"/>
      <c r="BK35" s="180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191"/>
      <c r="BW35" s="191"/>
      <c r="BX35" s="191"/>
      <c r="BY35" s="191"/>
      <c r="BZ35" s="191"/>
      <c r="CA35" s="180"/>
      <c r="CB35" s="180"/>
      <c r="CD35" s="180"/>
      <c r="CE35" s="180"/>
    </row>
    <row r="36" spans="1:83" ht="7.5" customHeight="1" outlineLevel="1" x14ac:dyDescent="0.35">
      <c r="A36" s="180"/>
      <c r="B36" s="180"/>
      <c r="D36" s="180"/>
      <c r="E36" s="180"/>
      <c r="F36" s="180"/>
      <c r="G36" s="235"/>
      <c r="H36" s="180"/>
      <c r="I36" s="180"/>
      <c r="J36" s="181"/>
      <c r="K36" s="180"/>
      <c r="L36" s="180"/>
      <c r="M36" s="181"/>
      <c r="N36" s="180"/>
      <c r="O36" s="180"/>
      <c r="P36" s="181"/>
      <c r="Q36" s="180"/>
      <c r="R36" s="180"/>
      <c r="S36" s="181"/>
      <c r="T36" s="180"/>
      <c r="U36" s="180"/>
      <c r="V36" s="181"/>
      <c r="W36" s="180"/>
      <c r="X36" s="180"/>
      <c r="Y36" s="181"/>
      <c r="Z36" s="180"/>
      <c r="AA36" s="180"/>
      <c r="AB36" s="181"/>
      <c r="AC36" s="180"/>
      <c r="AD36" s="180"/>
      <c r="AE36" s="181"/>
      <c r="AF36" s="180"/>
      <c r="AG36" s="180"/>
      <c r="AH36" s="181"/>
      <c r="AI36" s="180"/>
      <c r="AJ36" s="181"/>
      <c r="AK36" s="180"/>
      <c r="AL36" s="180"/>
      <c r="AM36" s="235"/>
      <c r="AN36" s="180"/>
      <c r="AO36" s="180"/>
      <c r="AQ36" s="180"/>
      <c r="AR36" s="180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80"/>
      <c r="BH36" s="180"/>
      <c r="BJ36" s="180"/>
      <c r="BK36" s="180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191"/>
      <c r="BW36" s="191"/>
      <c r="BX36" s="191"/>
      <c r="BY36" s="191"/>
      <c r="BZ36" s="191"/>
      <c r="CA36" s="180"/>
      <c r="CB36" s="180"/>
      <c r="CD36" s="180"/>
      <c r="CE36" s="180"/>
    </row>
    <row r="37" spans="1:83" ht="15.75" customHeight="1" outlineLevel="1" x14ac:dyDescent="0.35">
      <c r="A37" s="180"/>
      <c r="B37" s="180"/>
      <c r="D37" s="724" t="str">
        <f>'Cap Table'!D51</f>
        <v>ESOP - allocated</v>
      </c>
      <c r="E37" s="725">
        <f>'Cap Table'!E51</f>
        <v>0</v>
      </c>
      <c r="F37" s="725">
        <f>'Cap Table'!F51</f>
        <v>0</v>
      </c>
      <c r="G37" s="725">
        <f>'Cap Table'!G51</f>
        <v>0</v>
      </c>
      <c r="H37" s="289">
        <f>'Cap Table'!H51</f>
        <v>0</v>
      </c>
      <c r="I37" s="291">
        <f>'Cap Table'!I51</f>
        <v>0</v>
      </c>
      <c r="J37" s="292">
        <f>'Cap Table'!J51</f>
        <v>0</v>
      </c>
      <c r="K37" s="289">
        <f>'Cap Table'!P51</f>
        <v>0</v>
      </c>
      <c r="L37" s="291">
        <f>'Cap Table'!Q51</f>
        <v>0</v>
      </c>
      <c r="M37" s="292">
        <f>'Cap Table'!R51</f>
        <v>0</v>
      </c>
      <c r="N37" s="289">
        <f>'Cap Table'!X51</f>
        <v>0</v>
      </c>
      <c r="O37" s="291">
        <f>'Cap Table'!Y51</f>
        <v>0</v>
      </c>
      <c r="P37" s="292">
        <f>'Cap Table'!Z51</f>
        <v>0</v>
      </c>
      <c r="Q37" s="289">
        <f>'Cap Table'!AF51</f>
        <v>0</v>
      </c>
      <c r="R37" s="291">
        <f>'Cap Table'!AG51</f>
        <v>0</v>
      </c>
      <c r="S37" s="292">
        <f>'Cap Table'!AH51</f>
        <v>0</v>
      </c>
      <c r="T37" s="289">
        <f>'Cap Table'!AN51</f>
        <v>0</v>
      </c>
      <c r="U37" s="291">
        <f>'Cap Table'!AO51</f>
        <v>0</v>
      </c>
      <c r="V37" s="292">
        <f>'Cap Table'!AP51</f>
        <v>0</v>
      </c>
      <c r="W37" s="289">
        <f>'Cap Table'!AV51</f>
        <v>0</v>
      </c>
      <c r="X37" s="291">
        <f>'Cap Table'!AW51</f>
        <v>0</v>
      </c>
      <c r="Y37" s="292">
        <f>'Cap Table'!AX51</f>
        <v>0</v>
      </c>
      <c r="Z37" s="289">
        <f>'Cap Table'!BD51</f>
        <v>0</v>
      </c>
      <c r="AA37" s="291">
        <f>'Cap Table'!BE51</f>
        <v>0</v>
      </c>
      <c r="AB37" s="292">
        <f>'Cap Table'!BF51</f>
        <v>0</v>
      </c>
      <c r="AC37" s="289">
        <f>'Cap Table'!BL51</f>
        <v>0</v>
      </c>
      <c r="AD37" s="291">
        <f>'Cap Table'!BM51</f>
        <v>0</v>
      </c>
      <c r="AE37" s="292">
        <f>'Cap Table'!BN51</f>
        <v>0</v>
      </c>
      <c r="AF37" s="289">
        <f>'Cap Table'!BT51</f>
        <v>0</v>
      </c>
      <c r="AG37" s="291">
        <f>'Cap Table'!BU51</f>
        <v>0</v>
      </c>
      <c r="AH37" s="277">
        <f>'Cap Table'!BV51</f>
        <v>0</v>
      </c>
      <c r="AI37" s="180"/>
      <c r="AJ37" s="726">
        <f>'Cap Table'!CC51</f>
        <v>0</v>
      </c>
      <c r="AK37" s="180"/>
      <c r="AL37" s="727">
        <f>'Cap Table'!BZ51</f>
        <v>0</v>
      </c>
      <c r="AM37" s="288" t="e">
        <f>'Cap Table'!CA51</f>
        <v>#DIV/0!</v>
      </c>
      <c r="AN37" s="180"/>
      <c r="AO37" s="180"/>
      <c r="AQ37" s="180"/>
      <c r="AR37" s="180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80"/>
      <c r="BH37" s="180"/>
      <c r="BJ37" s="180"/>
      <c r="BK37" s="180"/>
      <c r="BL37" s="191"/>
      <c r="BM37" s="191"/>
      <c r="BN37" s="191"/>
      <c r="BO37" s="191"/>
      <c r="BP37" s="191"/>
      <c r="BQ37" s="191"/>
      <c r="BR37" s="191"/>
      <c r="BS37" s="191"/>
      <c r="BT37" s="191"/>
      <c r="BU37" s="191"/>
      <c r="BV37" s="191"/>
      <c r="BW37" s="191"/>
      <c r="BX37" s="191"/>
      <c r="BY37" s="191"/>
      <c r="BZ37" s="191"/>
      <c r="CA37" s="180"/>
      <c r="CB37" s="180"/>
      <c r="CD37" s="180"/>
      <c r="CE37" s="180"/>
    </row>
    <row r="38" spans="1:83" s="181" customFormat="1" outlineLevel="1" x14ac:dyDescent="0.35">
      <c r="A38" s="180"/>
      <c r="B38" s="180"/>
      <c r="C38" s="179"/>
      <c r="D38" s="724" t="str">
        <f>'Cap Table'!D52</f>
        <v>Available ESOP</v>
      </c>
      <c r="E38" s="725">
        <f>'Cap Table'!E52</f>
        <v>0</v>
      </c>
      <c r="F38" s="725">
        <f>'Cap Table'!F52</f>
        <v>0</v>
      </c>
      <c r="G38" s="725">
        <f>'Cap Table'!G52</f>
        <v>0</v>
      </c>
      <c r="H38" s="300">
        <f>'Cap Table'!H52</f>
        <v>0</v>
      </c>
      <c r="I38" s="301">
        <f>'Cap Table'!I52</f>
        <v>0</v>
      </c>
      <c r="J38" s="284">
        <f>'Cap Table'!J52</f>
        <v>0</v>
      </c>
      <c r="K38" s="300">
        <f>'Cap Table'!P52</f>
        <v>0</v>
      </c>
      <c r="L38" s="301">
        <f>'Cap Table'!Q52</f>
        <v>0</v>
      </c>
      <c r="M38" s="284">
        <f>'Cap Table'!R52</f>
        <v>0</v>
      </c>
      <c r="N38" s="300">
        <f>'Cap Table'!X52</f>
        <v>0</v>
      </c>
      <c r="O38" s="301">
        <f>'Cap Table'!Y52</f>
        <v>0</v>
      </c>
      <c r="P38" s="284">
        <f>'Cap Table'!Z52</f>
        <v>0</v>
      </c>
      <c r="Q38" s="300">
        <f>'Cap Table'!AF52</f>
        <v>0</v>
      </c>
      <c r="R38" s="301">
        <f>'Cap Table'!AG52</f>
        <v>0</v>
      </c>
      <c r="S38" s="284">
        <f>'Cap Table'!AH52</f>
        <v>0</v>
      </c>
      <c r="T38" s="300">
        <f>'Cap Table'!AN52</f>
        <v>0</v>
      </c>
      <c r="U38" s="301">
        <f>'Cap Table'!AO52</f>
        <v>0</v>
      </c>
      <c r="V38" s="284">
        <f>'Cap Table'!AP52</f>
        <v>0</v>
      </c>
      <c r="W38" s="300">
        <f>'Cap Table'!AV52</f>
        <v>0</v>
      </c>
      <c r="X38" s="301">
        <f>'Cap Table'!AW52</f>
        <v>0</v>
      </c>
      <c r="Y38" s="284">
        <f>'Cap Table'!AX52</f>
        <v>0</v>
      </c>
      <c r="Z38" s="300">
        <f>'Cap Table'!BD52</f>
        <v>0</v>
      </c>
      <c r="AA38" s="301">
        <f>'Cap Table'!BE52</f>
        <v>0</v>
      </c>
      <c r="AB38" s="284">
        <f>'Cap Table'!BF52</f>
        <v>0</v>
      </c>
      <c r="AC38" s="300">
        <f>'Cap Table'!BL52</f>
        <v>0</v>
      </c>
      <c r="AD38" s="301">
        <f>'Cap Table'!BM52</f>
        <v>0</v>
      </c>
      <c r="AE38" s="284">
        <f>'Cap Table'!BN52</f>
        <v>0</v>
      </c>
      <c r="AF38" s="300">
        <f>'Cap Table'!BT52</f>
        <v>0</v>
      </c>
      <c r="AG38" s="301">
        <f>'Cap Table'!BU52</f>
        <v>0</v>
      </c>
      <c r="AH38" s="285">
        <f>'Cap Table'!BV52</f>
        <v>0</v>
      </c>
      <c r="AI38" s="180"/>
      <c r="AJ38" s="728">
        <f>'Cap Table'!CC52</f>
        <v>0</v>
      </c>
      <c r="AK38" s="180"/>
      <c r="AL38" s="717">
        <f>'Cap Table'!BZ52</f>
        <v>0</v>
      </c>
      <c r="AM38" s="288" t="e">
        <f>'Cap Table'!CA52</f>
        <v>#DIV/0!</v>
      </c>
      <c r="AN38" s="180"/>
      <c r="AO38" s="180"/>
      <c r="AQ38" s="180"/>
      <c r="AR38" s="180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80"/>
      <c r="BH38" s="180"/>
      <c r="BJ38" s="180"/>
      <c r="BK38" s="180"/>
      <c r="CA38" s="180"/>
      <c r="CB38" s="180"/>
      <c r="CD38" s="180"/>
      <c r="CE38" s="180"/>
    </row>
    <row r="39" spans="1:83" s="190" customFormat="1" ht="7.5" customHeight="1" outlineLevel="1" x14ac:dyDescent="0.35">
      <c r="A39" s="180"/>
      <c r="B39" s="180"/>
      <c r="D39" s="180"/>
      <c r="E39" s="180"/>
      <c r="F39" s="180"/>
      <c r="G39" s="180"/>
      <c r="H39" s="181"/>
      <c r="I39" s="181"/>
      <c r="J39" s="181"/>
      <c r="K39" s="181"/>
      <c r="L39" s="180"/>
      <c r="M39" s="180"/>
      <c r="N39" s="181"/>
      <c r="O39" s="180"/>
      <c r="P39" s="180"/>
      <c r="Q39" s="181"/>
      <c r="R39" s="180"/>
      <c r="S39" s="180"/>
      <c r="T39" s="181"/>
      <c r="U39" s="180"/>
      <c r="V39" s="180"/>
      <c r="W39" s="181"/>
      <c r="X39" s="180"/>
      <c r="Y39" s="180"/>
      <c r="Z39" s="181"/>
      <c r="AA39" s="180"/>
      <c r="AB39" s="180"/>
      <c r="AC39" s="181"/>
      <c r="AD39" s="180"/>
      <c r="AE39" s="180"/>
      <c r="AF39" s="181"/>
      <c r="AG39" s="180"/>
      <c r="AH39" s="180"/>
      <c r="AI39" s="181"/>
      <c r="AJ39" s="181"/>
      <c r="AK39" s="181"/>
      <c r="AL39" s="180"/>
      <c r="AM39" s="180"/>
      <c r="AN39" s="180"/>
      <c r="AO39" s="180"/>
      <c r="AQ39" s="180"/>
      <c r="AR39" s="180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80"/>
      <c r="BH39" s="180"/>
      <c r="BJ39" s="180"/>
      <c r="BK39" s="180"/>
      <c r="CA39" s="180"/>
      <c r="CB39" s="180"/>
      <c r="CD39" s="180"/>
      <c r="CE39" s="180"/>
    </row>
    <row r="40" spans="1:83" s="255" customFormat="1" ht="15.75" customHeight="1" outlineLevel="1" x14ac:dyDescent="0.35">
      <c r="A40" s="254"/>
      <c r="B40" s="254"/>
      <c r="D40" s="729" t="s">
        <v>78</v>
      </c>
      <c r="E40" s="304">
        <f>SUM(E21:E38)</f>
        <v>0</v>
      </c>
      <c r="F40" s="304">
        <f>SUM(F21:F38)</f>
        <v>0</v>
      </c>
      <c r="G40" s="304">
        <f>SUM(G21:G38)</f>
        <v>0</v>
      </c>
      <c r="H40" s="304">
        <f t="shared" ref="H40:AH40" si="0">SUM(H21:H35)</f>
        <v>0</v>
      </c>
      <c r="I40" s="304">
        <f t="shared" si="0"/>
        <v>0</v>
      </c>
      <c r="J40" s="304" t="e">
        <f t="shared" si="0"/>
        <v>#DIV/0!</v>
      </c>
      <c r="K40" s="304">
        <f t="shared" si="0"/>
        <v>0</v>
      </c>
      <c r="L40" s="304">
        <f t="shared" si="0"/>
        <v>0</v>
      </c>
      <c r="M40" s="304">
        <f t="shared" si="0"/>
        <v>0</v>
      </c>
      <c r="N40" s="304">
        <f t="shared" si="0"/>
        <v>0</v>
      </c>
      <c r="O40" s="304">
        <f t="shared" si="0"/>
        <v>0</v>
      </c>
      <c r="P40" s="304">
        <f t="shared" si="0"/>
        <v>0</v>
      </c>
      <c r="Q40" s="304">
        <f t="shared" si="0"/>
        <v>0</v>
      </c>
      <c r="R40" s="304">
        <f t="shared" si="0"/>
        <v>0</v>
      </c>
      <c r="S40" s="304">
        <f t="shared" si="0"/>
        <v>0</v>
      </c>
      <c r="T40" s="304">
        <f t="shared" si="0"/>
        <v>0</v>
      </c>
      <c r="U40" s="304">
        <f t="shared" si="0"/>
        <v>0</v>
      </c>
      <c r="V40" s="304">
        <f t="shared" si="0"/>
        <v>0</v>
      </c>
      <c r="W40" s="304">
        <f t="shared" si="0"/>
        <v>0</v>
      </c>
      <c r="X40" s="304">
        <f t="shared" si="0"/>
        <v>0</v>
      </c>
      <c r="Y40" s="304">
        <f t="shared" si="0"/>
        <v>0</v>
      </c>
      <c r="Z40" s="304">
        <f t="shared" si="0"/>
        <v>0</v>
      </c>
      <c r="AA40" s="304">
        <f t="shared" si="0"/>
        <v>0</v>
      </c>
      <c r="AB40" s="304">
        <f t="shared" si="0"/>
        <v>0</v>
      </c>
      <c r="AC40" s="304">
        <f t="shared" si="0"/>
        <v>0</v>
      </c>
      <c r="AD40" s="304">
        <f t="shared" si="0"/>
        <v>0</v>
      </c>
      <c r="AE40" s="304">
        <f t="shared" si="0"/>
        <v>0</v>
      </c>
      <c r="AF40" s="304">
        <f t="shared" si="0"/>
        <v>0</v>
      </c>
      <c r="AG40" s="304">
        <f t="shared" si="0"/>
        <v>0</v>
      </c>
      <c r="AH40" s="304">
        <f t="shared" si="0"/>
        <v>0</v>
      </c>
      <c r="AI40" s="180"/>
      <c r="AJ40" s="304" t="e">
        <f>SUM(AJ21:AJ35)</f>
        <v>#DIV/0!</v>
      </c>
      <c r="AK40" s="180"/>
      <c r="AL40" s="305" t="e">
        <f>SUM(AL21:AL35)</f>
        <v>#DIV/0!</v>
      </c>
      <c r="AM40" s="305" t="e">
        <f>SUM(AM21:AM35)</f>
        <v>#DIV/0!</v>
      </c>
      <c r="AN40" s="180"/>
      <c r="AO40" s="180"/>
      <c r="AQ40" s="180"/>
      <c r="AR40" s="180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80"/>
      <c r="BH40" s="180"/>
      <c r="BJ40" s="180"/>
      <c r="BK40" s="180"/>
      <c r="CA40" s="180"/>
      <c r="CB40" s="180"/>
      <c r="CD40" s="180"/>
      <c r="CE40" s="180"/>
    </row>
    <row r="41" spans="1:83" s="255" customFormat="1" ht="8.15" customHeight="1" outlineLevel="1" x14ac:dyDescent="0.35">
      <c r="A41" s="254"/>
      <c r="B41" s="254"/>
      <c r="D41" s="180"/>
      <c r="E41" s="180"/>
      <c r="F41" s="180"/>
      <c r="G41" s="180"/>
      <c r="H41" s="181"/>
      <c r="I41" s="181"/>
      <c r="J41" s="181"/>
      <c r="K41" s="181"/>
      <c r="L41" s="180"/>
      <c r="M41" s="180"/>
      <c r="N41" s="181"/>
      <c r="O41" s="180"/>
      <c r="P41" s="180"/>
      <c r="Q41" s="181"/>
      <c r="R41" s="180"/>
      <c r="S41" s="180"/>
      <c r="T41" s="181"/>
      <c r="U41" s="180"/>
      <c r="V41" s="180"/>
      <c r="W41" s="181"/>
      <c r="X41" s="180"/>
      <c r="Y41" s="180"/>
      <c r="Z41" s="181"/>
      <c r="AA41" s="180"/>
      <c r="AB41" s="180"/>
      <c r="AC41" s="181"/>
      <c r="AD41" s="180"/>
      <c r="AE41" s="180"/>
      <c r="AF41" s="181"/>
      <c r="AG41" s="180"/>
      <c r="AH41" s="180"/>
      <c r="AI41" s="181"/>
      <c r="AJ41" s="181"/>
      <c r="AK41" s="181"/>
      <c r="AL41" s="180"/>
      <c r="AM41" s="180"/>
      <c r="AN41" s="180"/>
      <c r="AO41" s="180"/>
      <c r="AQ41" s="180"/>
      <c r="AR41" s="180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80"/>
      <c r="BH41" s="180"/>
      <c r="BJ41" s="180"/>
      <c r="BK41" s="180"/>
      <c r="CA41" s="180"/>
      <c r="CB41" s="180"/>
      <c r="CD41" s="180"/>
      <c r="CE41" s="180"/>
    </row>
    <row r="42" spans="1:83" ht="15.75" customHeight="1" outlineLevel="1" x14ac:dyDescent="0.35">
      <c r="H42" s="262" t="str">
        <f>H14&amp;" Round"</f>
        <v>Seed Round</v>
      </c>
      <c r="J42" s="262" t="str">
        <f>H42</f>
        <v>Seed Round</v>
      </c>
      <c r="K42" s="262" t="str">
        <f>K14&amp;" Round"</f>
        <v>Series A Round</v>
      </c>
      <c r="M42" s="262" t="str">
        <f>K42</f>
        <v>Series A Round</v>
      </c>
      <c r="N42" s="262" t="str">
        <f>N14&amp;" Round"</f>
        <v>Series B Round</v>
      </c>
      <c r="P42" s="262" t="str">
        <f>N42</f>
        <v>Series B Round</v>
      </c>
      <c r="Q42" s="262" t="str">
        <f>Q14&amp;" Round"</f>
        <v>Series C Round</v>
      </c>
      <c r="S42" s="262" t="str">
        <f>Q42</f>
        <v>Series C Round</v>
      </c>
      <c r="T42" s="262" t="str">
        <f>T14&amp;" Round"</f>
        <v>Series D Round</v>
      </c>
      <c r="V42" s="262" t="str">
        <f>T42</f>
        <v>Series D Round</v>
      </c>
      <c r="W42" s="262" t="str">
        <f>W14&amp;" Round"</f>
        <v>Series E Round</v>
      </c>
      <c r="Y42" s="262" t="str">
        <f>W42</f>
        <v>Series E Round</v>
      </c>
      <c r="Z42" s="262" t="str">
        <f>Z14&amp;" Round"</f>
        <v>Series E-1 Round</v>
      </c>
      <c r="AB42" s="262" t="str">
        <f>Z42</f>
        <v>Series E-1 Round</v>
      </c>
      <c r="AC42" s="262" t="str">
        <f>AC14&amp;" Round"</f>
        <v>Series F Round</v>
      </c>
      <c r="AE42" s="262" t="str">
        <f>AC42</f>
        <v>Series F Round</v>
      </c>
      <c r="AF42" s="262" t="str">
        <f>AF14&amp;" Round"</f>
        <v>Series G Round</v>
      </c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/>
      <c r="BY42" s="191"/>
      <c r="BZ42" s="191"/>
    </row>
    <row r="43" spans="1:83" ht="15.75" customHeight="1" outlineLevel="1" x14ac:dyDescent="0.35">
      <c r="D43" s="236" t="s">
        <v>22</v>
      </c>
      <c r="H43" s="319" t="e">
        <f>'Cap Table'!H59</f>
        <v>#DIV/0!</v>
      </c>
      <c r="J43" s="319" t="e">
        <f>H43</f>
        <v>#DIV/0!</v>
      </c>
      <c r="K43" s="319">
        <f>'Cap Table'!P59</f>
        <v>0</v>
      </c>
      <c r="M43" s="319">
        <f>K43</f>
        <v>0</v>
      </c>
      <c r="N43" s="319">
        <f>'Cap Table'!X59</f>
        <v>0</v>
      </c>
      <c r="P43" s="319">
        <f>N43</f>
        <v>0</v>
      </c>
      <c r="Q43" s="319">
        <f>'Cap Table'!AF59</f>
        <v>0</v>
      </c>
      <c r="S43" s="319">
        <f>Q43</f>
        <v>0</v>
      </c>
      <c r="T43" s="319">
        <f>'Cap Table'!AN59</f>
        <v>0</v>
      </c>
      <c r="V43" s="319">
        <f>T43</f>
        <v>0</v>
      </c>
      <c r="W43" s="319">
        <f>'Cap Table'!AV59</f>
        <v>0</v>
      </c>
      <c r="Y43" s="319">
        <f>W43</f>
        <v>0</v>
      </c>
      <c r="Z43" s="319">
        <f>'Cap Table'!BD59</f>
        <v>0</v>
      </c>
      <c r="AB43" s="319">
        <f>Z43</f>
        <v>0</v>
      </c>
      <c r="AC43" s="319">
        <f>'Cap Table'!BL59</f>
        <v>0</v>
      </c>
      <c r="AE43" s="319">
        <f>AC43</f>
        <v>0</v>
      </c>
      <c r="AF43" s="319">
        <f>'Cap Table'!BT59</f>
        <v>0</v>
      </c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</row>
    <row r="44" spans="1:83" ht="15.75" customHeight="1" outlineLevel="1" x14ac:dyDescent="0.35">
      <c r="D44" s="236" t="s">
        <v>80</v>
      </c>
      <c r="H44" s="319" t="e">
        <f>'Cap Table'!H60</f>
        <v>#DIV/0!</v>
      </c>
      <c r="J44" s="319" t="e">
        <f>H44</f>
        <v>#DIV/0!</v>
      </c>
      <c r="K44" s="319">
        <f>'Cap Table'!P60</f>
        <v>0</v>
      </c>
      <c r="M44" s="319">
        <f>K44</f>
        <v>0</v>
      </c>
      <c r="N44" s="319">
        <f>'Cap Table'!X60</f>
        <v>0</v>
      </c>
      <c r="P44" s="319">
        <f>N44</f>
        <v>0</v>
      </c>
      <c r="Q44" s="319">
        <f>'Cap Table'!AF60</f>
        <v>0</v>
      </c>
      <c r="S44" s="319">
        <f>Q44</f>
        <v>0</v>
      </c>
      <c r="T44" s="319">
        <f>'Cap Table'!AN60</f>
        <v>0</v>
      </c>
      <c r="V44" s="319">
        <f>T44</f>
        <v>0</v>
      </c>
      <c r="W44" s="319">
        <f>'Cap Table'!AV60</f>
        <v>0</v>
      </c>
      <c r="Y44" s="319">
        <f>W44</f>
        <v>0</v>
      </c>
      <c r="Z44" s="319">
        <f>'Cap Table'!BD60</f>
        <v>0</v>
      </c>
      <c r="AB44" s="319">
        <f>Z44</f>
        <v>0</v>
      </c>
      <c r="AC44" s="319">
        <f>'Cap Table'!BL60</f>
        <v>0</v>
      </c>
      <c r="AE44" s="319">
        <f>AC44</f>
        <v>0</v>
      </c>
      <c r="AF44" s="319">
        <f>'Cap Table'!BT60</f>
        <v>0</v>
      </c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</row>
    <row r="45" spans="1:83" ht="15.75" customHeight="1" outlineLevel="1" x14ac:dyDescent="0.35">
      <c r="D45" s="236" t="s">
        <v>25</v>
      </c>
      <c r="H45" s="319" t="e">
        <f>'Cap Table'!H61</f>
        <v>#DIV/0!</v>
      </c>
      <c r="J45" s="319" t="e">
        <f>H45</f>
        <v>#DIV/0!</v>
      </c>
      <c r="K45" s="319">
        <f>'Cap Table'!P61</f>
        <v>0</v>
      </c>
      <c r="M45" s="319">
        <f>K45</f>
        <v>0</v>
      </c>
      <c r="N45" s="319">
        <f>'Cap Table'!X61</f>
        <v>0</v>
      </c>
      <c r="P45" s="319">
        <f>N45</f>
        <v>0</v>
      </c>
      <c r="Q45" s="319">
        <f>'Cap Table'!AF61</f>
        <v>0</v>
      </c>
      <c r="S45" s="319">
        <f>Q45</f>
        <v>0</v>
      </c>
      <c r="T45" s="319">
        <f>'Cap Table'!AN61</f>
        <v>0</v>
      </c>
      <c r="V45" s="319">
        <f>T45</f>
        <v>0</v>
      </c>
      <c r="W45" s="319">
        <f>'Cap Table'!AV61</f>
        <v>0</v>
      </c>
      <c r="Y45" s="319">
        <f>W45</f>
        <v>0</v>
      </c>
      <c r="Z45" s="319">
        <f>'Cap Table'!BD61</f>
        <v>0</v>
      </c>
      <c r="AB45" s="319">
        <f>Z45</f>
        <v>0</v>
      </c>
      <c r="AC45" s="319">
        <f>'Cap Table'!BL61</f>
        <v>0</v>
      </c>
      <c r="AE45" s="319">
        <f>AC45</f>
        <v>0</v>
      </c>
      <c r="AF45" s="319">
        <f>'Cap Table'!BT61</f>
        <v>0</v>
      </c>
    </row>
    <row r="46" spans="1:83" ht="15.75" customHeight="1" outlineLevel="1" x14ac:dyDescent="0.35">
      <c r="H46" s="192"/>
      <c r="K46" s="192"/>
      <c r="N46" s="192"/>
      <c r="Q46" s="192"/>
      <c r="T46" s="192"/>
      <c r="W46" s="192"/>
      <c r="Z46" s="192"/>
      <c r="AC46" s="192"/>
      <c r="AF46" s="192"/>
    </row>
    <row r="47" spans="1:83" s="713" customFormat="1" ht="15.75" customHeight="1" x14ac:dyDescent="0.35">
      <c r="A47" s="712"/>
      <c r="B47" s="712" t="s">
        <v>531</v>
      </c>
      <c r="C47" s="712"/>
    </row>
    <row r="48" spans="1:83" ht="15.75" customHeight="1" outlineLevel="1" x14ac:dyDescent="0.35"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</row>
    <row r="49" spans="4:78" ht="15.75" customHeight="1" outlineLevel="1" x14ac:dyDescent="0.35">
      <c r="AS49" s="28" t="s">
        <v>147</v>
      </c>
      <c r="AT49" s="29"/>
      <c r="AU49" s="29"/>
      <c r="AV49" s="29"/>
      <c r="AW49" s="29"/>
      <c r="AX49" s="29"/>
      <c r="AY49" s="30"/>
      <c r="AZ49" s="2"/>
      <c r="BB49" s="28" t="s">
        <v>147</v>
      </c>
      <c r="BC49" s="29"/>
      <c r="BD49" s="29"/>
      <c r="BE49" s="30"/>
      <c r="BF49" s="30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</row>
    <row r="50" spans="4:78" ht="8.65" customHeight="1" outlineLevel="1" x14ac:dyDescent="0.35">
      <c r="AS50" s="22"/>
      <c r="AT50" s="2"/>
      <c r="AU50" s="2"/>
      <c r="AV50" s="2"/>
      <c r="AW50" s="2"/>
      <c r="AX50" s="2"/>
      <c r="AZ50" s="2"/>
      <c r="BB50" s="22"/>
      <c r="BL50" s="191"/>
      <c r="BM50" s="191"/>
      <c r="BN50" s="191"/>
      <c r="BO50" s="191"/>
      <c r="BP50" s="191"/>
      <c r="BQ50" s="191"/>
      <c r="BR50" s="191"/>
      <c r="BS50" s="191"/>
      <c r="BT50" s="191"/>
      <c r="BU50" s="191"/>
      <c r="BV50" s="191"/>
      <c r="BW50" s="191"/>
      <c r="BX50" s="191"/>
      <c r="BY50" s="191"/>
      <c r="BZ50" s="191"/>
    </row>
    <row r="51" spans="4:78" ht="15.75" customHeight="1" outlineLevel="1" x14ac:dyDescent="0.65">
      <c r="D51" s="273"/>
      <c r="AS51" s="158" t="s">
        <v>148</v>
      </c>
      <c r="AT51" s="29"/>
      <c r="AU51" s="730" t="s">
        <v>150</v>
      </c>
      <c r="AV51" s="29"/>
      <c r="AW51" s="1346" t="s">
        <v>151</v>
      </c>
      <c r="AX51" s="1346"/>
      <c r="AY51" s="1346"/>
      <c r="AZ51" s="32"/>
      <c r="BA51" s="31"/>
      <c r="BB51" s="158" t="s">
        <v>148</v>
      </c>
      <c r="BC51" s="1346" t="s">
        <v>532</v>
      </c>
      <c r="BD51" s="1346"/>
      <c r="BE51" s="1346"/>
      <c r="BF51" s="1346"/>
      <c r="BL51" s="191"/>
      <c r="BM51" s="191"/>
      <c r="BN51" s="191"/>
      <c r="BO51" s="191"/>
      <c r="BP51" s="191"/>
      <c r="BQ51" s="191"/>
      <c r="BR51" s="191"/>
      <c r="BS51" s="191"/>
      <c r="BT51" s="191"/>
      <c r="BU51" s="191"/>
      <c r="BV51" s="191"/>
      <c r="BW51" s="191"/>
      <c r="BX51" s="191"/>
      <c r="BY51" s="191"/>
      <c r="BZ51" s="191"/>
    </row>
    <row r="52" spans="4:78" ht="8.65" customHeight="1" outlineLevel="1" x14ac:dyDescent="0.35">
      <c r="D52" s="273"/>
      <c r="AS52" s="22"/>
      <c r="AT52" s="2"/>
      <c r="AU52" s="2"/>
      <c r="AV52" s="2"/>
      <c r="AW52" s="2"/>
      <c r="AX52" s="2"/>
      <c r="AZ52" s="2"/>
      <c r="BB52" s="22"/>
      <c r="BL52" s="191"/>
      <c r="BM52" s="191"/>
      <c r="BN52" s="191"/>
      <c r="BO52" s="191"/>
      <c r="BP52" s="191"/>
      <c r="BQ52" s="191"/>
      <c r="BR52" s="191"/>
      <c r="BS52" s="191"/>
      <c r="BT52" s="191"/>
      <c r="BU52" s="191"/>
      <c r="BV52" s="191"/>
      <c r="BW52" s="191"/>
      <c r="BX52" s="191"/>
      <c r="BY52" s="191"/>
      <c r="BZ52" s="191"/>
    </row>
    <row r="53" spans="4:78" ht="15.75" customHeight="1" outlineLevel="1" x14ac:dyDescent="0.35">
      <c r="D53" s="273"/>
      <c r="AS53" s="2"/>
      <c r="AT53" s="35">
        <f>'Financial STD'!E11</f>
        <v>0</v>
      </c>
      <c r="AU53" s="123">
        <f ca="1">'Financial STD'!N11</f>
        <v>2026</v>
      </c>
      <c r="AV53" s="35">
        <f>'Financial STD'!O11</f>
        <v>0</v>
      </c>
      <c r="AW53" s="35" t="str">
        <f ca="1">'Financial STD'!P11</f>
        <v>2027P</v>
      </c>
      <c r="AX53" s="35" t="str">
        <f ca="1">'Financial STD'!Q11</f>
        <v>2028P</v>
      </c>
      <c r="AY53" s="35" t="str">
        <f ca="1">'Financial STD'!R11</f>
        <v>2029P</v>
      </c>
      <c r="AZ53" s="35">
        <f>'Financial STD'!S11</f>
        <v>0</v>
      </c>
      <c r="BB53" s="2"/>
      <c r="BC53" s="35" t="str">
        <f ca="1">'Financial STD'!T11</f>
        <v>2026S</v>
      </c>
      <c r="BD53" s="35" t="str">
        <f ca="1">'Financial STD'!U11</f>
        <v>2027S</v>
      </c>
      <c r="BE53" s="35" t="str">
        <f ca="1">'Financial STD'!V11</f>
        <v>2028S</v>
      </c>
      <c r="BF53" s="35" t="str">
        <f ca="1">'Financial STD'!W11</f>
        <v>2029S</v>
      </c>
      <c r="BL53" s="191"/>
      <c r="BM53" s="191"/>
      <c r="BN53" s="191"/>
      <c r="BO53" s="191"/>
      <c r="BP53" s="191"/>
      <c r="BQ53" s="191"/>
      <c r="BR53" s="191"/>
      <c r="BS53" s="191"/>
      <c r="BT53" s="191"/>
      <c r="BU53" s="191"/>
      <c r="BV53" s="191"/>
      <c r="BW53" s="191"/>
      <c r="BX53" s="191"/>
      <c r="BY53" s="191"/>
      <c r="BZ53" s="191"/>
    </row>
    <row r="54" spans="4:78" ht="15.75" customHeight="1" outlineLevel="1" x14ac:dyDescent="0.35">
      <c r="D54" s="273"/>
      <c r="AS54" s="69" t="str">
        <f>'Financial STD'!C18</f>
        <v>Total Revenue</v>
      </c>
      <c r="AT54" s="68">
        <f>'Financial STD'!E18</f>
        <v>0</v>
      </c>
      <c r="AU54" s="731">
        <f>'Financial STD'!N18</f>
        <v>0</v>
      </c>
      <c r="AV54" s="732">
        <f>'Financial STD'!O18</f>
        <v>0</v>
      </c>
      <c r="AW54" s="731">
        <f>'Financial STD'!P18</f>
        <v>0</v>
      </c>
      <c r="AX54" s="731">
        <f>'Financial STD'!Q18</f>
        <v>0</v>
      </c>
      <c r="AY54" s="731">
        <f>'Financial STD'!R18</f>
        <v>0</v>
      </c>
      <c r="AZ54" s="732">
        <f>'Financial STD'!S18</f>
        <v>0</v>
      </c>
      <c r="BA54" s="733"/>
      <c r="BB54" s="734" t="str">
        <f>AS54</f>
        <v>Total Revenue</v>
      </c>
      <c r="BC54" s="735">
        <f>'Financial STD'!T18</f>
        <v>0</v>
      </c>
      <c r="BD54" s="735">
        <f>'Financial STD'!U18</f>
        <v>0</v>
      </c>
      <c r="BE54" s="735">
        <f>'Financial STD'!V18</f>
        <v>0</v>
      </c>
      <c r="BF54" s="735">
        <f>'Financial STD'!W18</f>
        <v>0</v>
      </c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</row>
    <row r="55" spans="4:78" ht="12.65" customHeight="1" outlineLevel="1" x14ac:dyDescent="0.35">
      <c r="D55" s="273"/>
      <c r="AS55" s="60" t="str">
        <f>'Financial STD'!C19</f>
        <v>YoY Growth</v>
      </c>
      <c r="AT55" s="2">
        <f>'Financial STD'!E19</f>
        <v>0</v>
      </c>
      <c r="AU55" s="736" t="e">
        <f>'Financial STD'!N19</f>
        <v>#DIV/0!</v>
      </c>
      <c r="AV55" s="737">
        <f>'Financial STD'!O19</f>
        <v>0</v>
      </c>
      <c r="AW55" s="736" t="e">
        <f>'Financial STD'!P19</f>
        <v>#DIV/0!</v>
      </c>
      <c r="AX55" s="736" t="e">
        <f>'Financial STD'!Q19</f>
        <v>#DIV/0!</v>
      </c>
      <c r="AY55" s="736" t="e">
        <f>'Financial STD'!R19</f>
        <v>#DIV/0!</v>
      </c>
      <c r="AZ55" s="738">
        <f>'Financial STD'!S19</f>
        <v>0</v>
      </c>
      <c r="BA55" s="733"/>
      <c r="BB55" s="739" t="str">
        <f>AS55</f>
        <v>YoY Growth</v>
      </c>
      <c r="BC55" s="736" t="e">
        <f>'Financial STD'!T19</f>
        <v>#DIV/0!</v>
      </c>
      <c r="BD55" s="736" t="e">
        <f>'Financial STD'!U19</f>
        <v>#DIV/0!</v>
      </c>
      <c r="BE55" s="736" t="e">
        <f>'Financial STD'!V19</f>
        <v>#DIV/0!</v>
      </c>
      <c r="BF55" s="736" t="e">
        <f>'Financial STD'!W19</f>
        <v>#DIV/0!</v>
      </c>
      <c r="BL55" s="22"/>
      <c r="BM55" s="2"/>
      <c r="BN55" s="2"/>
      <c r="BO55" s="2"/>
      <c r="BP55" s="2"/>
      <c r="BQ55" s="2"/>
      <c r="BU55" s="22"/>
      <c r="BV55" s="2"/>
    </row>
    <row r="56" spans="4:78" ht="8.65" customHeight="1" outlineLevel="1" x14ac:dyDescent="0.35">
      <c r="D56" s="273"/>
      <c r="AS56" s="22"/>
      <c r="AT56" s="2"/>
      <c r="AU56" s="740"/>
      <c r="AV56" s="740"/>
      <c r="AW56" s="740"/>
      <c r="AX56" s="740"/>
      <c r="AY56" s="733"/>
      <c r="AZ56" s="740"/>
      <c r="BA56" s="733"/>
      <c r="BB56" s="741"/>
      <c r="BC56" s="733"/>
      <c r="BD56" s="733"/>
      <c r="BE56" s="733"/>
      <c r="BF56" s="733"/>
    </row>
    <row r="57" spans="4:78" ht="15.75" customHeight="1" outlineLevel="1" x14ac:dyDescent="0.35">
      <c r="D57" s="273"/>
      <c r="AS57" s="22" t="str">
        <f>'Financial STD'!C21</f>
        <v>Cost of Goods Sold</v>
      </c>
      <c r="AT57" s="2">
        <f>'Financial STD'!E21</f>
        <v>0</v>
      </c>
      <c r="AU57" s="742">
        <f>'Financial STD'!N21</f>
        <v>0</v>
      </c>
      <c r="AV57" s="740">
        <f>'Financial STD'!O21</f>
        <v>0</v>
      </c>
      <c r="AW57" s="742">
        <f>'Financial STD'!P21</f>
        <v>0</v>
      </c>
      <c r="AX57" s="742">
        <f>'Financial STD'!Q21</f>
        <v>0</v>
      </c>
      <c r="AY57" s="742">
        <f>'Financial STD'!R21</f>
        <v>0</v>
      </c>
      <c r="AZ57" s="740">
        <f>'Financial STD'!S21</f>
        <v>0</v>
      </c>
      <c r="BA57" s="733"/>
      <c r="BB57" s="741" t="str">
        <f>AS57</f>
        <v>Cost of Goods Sold</v>
      </c>
      <c r="BC57" s="743">
        <f>'Financial STD'!T21</f>
        <v>0</v>
      </c>
      <c r="BD57" s="743">
        <f>'Financial STD'!U21</f>
        <v>0</v>
      </c>
      <c r="BE57" s="743">
        <f>'Financial STD'!V21</f>
        <v>0</v>
      </c>
      <c r="BF57" s="743">
        <f>'Financial STD'!W21</f>
        <v>0</v>
      </c>
    </row>
    <row r="58" spans="4:78" ht="12.65" customHeight="1" outlineLevel="1" x14ac:dyDescent="0.35">
      <c r="AS58" s="60" t="str">
        <f>'Financial STD'!C22</f>
        <v>% of Total Revenue</v>
      </c>
      <c r="AT58" s="2">
        <f>'Financial STD'!E22</f>
        <v>0</v>
      </c>
      <c r="AU58" s="736" t="e">
        <f>'Financial STD'!N22</f>
        <v>#DIV/0!</v>
      </c>
      <c r="AV58" s="737">
        <f>'Financial STD'!O22</f>
        <v>0</v>
      </c>
      <c r="AW58" s="736" t="e">
        <f>'Financial STD'!P22</f>
        <v>#DIV/0!</v>
      </c>
      <c r="AX58" s="736" t="e">
        <f>'Financial STD'!Q22</f>
        <v>#DIV/0!</v>
      </c>
      <c r="AY58" s="736" t="e">
        <f>'Financial STD'!R22</f>
        <v>#DIV/0!</v>
      </c>
      <c r="AZ58" s="738">
        <f>'Financial STD'!S22</f>
        <v>0</v>
      </c>
      <c r="BA58" s="733"/>
      <c r="BB58" s="739" t="str">
        <f>AS58</f>
        <v>% of Total Revenue</v>
      </c>
      <c r="BC58" s="736" t="e">
        <f>'Financial STD'!T22</f>
        <v>#DIV/0!</v>
      </c>
      <c r="BD58" s="736" t="e">
        <f>'Financial STD'!U22</f>
        <v>#DIV/0!</v>
      </c>
      <c r="BE58" s="736" t="e">
        <f>'Financial STD'!V22</f>
        <v>#DIV/0!</v>
      </c>
      <c r="BF58" s="736" t="e">
        <f>'Financial STD'!W22</f>
        <v>#DIV/0!</v>
      </c>
    </row>
    <row r="59" spans="4:78" ht="8.65" customHeight="1" outlineLevel="1" x14ac:dyDescent="0.35">
      <c r="AS59" s="22"/>
      <c r="AT59" s="2"/>
      <c r="AU59" s="740"/>
      <c r="AV59" s="740"/>
      <c r="AW59" s="740"/>
      <c r="AX59" s="740"/>
      <c r="AY59" s="733"/>
      <c r="AZ59" s="740"/>
      <c r="BA59" s="733"/>
      <c r="BB59" s="741"/>
      <c r="BC59" s="733"/>
      <c r="BD59" s="733"/>
      <c r="BE59" s="733"/>
      <c r="BF59" s="733"/>
    </row>
    <row r="60" spans="4:78" ht="15.75" customHeight="1" outlineLevel="1" x14ac:dyDescent="0.35">
      <c r="AS60" s="69" t="str">
        <f>'Financial STD'!C24</f>
        <v>Gross Profit</v>
      </c>
      <c r="AT60" s="68">
        <f>'Financial STD'!E24</f>
        <v>0</v>
      </c>
      <c r="AU60" s="744">
        <f>'Financial STD'!N24</f>
        <v>0</v>
      </c>
      <c r="AV60" s="732">
        <f>'Financial STD'!O24</f>
        <v>0</v>
      </c>
      <c r="AW60" s="744">
        <f>'Financial STD'!P24</f>
        <v>0</v>
      </c>
      <c r="AX60" s="744">
        <f>'Financial STD'!Q24</f>
        <v>0</v>
      </c>
      <c r="AY60" s="744">
        <f>'Financial STD'!R24</f>
        <v>0</v>
      </c>
      <c r="AZ60" s="732">
        <f>'Financial STD'!S24</f>
        <v>0</v>
      </c>
      <c r="BA60" s="733"/>
      <c r="BB60" s="734" t="str">
        <f>AS60</f>
        <v>Gross Profit</v>
      </c>
      <c r="BC60" s="744">
        <f>'Financial STD'!T24</f>
        <v>0</v>
      </c>
      <c r="BD60" s="744">
        <f>'Financial STD'!U24</f>
        <v>0</v>
      </c>
      <c r="BE60" s="744">
        <f>'Financial STD'!V24</f>
        <v>0</v>
      </c>
      <c r="BF60" s="744">
        <f>'Financial STD'!W24</f>
        <v>0</v>
      </c>
    </row>
    <row r="61" spans="4:78" ht="8.65" customHeight="1" outlineLevel="1" x14ac:dyDescent="0.35">
      <c r="AS61" s="22"/>
      <c r="AT61" s="2"/>
      <c r="AU61" s="740"/>
      <c r="AV61" s="740"/>
      <c r="AW61" s="740"/>
      <c r="AX61" s="740"/>
      <c r="AY61" s="733"/>
      <c r="AZ61" s="740"/>
      <c r="BA61" s="733"/>
      <c r="BB61" s="741"/>
      <c r="BC61" s="733"/>
      <c r="BD61" s="733"/>
      <c r="BE61" s="733"/>
      <c r="BF61" s="733"/>
    </row>
    <row r="62" spans="4:78" ht="15.75" customHeight="1" outlineLevel="1" x14ac:dyDescent="0.35">
      <c r="AS62" s="69" t="str">
        <f>'Financial STD'!C32</f>
        <v>Total Operating Expenses</v>
      </c>
      <c r="AT62" s="68">
        <f>'Financial STD'!E32</f>
        <v>0</v>
      </c>
      <c r="AU62" s="731">
        <f>'Financial STD'!N32</f>
        <v>0</v>
      </c>
      <c r="AV62" s="732">
        <f>'Financial STD'!O32</f>
        <v>0</v>
      </c>
      <c r="AW62" s="731">
        <f>'Financial STD'!P32</f>
        <v>0</v>
      </c>
      <c r="AX62" s="731">
        <f>'Financial STD'!Q32</f>
        <v>0</v>
      </c>
      <c r="AY62" s="731">
        <f>'Financial STD'!R32</f>
        <v>0</v>
      </c>
      <c r="AZ62" s="732">
        <f>'Financial STD'!S32</f>
        <v>0</v>
      </c>
      <c r="BA62" s="733"/>
      <c r="BB62" s="734" t="str">
        <f>AS62</f>
        <v>Total Operating Expenses</v>
      </c>
      <c r="BC62" s="745">
        <f>'Financial STD'!T32</f>
        <v>0</v>
      </c>
      <c r="BD62" s="745">
        <f>'Financial STD'!U32</f>
        <v>0</v>
      </c>
      <c r="BE62" s="745">
        <f>'Financial STD'!V32</f>
        <v>0</v>
      </c>
      <c r="BF62" s="745">
        <f>'Financial STD'!W32</f>
        <v>0</v>
      </c>
    </row>
    <row r="63" spans="4:78" ht="12.65" customHeight="1" outlineLevel="1" x14ac:dyDescent="0.35">
      <c r="AS63" s="60" t="str">
        <f>'Financial STD'!C33</f>
        <v>YoY Growth</v>
      </c>
      <c r="AT63" s="2">
        <f>'Financial STD'!E33</f>
        <v>0</v>
      </c>
      <c r="AU63" s="736" t="e">
        <f>'Financial STD'!N33</f>
        <v>#DIV/0!</v>
      </c>
      <c r="AV63" s="737">
        <f>'Financial STD'!O33</f>
        <v>0</v>
      </c>
      <c r="AW63" s="736" t="e">
        <f>'Financial STD'!P33</f>
        <v>#DIV/0!</v>
      </c>
      <c r="AX63" s="736" t="e">
        <f>'Financial STD'!Q33</f>
        <v>#DIV/0!</v>
      </c>
      <c r="AY63" s="736" t="e">
        <f>'Financial STD'!R33</f>
        <v>#DIV/0!</v>
      </c>
      <c r="AZ63" s="738">
        <f>'Financial STD'!S33</f>
        <v>0</v>
      </c>
      <c r="BA63" s="733"/>
      <c r="BB63" s="739" t="str">
        <f>AS63</f>
        <v>YoY Growth</v>
      </c>
      <c r="BC63" s="736" t="e">
        <f>'Financial STD'!T33</f>
        <v>#DIV/0!</v>
      </c>
      <c r="BD63" s="736" t="e">
        <f>'Financial STD'!U33</f>
        <v>#DIV/0!</v>
      </c>
      <c r="BE63" s="736" t="e">
        <f>'Financial STD'!V33</f>
        <v>#DIV/0!</v>
      </c>
      <c r="BF63" s="736" t="e">
        <f>'Financial STD'!W33</f>
        <v>#DIV/0!</v>
      </c>
    </row>
    <row r="64" spans="4:78" ht="12.65" customHeight="1" outlineLevel="1" x14ac:dyDescent="0.35">
      <c r="AS64" s="60" t="str">
        <f>'Financial STD'!C34</f>
        <v>Total of Revenue</v>
      </c>
      <c r="AT64" s="2">
        <f>'Financial STD'!E34</f>
        <v>0</v>
      </c>
      <c r="AU64" s="736" t="e">
        <f>'Financial STD'!N34</f>
        <v>#DIV/0!</v>
      </c>
      <c r="AV64" s="737">
        <f>'Financial STD'!O34</f>
        <v>0</v>
      </c>
      <c r="AW64" s="736" t="e">
        <f>'Financial STD'!P34</f>
        <v>#DIV/0!</v>
      </c>
      <c r="AX64" s="736" t="e">
        <f>'Financial STD'!Q34</f>
        <v>#DIV/0!</v>
      </c>
      <c r="AY64" s="736" t="e">
        <f>'Financial STD'!R34</f>
        <v>#DIV/0!</v>
      </c>
      <c r="AZ64" s="740">
        <f>'Financial STD'!S34</f>
        <v>0</v>
      </c>
      <c r="BA64" s="733"/>
      <c r="BB64" s="739" t="str">
        <f>AS64</f>
        <v>Total of Revenue</v>
      </c>
      <c r="BC64" s="736" t="e">
        <f>'Financial STD'!T34</f>
        <v>#DIV/0!</v>
      </c>
      <c r="BD64" s="736" t="e">
        <f>'Financial STD'!U34</f>
        <v>#DIV/0!</v>
      </c>
      <c r="BE64" s="736" t="e">
        <f>'Financial STD'!V34</f>
        <v>#DIV/0!</v>
      </c>
      <c r="BF64" s="736" t="e">
        <f>'Financial STD'!W34</f>
        <v>#DIV/0!</v>
      </c>
    </row>
    <row r="65" spans="45:58" ht="8.65" customHeight="1" outlineLevel="1" x14ac:dyDescent="0.35">
      <c r="AS65" s="22"/>
      <c r="AT65" s="2"/>
      <c r="AU65" s="740"/>
      <c r="AV65" s="740"/>
      <c r="AW65" s="740"/>
      <c r="AX65" s="740"/>
      <c r="AY65" s="733"/>
      <c r="AZ65" s="740"/>
      <c r="BA65" s="733"/>
      <c r="BB65" s="741"/>
      <c r="BC65" s="733"/>
      <c r="BD65" s="733"/>
      <c r="BE65" s="733"/>
      <c r="BF65" s="733"/>
    </row>
    <row r="66" spans="45:58" ht="15.75" customHeight="1" outlineLevel="1" x14ac:dyDescent="0.35">
      <c r="AS66" s="69" t="str">
        <f>'Financial STD'!C36</f>
        <v>Operating Income</v>
      </c>
      <c r="AT66" s="68">
        <f>'Financial STD'!E36</f>
        <v>0</v>
      </c>
      <c r="AU66" s="744">
        <f>'Financial STD'!N36</f>
        <v>0</v>
      </c>
      <c r="AV66" s="732">
        <f>'Financial STD'!O36</f>
        <v>0</v>
      </c>
      <c r="AW66" s="744">
        <f>'Financial STD'!P36</f>
        <v>0</v>
      </c>
      <c r="AX66" s="744">
        <f>'Financial STD'!Q36</f>
        <v>0</v>
      </c>
      <c r="AY66" s="744">
        <f>'Financial STD'!R36</f>
        <v>0</v>
      </c>
      <c r="AZ66" s="732">
        <f>'Financial STD'!S36</f>
        <v>0</v>
      </c>
      <c r="BA66" s="733"/>
      <c r="BB66" s="734" t="str">
        <f>AS66</f>
        <v>Operating Income</v>
      </c>
      <c r="BC66" s="744">
        <f>'Financial STD'!T36</f>
        <v>0</v>
      </c>
      <c r="BD66" s="744">
        <f>'Financial STD'!U36</f>
        <v>0</v>
      </c>
      <c r="BE66" s="744">
        <f>'Financial STD'!V36</f>
        <v>0</v>
      </c>
      <c r="BF66" s="744">
        <f>'Financial STD'!W36</f>
        <v>0</v>
      </c>
    </row>
    <row r="67" spans="45:58" ht="12.65" customHeight="1" outlineLevel="1" x14ac:dyDescent="0.35">
      <c r="AS67" s="60" t="str">
        <f>'Financial STD'!C37</f>
        <v>Operating Margin</v>
      </c>
      <c r="AT67" s="2">
        <f>'Financial STD'!E37</f>
        <v>0</v>
      </c>
      <c r="AU67" s="746" t="e">
        <f>'Financial STD'!N37</f>
        <v>#DIV/0!</v>
      </c>
      <c r="AV67" s="737">
        <f>'Financial STD'!O37</f>
        <v>0</v>
      </c>
      <c r="AW67" s="746" t="e">
        <f>'Financial STD'!P37</f>
        <v>#DIV/0!</v>
      </c>
      <c r="AX67" s="746" t="e">
        <f>'Financial STD'!Q37</f>
        <v>#DIV/0!</v>
      </c>
      <c r="AY67" s="746" t="e">
        <f>'Financial STD'!R37</f>
        <v>#DIV/0!</v>
      </c>
      <c r="AZ67" s="738">
        <f>'Financial STD'!S37</f>
        <v>0</v>
      </c>
      <c r="BA67" s="733"/>
      <c r="BB67" s="739" t="str">
        <f>AS67</f>
        <v>Operating Margin</v>
      </c>
      <c r="BC67" s="746" t="e">
        <f>'Financial STD'!T37</f>
        <v>#DIV/0!</v>
      </c>
      <c r="BD67" s="746" t="e">
        <f>'Financial STD'!U37</f>
        <v>#DIV/0!</v>
      </c>
      <c r="BE67" s="746" t="e">
        <f>'Financial STD'!V37</f>
        <v>#DIV/0!</v>
      </c>
      <c r="BF67" s="746" t="e">
        <f>'Financial STD'!W37</f>
        <v>#DIV/0!</v>
      </c>
    </row>
    <row r="68" spans="45:58" ht="8.65" customHeight="1" outlineLevel="1" x14ac:dyDescent="0.35">
      <c r="AS68" s="22"/>
      <c r="AT68" s="2"/>
      <c r="AU68" s="740"/>
      <c r="AV68" s="740"/>
      <c r="AW68" s="740"/>
      <c r="AX68" s="740"/>
      <c r="AY68" s="733"/>
      <c r="AZ68" s="740"/>
      <c r="BA68" s="733"/>
      <c r="BB68" s="741"/>
      <c r="BC68" s="733"/>
      <c r="BD68" s="733"/>
      <c r="BE68" s="733"/>
      <c r="BF68" s="733"/>
    </row>
    <row r="69" spans="45:58" ht="15.75" customHeight="1" outlineLevel="1" x14ac:dyDescent="0.35">
      <c r="AS69" s="69" t="str">
        <f>'Financial STD'!C43</f>
        <v>Net Income</v>
      </c>
      <c r="AT69" s="68">
        <f>'Financial STD'!E43</f>
        <v>0</v>
      </c>
      <c r="AU69" s="744">
        <f>'Financial STD'!N43</f>
        <v>0</v>
      </c>
      <c r="AV69" s="744">
        <f>'Financial STD'!O43</f>
        <v>0</v>
      </c>
      <c r="AW69" s="744">
        <f>'Financial STD'!P43</f>
        <v>0</v>
      </c>
      <c r="AX69" s="744">
        <f>'Financial STD'!Q43</f>
        <v>0</v>
      </c>
      <c r="AY69" s="744">
        <f>'Financial STD'!R43</f>
        <v>0</v>
      </c>
      <c r="AZ69" s="744">
        <f>'Financial STD'!S43</f>
        <v>0</v>
      </c>
      <c r="BA69" s="733"/>
      <c r="BB69" s="734" t="str">
        <f>AS69</f>
        <v>Net Income</v>
      </c>
      <c r="BC69" s="744">
        <f>'Financial STD'!T43</f>
        <v>0</v>
      </c>
      <c r="BD69" s="744">
        <f>'Financial STD'!U43</f>
        <v>0</v>
      </c>
      <c r="BE69" s="744">
        <f>'Financial STD'!V43</f>
        <v>0</v>
      </c>
      <c r="BF69" s="744">
        <f>'Financial STD'!W43</f>
        <v>0</v>
      </c>
    </row>
    <row r="70" spans="45:58" ht="12.65" customHeight="1" outlineLevel="1" x14ac:dyDescent="0.35">
      <c r="AS70" s="60" t="str">
        <f>'Financial STD'!C44</f>
        <v>YoY Growth</v>
      </c>
      <c r="AT70" s="2">
        <f>'Financial STD'!E44</f>
        <v>0</v>
      </c>
      <c r="AU70" s="736" t="e">
        <f>'Financial STD'!N44</f>
        <v>#DIV/0!</v>
      </c>
      <c r="AV70" s="737">
        <f>'Financial STD'!O44</f>
        <v>0</v>
      </c>
      <c r="AW70" s="736" t="e">
        <f>'Financial STD'!P44</f>
        <v>#DIV/0!</v>
      </c>
      <c r="AX70" s="736" t="e">
        <f>'Financial STD'!Q44</f>
        <v>#DIV/0!</v>
      </c>
      <c r="AY70" s="736" t="e">
        <f>'Financial STD'!R44</f>
        <v>#DIV/0!</v>
      </c>
      <c r="AZ70" s="738">
        <f>'Financial STD'!S44</f>
        <v>0</v>
      </c>
      <c r="BA70" s="733"/>
      <c r="BB70" s="739" t="str">
        <f>AS70</f>
        <v>YoY Growth</v>
      </c>
      <c r="BC70" s="736" t="e">
        <f>'Financial STD'!T44</f>
        <v>#DIV/0!</v>
      </c>
      <c r="BD70" s="736" t="e">
        <f>'Financial STD'!U44</f>
        <v>#DIV/0!</v>
      </c>
      <c r="BE70" s="736" t="e">
        <f>'Financial STD'!V44</f>
        <v>#DIV/0!</v>
      </c>
      <c r="BF70" s="736" t="e">
        <f>'Financial STD'!W44</f>
        <v>#DIV/0!</v>
      </c>
    </row>
    <row r="71" spans="45:58" ht="12.65" customHeight="1" outlineLevel="1" x14ac:dyDescent="0.35">
      <c r="AS71" s="60" t="str">
        <f>'Financial STD'!C45</f>
        <v>%Profit Margin</v>
      </c>
      <c r="AT71" s="2">
        <f>'Financial STD'!E45</f>
        <v>0</v>
      </c>
      <c r="AU71" s="746" t="e">
        <f>'Financial STD'!N45</f>
        <v>#DIV/0!</v>
      </c>
      <c r="AV71" s="737">
        <f>'Financial STD'!O45</f>
        <v>0</v>
      </c>
      <c r="AW71" s="746" t="e">
        <f>'Financial STD'!P45</f>
        <v>#DIV/0!</v>
      </c>
      <c r="AX71" s="746" t="e">
        <f>'Financial STD'!Q45</f>
        <v>#DIV/0!</v>
      </c>
      <c r="AY71" s="746" t="e">
        <f>'Financial STD'!R45</f>
        <v>#DIV/0!</v>
      </c>
      <c r="AZ71" s="738">
        <f>'Financial STD'!S45</f>
        <v>0</v>
      </c>
      <c r="BA71" s="733"/>
      <c r="BB71" s="739" t="str">
        <f>AS71</f>
        <v>%Profit Margin</v>
      </c>
      <c r="BC71" s="746" t="e">
        <f>'Financial STD'!T45</f>
        <v>#DIV/0!</v>
      </c>
      <c r="BD71" s="746" t="e">
        <f>'Financial STD'!U45</f>
        <v>#DIV/0!</v>
      </c>
      <c r="BE71" s="746" t="e">
        <f>'Financial STD'!V45</f>
        <v>#DIV/0!</v>
      </c>
      <c r="BF71" s="746" t="e">
        <f>'Financial STD'!W45</f>
        <v>#DIV/0!</v>
      </c>
    </row>
    <row r="72" spans="45:58" ht="8.65" customHeight="1" outlineLevel="1" x14ac:dyDescent="0.35">
      <c r="AS72" s="22"/>
      <c r="AT72" s="2"/>
      <c r="AU72" s="740"/>
      <c r="AV72" s="740"/>
      <c r="AW72" s="740"/>
      <c r="AX72" s="740"/>
      <c r="AY72" s="733"/>
      <c r="AZ72" s="740"/>
      <c r="BA72" s="733"/>
      <c r="BB72" s="741"/>
      <c r="BC72" s="733"/>
      <c r="BD72" s="733"/>
      <c r="BE72" s="733"/>
      <c r="BF72" s="733"/>
    </row>
    <row r="73" spans="45:58" ht="15.75" customHeight="1" outlineLevel="1" x14ac:dyDescent="0.35">
      <c r="AS73" s="119" t="str">
        <f>'Financial STD'!C53</f>
        <v>∆ Working Capital</v>
      </c>
      <c r="AT73" s="68">
        <f>'Financial STD'!E53</f>
        <v>0</v>
      </c>
      <c r="AU73" s="731">
        <f>'Financial STD'!N53</f>
        <v>0</v>
      </c>
      <c r="AV73" s="732">
        <f>'Financial STD'!O53</f>
        <v>0</v>
      </c>
      <c r="AW73" s="731">
        <f>'Financial STD'!P53</f>
        <v>0</v>
      </c>
      <c r="AX73" s="731">
        <f>'Financial STD'!Q53</f>
        <v>0</v>
      </c>
      <c r="AY73" s="731">
        <f>'Financial STD'!R53</f>
        <v>0</v>
      </c>
      <c r="AZ73" s="732">
        <f>'Financial STD'!S53</f>
        <v>0</v>
      </c>
      <c r="BA73" s="733"/>
      <c r="BB73" s="747" t="str">
        <f>AS73</f>
        <v>∆ Working Capital</v>
      </c>
      <c r="BC73" s="735">
        <f>'Financial STD'!T53</f>
        <v>0</v>
      </c>
      <c r="BD73" s="735">
        <f>'Financial STD'!U53</f>
        <v>0</v>
      </c>
      <c r="BE73" s="735">
        <f>'Financial STD'!V53</f>
        <v>0</v>
      </c>
      <c r="BF73" s="735">
        <f>'Financial STD'!W53</f>
        <v>0</v>
      </c>
    </row>
    <row r="74" spans="45:58" ht="8.65" customHeight="1" outlineLevel="1" x14ac:dyDescent="0.35">
      <c r="AS74" s="22"/>
      <c r="AT74" s="2"/>
      <c r="AU74" s="740"/>
      <c r="AV74" s="740"/>
      <c r="AW74" s="740"/>
      <c r="AX74" s="740"/>
      <c r="AY74" s="733"/>
      <c r="AZ74" s="740"/>
      <c r="BA74" s="733"/>
      <c r="BB74" s="741"/>
      <c r="BC74" s="733"/>
      <c r="BD74" s="733"/>
      <c r="BE74" s="733"/>
      <c r="BF74" s="733"/>
    </row>
    <row r="75" spans="45:58" ht="15.75" customHeight="1" outlineLevel="1" x14ac:dyDescent="0.35">
      <c r="AS75" s="22" t="str">
        <f>'Financial STD'!C55</f>
        <v>Net Cash Flow</v>
      </c>
      <c r="AT75" s="2">
        <f>'Financial STD'!E55</f>
        <v>0</v>
      </c>
      <c r="AU75" s="742">
        <f>'Financial STD'!N55</f>
        <v>0</v>
      </c>
      <c r="AV75" s="740">
        <f>'Financial STD'!O55</f>
        <v>0</v>
      </c>
      <c r="AW75" s="742">
        <f>'Financial STD'!P55</f>
        <v>0</v>
      </c>
      <c r="AX75" s="742">
        <f>'Financial STD'!Q55</f>
        <v>0</v>
      </c>
      <c r="AY75" s="742">
        <f>'Financial STD'!R55</f>
        <v>0</v>
      </c>
      <c r="AZ75" s="740">
        <f>'Financial STD'!S55</f>
        <v>0</v>
      </c>
      <c r="BA75" s="733"/>
      <c r="BB75" s="741" t="str">
        <f>AS75</f>
        <v>Net Cash Flow</v>
      </c>
      <c r="BC75" s="742">
        <f>'Financial STD'!T55</f>
        <v>0</v>
      </c>
      <c r="BD75" s="742">
        <f>'Financial STD'!U55</f>
        <v>0</v>
      </c>
      <c r="BE75" s="742">
        <f>'Financial STD'!V55</f>
        <v>0</v>
      </c>
      <c r="BF75" s="742">
        <f>'Financial STD'!W55</f>
        <v>0</v>
      </c>
    </row>
    <row r="76" spans="45:58" ht="8.65" customHeight="1" outlineLevel="1" x14ac:dyDescent="0.35">
      <c r="AS76" s="60"/>
      <c r="AT76" s="2"/>
      <c r="AU76" s="736"/>
      <c r="AV76" s="737"/>
      <c r="AW76" s="736"/>
      <c r="AX76" s="736"/>
      <c r="AY76" s="736"/>
      <c r="AZ76" s="738"/>
      <c r="BA76" s="733"/>
      <c r="BB76" s="739"/>
      <c r="BC76" s="746"/>
      <c r="BD76" s="736"/>
      <c r="BE76" s="736"/>
      <c r="BF76" s="736"/>
    </row>
    <row r="77" spans="45:58" ht="15.75" customHeight="1" outlineLevel="1" x14ac:dyDescent="0.65">
      <c r="AS77" s="730" t="str">
        <f>'Financial STD'!C57</f>
        <v>KPIs &amp; Other informations</v>
      </c>
      <c r="AT77" s="29"/>
      <c r="AU77" s="748" t="str">
        <f>AU51</f>
        <v>Current</v>
      </c>
      <c r="AV77" s="740"/>
      <c r="AW77" s="1408" t="str">
        <f>'Financial STD'!P57</f>
        <v>Projected</v>
      </c>
      <c r="AX77" s="1408">
        <v>0</v>
      </c>
      <c r="AY77" s="1408">
        <v>0</v>
      </c>
      <c r="AZ77" s="749">
        <f>'Financial STD'!S57</f>
        <v>0</v>
      </c>
      <c r="BA77" s="733"/>
      <c r="BB77" s="748" t="str">
        <f>AS77</f>
        <v>KPIs &amp; Other informations</v>
      </c>
      <c r="BC77" s="1408" t="str">
        <f>'Financial STD'!T57</f>
        <v>DTC Sensitized</v>
      </c>
      <c r="BD77" s="1408">
        <v>0</v>
      </c>
      <c r="BE77" s="1408">
        <v>0</v>
      </c>
      <c r="BF77" s="1408">
        <v>0</v>
      </c>
    </row>
    <row r="78" spans="45:58" ht="15.75" customHeight="1" outlineLevel="1" x14ac:dyDescent="0.35">
      <c r="AS78" s="2"/>
      <c r="AT78" s="35">
        <f>'Financial STD'!E58</f>
        <v>0</v>
      </c>
      <c r="AU78" s="750">
        <f ca="1">'Financial STD'!N58</f>
        <v>2026</v>
      </c>
      <c r="AV78" s="751">
        <f>'Financial STD'!O58</f>
        <v>0</v>
      </c>
      <c r="AW78" s="750" t="str">
        <f ca="1">'Financial STD'!P58</f>
        <v>2027P</v>
      </c>
      <c r="AX78" s="750" t="str">
        <f ca="1">'Financial STD'!Q58</f>
        <v>2028P</v>
      </c>
      <c r="AY78" s="750" t="str">
        <f ca="1">'Financial STD'!R58</f>
        <v>2029P</v>
      </c>
      <c r="AZ78" s="751">
        <f>'Financial STD'!S58</f>
        <v>0</v>
      </c>
      <c r="BA78" s="733"/>
      <c r="BB78" s="740"/>
      <c r="BC78" s="750" t="str">
        <f ca="1">'Financial STD'!T58</f>
        <v>2026S</v>
      </c>
      <c r="BD78" s="750" t="str">
        <f ca="1">'Financial STD'!U58</f>
        <v>2027S</v>
      </c>
      <c r="BE78" s="750" t="str">
        <f ca="1">'Financial STD'!V58</f>
        <v>2028S</v>
      </c>
      <c r="BF78" s="750" t="str">
        <f ca="1">'Financial STD'!W58</f>
        <v>2029S</v>
      </c>
    </row>
    <row r="79" spans="45:58" ht="15.75" customHeight="1" outlineLevel="1" x14ac:dyDescent="0.35">
      <c r="AS79" s="80" t="str">
        <f>'Financial STD'!C59</f>
        <v>EBITDA</v>
      </c>
      <c r="AT79" s="2">
        <f>'Financial STD'!E59</f>
        <v>0</v>
      </c>
      <c r="AU79" s="742">
        <f>'Financial STD'!N59</f>
        <v>0</v>
      </c>
      <c r="AV79" s="740">
        <f>'Financial STD'!O59</f>
        <v>0</v>
      </c>
      <c r="AW79" s="742">
        <f>'Financial STD'!P59</f>
        <v>0</v>
      </c>
      <c r="AX79" s="742">
        <f>'Financial STD'!Q59</f>
        <v>0</v>
      </c>
      <c r="AY79" s="742">
        <f>'Financial STD'!R59</f>
        <v>0</v>
      </c>
      <c r="AZ79" s="740">
        <f>'Financial STD'!S59</f>
        <v>0</v>
      </c>
      <c r="BA79" s="733"/>
      <c r="BB79" s="752" t="str">
        <f>AS79</f>
        <v>EBITDA</v>
      </c>
      <c r="BC79" s="742">
        <f>'Financial STD'!T59</f>
        <v>0</v>
      </c>
      <c r="BD79" s="742">
        <f>'Financial STD'!U59</f>
        <v>0</v>
      </c>
      <c r="BE79" s="742">
        <f>'Financial STD'!V59</f>
        <v>0</v>
      </c>
      <c r="BF79" s="742">
        <f>'Financial STD'!W59</f>
        <v>0</v>
      </c>
    </row>
    <row r="80" spans="45:58" ht="15.75" customHeight="1" outlineLevel="1" x14ac:dyDescent="0.35">
      <c r="AS80" s="80" t="str">
        <f>'Financial STD'!C60</f>
        <v>EBIT</v>
      </c>
      <c r="AT80" s="2">
        <f>'Financial STD'!E60</f>
        <v>0</v>
      </c>
      <c r="AU80" s="753">
        <f>'Financial STD'!N60</f>
        <v>0</v>
      </c>
      <c r="AV80" s="740">
        <f>'Financial STD'!O60</f>
        <v>0</v>
      </c>
      <c r="AW80" s="753">
        <f>'Financial STD'!P60</f>
        <v>0</v>
      </c>
      <c r="AX80" s="753">
        <f>'Financial STD'!Q60</f>
        <v>0</v>
      </c>
      <c r="AY80" s="753">
        <f>'Financial STD'!R60</f>
        <v>0</v>
      </c>
      <c r="AZ80" s="740">
        <f>'Financial STD'!S60</f>
        <v>0</v>
      </c>
      <c r="BA80" s="733"/>
      <c r="BB80" s="752" t="str">
        <f>AS80</f>
        <v>EBIT</v>
      </c>
      <c r="BC80" s="753">
        <f>'Financial STD'!T60</f>
        <v>0</v>
      </c>
      <c r="BD80" s="753">
        <f>'Financial STD'!U60</f>
        <v>0</v>
      </c>
      <c r="BE80" s="753">
        <f>'Financial STD'!V60</f>
        <v>0</v>
      </c>
      <c r="BF80" s="753">
        <f>'Financial STD'!W60</f>
        <v>0</v>
      </c>
    </row>
    <row r="81" spans="1:78" ht="15.75" customHeight="1" outlineLevel="1" x14ac:dyDescent="0.35"/>
    <row r="82" spans="1:78" s="713" customFormat="1" ht="15.75" customHeight="1" x14ac:dyDescent="0.35">
      <c r="A82" s="712"/>
      <c r="B82" s="712" t="s">
        <v>533</v>
      </c>
      <c r="C82" s="712"/>
    </row>
    <row r="83" spans="1:78" ht="7.15" customHeight="1" outlineLevel="1" x14ac:dyDescent="0.35"/>
    <row r="84" spans="1:78" ht="15.75" customHeight="1" outlineLevel="1" x14ac:dyDescent="0.35">
      <c r="BL84" s="28" t="s">
        <v>147</v>
      </c>
      <c r="BM84" s="2"/>
      <c r="BN84" s="29"/>
      <c r="BO84" s="2"/>
      <c r="BP84" s="29"/>
      <c r="BQ84" s="29"/>
      <c r="BR84" s="30"/>
      <c r="BU84" s="28" t="s">
        <v>147</v>
      </c>
      <c r="BV84" s="2"/>
      <c r="BW84" s="29"/>
      <c r="BX84" s="29"/>
      <c r="BY84" s="30"/>
      <c r="BZ84" s="30"/>
    </row>
    <row r="85" spans="1:78" ht="7.15" customHeight="1" outlineLevel="1" x14ac:dyDescent="0.35">
      <c r="BL85" s="22"/>
      <c r="BM85" s="2"/>
      <c r="BN85" s="2"/>
      <c r="BO85" s="2"/>
      <c r="BP85" s="2"/>
      <c r="BQ85" s="2"/>
      <c r="BU85" s="22"/>
      <c r="BV85" s="2"/>
    </row>
    <row r="86" spans="1:78" ht="15.75" customHeight="1" outlineLevel="1" x14ac:dyDescent="0.65">
      <c r="BL86" s="158" t="s">
        <v>148</v>
      </c>
      <c r="BM86" s="31"/>
      <c r="BN86" s="730" t="s">
        <v>150</v>
      </c>
      <c r="BO86" s="32"/>
      <c r="BP86" s="1346" t="s">
        <v>151</v>
      </c>
      <c r="BQ86" s="1346"/>
      <c r="BR86" s="1346"/>
      <c r="BU86" s="158" t="s">
        <v>148</v>
      </c>
      <c r="BV86" s="31"/>
      <c r="BW86" s="1346" t="s">
        <v>532</v>
      </c>
      <c r="BX86" s="1346"/>
      <c r="BY86" s="1346"/>
      <c r="BZ86" s="1346"/>
    </row>
    <row r="87" spans="1:78" ht="7.15" customHeight="1" outlineLevel="1" x14ac:dyDescent="0.35">
      <c r="BL87" s="22"/>
      <c r="BM87" s="2"/>
      <c r="BN87" s="2"/>
      <c r="BO87" s="2"/>
      <c r="BP87" s="2"/>
      <c r="BQ87" s="2"/>
      <c r="BU87" s="22"/>
      <c r="BV87" s="2"/>
    </row>
    <row r="88" spans="1:78" ht="15.75" customHeight="1" outlineLevel="1" x14ac:dyDescent="0.35">
      <c r="BL88" s="2"/>
      <c r="BM88" s="35">
        <f>'Financial XaaS'!I11</f>
        <v>0</v>
      </c>
      <c r="BN88" s="123">
        <f ca="1">'Financial XaaS'!N11</f>
        <v>2026</v>
      </c>
      <c r="BO88" s="35">
        <f>'Financial XaaS'!O11</f>
        <v>0</v>
      </c>
      <c r="BP88" s="35" t="str">
        <f ca="1">'Financial XaaS'!P11</f>
        <v>2027P</v>
      </c>
      <c r="BQ88" s="35" t="str">
        <f ca="1">'Financial XaaS'!Q11</f>
        <v>2028P</v>
      </c>
      <c r="BR88" s="35" t="str">
        <f ca="1">'Financial XaaS'!R11</f>
        <v>2029E</v>
      </c>
      <c r="BU88" s="2"/>
      <c r="BV88" s="35"/>
      <c r="BW88" s="35" t="str">
        <f ca="1">'Financial XaaS'!T11</f>
        <v>2026S</v>
      </c>
      <c r="BX88" s="35" t="str">
        <f ca="1">'Financial XaaS'!U11</f>
        <v>2027S</v>
      </c>
      <c r="BY88" s="35" t="str">
        <f ca="1">'Financial XaaS'!V11</f>
        <v>2028S</v>
      </c>
      <c r="BZ88" s="35" t="str">
        <f ca="1">'Financial XaaS'!W11</f>
        <v>2029S</v>
      </c>
    </row>
    <row r="89" spans="1:78" ht="15.75" customHeight="1" outlineLevel="1" x14ac:dyDescent="0.35">
      <c r="BL89" s="22" t="str">
        <f>'Financial XaaS'!C14</f>
        <v>Last year total customers/contract</v>
      </c>
      <c r="BM89" s="2">
        <f>'Financial XaaS'!I14</f>
        <v>0</v>
      </c>
      <c r="BN89" s="160">
        <f>'Financial XaaS'!N14</f>
        <v>0</v>
      </c>
      <c r="BO89" s="2">
        <f>'Financial XaaS'!O14</f>
        <v>0</v>
      </c>
      <c r="BP89" s="160">
        <f>'Financial XaaS'!P14</f>
        <v>0</v>
      </c>
      <c r="BQ89" s="160">
        <f>'Financial XaaS'!Q14</f>
        <v>0</v>
      </c>
      <c r="BR89" s="160">
        <f>'Financial XaaS'!R14</f>
        <v>0</v>
      </c>
      <c r="BU89" s="22"/>
      <c r="BV89" s="2"/>
    </row>
    <row r="90" spans="1:78" ht="15.75" customHeight="1" outlineLevel="1" x14ac:dyDescent="0.35">
      <c r="BL90" s="22" t="str">
        <f>'Financial XaaS'!C15</f>
        <v>Churn (drop out rate)</v>
      </c>
      <c r="BM90" s="2">
        <f>'Financial XaaS'!I15</f>
        <v>0</v>
      </c>
      <c r="BN90" s="754">
        <f>'Financial XaaS'!N15</f>
        <v>0</v>
      </c>
      <c r="BO90" s="2">
        <f>'Financial XaaS'!O15</f>
        <v>0</v>
      </c>
      <c r="BP90" s="754">
        <f>'Financial XaaS'!P15</f>
        <v>0</v>
      </c>
      <c r="BQ90" s="754">
        <f>'Financial XaaS'!Q15</f>
        <v>0</v>
      </c>
      <c r="BR90" s="754">
        <f>'Financial XaaS'!R15</f>
        <v>0</v>
      </c>
      <c r="BU90" s="22" t="str">
        <f t="shared" ref="BU90:BU99" si="1">BL90</f>
        <v>Churn (drop out rate)</v>
      </c>
      <c r="BV90" s="2">
        <f>'Financial XaaS'!Q15</f>
        <v>0</v>
      </c>
      <c r="BW90" s="58">
        <f>'Financial XaaS'!T15</f>
        <v>0</v>
      </c>
      <c r="BX90" s="58">
        <f>'Financial XaaS'!U15</f>
        <v>0</v>
      </c>
      <c r="BY90" s="58">
        <f>'Financial XaaS'!V15</f>
        <v>0</v>
      </c>
      <c r="BZ90" s="58">
        <f>'Financial XaaS'!W15</f>
        <v>0</v>
      </c>
    </row>
    <row r="91" spans="1:78" ht="15.75" customHeight="1" outlineLevel="1" x14ac:dyDescent="0.35">
      <c r="BL91" s="22" t="str">
        <f>'Financial XaaS'!C16</f>
        <v>Number of new customers/contract</v>
      </c>
      <c r="BM91" s="2">
        <f>'Financial XaaS'!I16</f>
        <v>0</v>
      </c>
      <c r="BN91" s="754">
        <f>'Financial XaaS'!N16</f>
        <v>0</v>
      </c>
      <c r="BO91" s="2">
        <f>'Financial XaaS'!O16</f>
        <v>0</v>
      </c>
      <c r="BP91" s="754">
        <f>'Financial XaaS'!P16</f>
        <v>0</v>
      </c>
      <c r="BQ91" s="754">
        <f>'Financial XaaS'!Q16</f>
        <v>0</v>
      </c>
      <c r="BR91" s="754">
        <f>'Financial XaaS'!R16</f>
        <v>0</v>
      </c>
      <c r="BU91" s="22" t="str">
        <f t="shared" si="1"/>
        <v>Number of new customers/contract</v>
      </c>
      <c r="BV91" s="2">
        <f>'Financial XaaS'!Q16</f>
        <v>0</v>
      </c>
      <c r="BW91" s="58">
        <f>'Financial XaaS'!T16</f>
        <v>0</v>
      </c>
      <c r="BX91" s="58">
        <f>'Financial XaaS'!U16</f>
        <v>0</v>
      </c>
      <c r="BY91" s="58">
        <f>'Financial XaaS'!V16</f>
        <v>0</v>
      </c>
      <c r="BZ91" s="58">
        <f>'Financial XaaS'!W16</f>
        <v>0</v>
      </c>
    </row>
    <row r="92" spans="1:78" ht="15.75" customHeight="1" outlineLevel="1" x14ac:dyDescent="0.35">
      <c r="BL92" s="22" t="str">
        <f>'Financial XaaS'!C17</f>
        <v>Customer/contract acquisition cost</v>
      </c>
      <c r="BM92" s="2">
        <f>'Financial XaaS'!I17</f>
        <v>0</v>
      </c>
      <c r="BN92" s="742">
        <f>'Financial XaaS'!N17</f>
        <v>0</v>
      </c>
      <c r="BO92" s="2">
        <f>'Financial XaaS'!O17</f>
        <v>0</v>
      </c>
      <c r="BP92" s="754">
        <f>'Financial XaaS'!P17</f>
        <v>0</v>
      </c>
      <c r="BQ92" s="742">
        <f>'Financial XaaS'!Q17</f>
        <v>0</v>
      </c>
      <c r="BR92" s="742">
        <f>'Financial XaaS'!R17</f>
        <v>0</v>
      </c>
      <c r="BU92" s="22" t="str">
        <f t="shared" si="1"/>
        <v>Customer/contract acquisition cost</v>
      </c>
      <c r="BV92" s="2">
        <f>'Financial XaaS'!Q17</f>
        <v>0</v>
      </c>
      <c r="BW92" s="58">
        <f>'Financial XaaS'!T17</f>
        <v>0</v>
      </c>
      <c r="BX92" s="58">
        <f>'Financial XaaS'!U17</f>
        <v>0</v>
      </c>
      <c r="BY92" s="58">
        <f>'Financial XaaS'!V17</f>
        <v>0</v>
      </c>
      <c r="BZ92" s="58">
        <f>'Financial XaaS'!W17</f>
        <v>0</v>
      </c>
    </row>
    <row r="93" spans="1:78" ht="15.75" customHeight="1" outlineLevel="1" x14ac:dyDescent="0.35">
      <c r="BL93" s="22" t="str">
        <f>'Financial XaaS'!C18</f>
        <v>Cost to maintain customer/contract</v>
      </c>
      <c r="BM93" s="2">
        <f>'Financial XaaS'!I18</f>
        <v>0</v>
      </c>
      <c r="BN93" s="742">
        <f>'Financial XaaS'!N18</f>
        <v>0</v>
      </c>
      <c r="BO93" s="2">
        <f>'Financial XaaS'!O18</f>
        <v>0</v>
      </c>
      <c r="BP93" s="754">
        <f>'Financial XaaS'!P18</f>
        <v>0</v>
      </c>
      <c r="BQ93" s="742">
        <f>'Financial XaaS'!Q18</f>
        <v>0</v>
      </c>
      <c r="BR93" s="742">
        <f>'Financial XaaS'!R18</f>
        <v>0</v>
      </c>
      <c r="BU93" s="22" t="str">
        <f t="shared" si="1"/>
        <v>Cost to maintain customer/contract</v>
      </c>
      <c r="BV93" s="2">
        <f>'Financial XaaS'!Q18</f>
        <v>0</v>
      </c>
      <c r="BW93" s="58">
        <f>'Financial XaaS'!T18</f>
        <v>0</v>
      </c>
      <c r="BX93" s="58">
        <f>'Financial XaaS'!U18</f>
        <v>0</v>
      </c>
      <c r="BY93" s="58">
        <f>'Financial XaaS'!V18</f>
        <v>0</v>
      </c>
      <c r="BZ93" s="58">
        <f>'Financial XaaS'!W18</f>
        <v>0</v>
      </c>
    </row>
    <row r="94" spans="1:78" ht="15.75" customHeight="1" outlineLevel="1" x14ac:dyDescent="0.35">
      <c r="BL94" s="22" t="str">
        <f>'Financial XaaS'!C19</f>
        <v>Cost of delivering (as % of price)</v>
      </c>
      <c r="BM94" s="2">
        <f>'Financial XaaS'!I19</f>
        <v>0</v>
      </c>
      <c r="BN94" s="777">
        <f>'Financial XaaS'!N19</f>
        <v>0</v>
      </c>
      <c r="BO94" s="2">
        <f>'Financial XaaS'!O19</f>
        <v>0</v>
      </c>
      <c r="BP94" s="754">
        <f>'Financial XaaS'!P19</f>
        <v>0</v>
      </c>
      <c r="BQ94" s="777">
        <f>'Financial XaaS'!Q19</f>
        <v>0</v>
      </c>
      <c r="BR94" s="777">
        <f>'Financial XaaS'!R19</f>
        <v>0</v>
      </c>
      <c r="BU94" s="22" t="str">
        <f t="shared" si="1"/>
        <v>Cost of delivering (as % of price)</v>
      </c>
      <c r="BV94" s="66">
        <f>'Financial XaaS'!Q19</f>
        <v>0</v>
      </c>
      <c r="BW94" s="58">
        <f>'Financial XaaS'!T19</f>
        <v>0</v>
      </c>
      <c r="BX94" s="58">
        <f>'Financial XaaS'!U19</f>
        <v>0</v>
      </c>
      <c r="BY94" s="58">
        <f>'Financial XaaS'!V19</f>
        <v>0</v>
      </c>
      <c r="BZ94" s="58">
        <f>'Financial XaaS'!W19</f>
        <v>0</v>
      </c>
    </row>
    <row r="95" spans="1:78" ht="15.75" customHeight="1" outlineLevel="1" x14ac:dyDescent="0.35">
      <c r="BL95" s="22" t="str">
        <f>'Financial XaaS'!C20</f>
        <v>XaaS fee (Price)</v>
      </c>
      <c r="BM95" s="2">
        <f>'Financial XaaS'!I20</f>
        <v>0</v>
      </c>
      <c r="BN95" s="742">
        <f>'Financial XaaS'!N20</f>
        <v>0</v>
      </c>
      <c r="BO95" s="2">
        <f>'Financial XaaS'!O20</f>
        <v>0</v>
      </c>
      <c r="BP95" s="742">
        <f>'Financial XaaS'!P20</f>
        <v>0</v>
      </c>
      <c r="BQ95" s="742">
        <f>'Financial XaaS'!Q20</f>
        <v>0</v>
      </c>
      <c r="BR95" s="742">
        <f>'Financial XaaS'!R20</f>
        <v>0</v>
      </c>
      <c r="BU95" s="22" t="str">
        <f t="shared" si="1"/>
        <v>XaaS fee (Price)</v>
      </c>
      <c r="BV95" s="2">
        <f>'Financial XaaS'!Q20</f>
        <v>0</v>
      </c>
      <c r="BW95" s="58">
        <f>'Financial XaaS'!T20</f>
        <v>0</v>
      </c>
      <c r="BX95" s="58">
        <f>'Financial XaaS'!U20</f>
        <v>0</v>
      </c>
      <c r="BY95" s="58">
        <f>'Financial XaaS'!V20</f>
        <v>0</v>
      </c>
      <c r="BZ95" s="58">
        <f>'Financial XaaS'!W20</f>
        <v>0</v>
      </c>
    </row>
    <row r="96" spans="1:78" ht="15.75" customHeight="1" outlineLevel="1" x14ac:dyDescent="0.35">
      <c r="BL96" s="119" t="str">
        <f>'Financial XaaS'!C21</f>
        <v>XaaS Revenue</v>
      </c>
      <c r="BM96" s="68">
        <f>'Financial XaaS'!I21</f>
        <v>0</v>
      </c>
      <c r="BN96" s="755">
        <f>'Financial XaaS'!N21</f>
        <v>0</v>
      </c>
      <c r="BO96" s="68">
        <f>'Financial XaaS'!O21</f>
        <v>0</v>
      </c>
      <c r="BP96" s="755">
        <f>'Financial XaaS'!P21</f>
        <v>0</v>
      </c>
      <c r="BQ96" s="755">
        <f>'Financial XaaS'!Q21</f>
        <v>0</v>
      </c>
      <c r="BR96" s="755">
        <f>'Financial XaaS'!R21</f>
        <v>0</v>
      </c>
      <c r="BU96" s="119" t="str">
        <f t="shared" si="1"/>
        <v>XaaS Revenue</v>
      </c>
      <c r="BV96" s="68">
        <f>'Financial XaaS'!Q21</f>
        <v>0</v>
      </c>
      <c r="BW96" s="756">
        <f>'Financial XaaS'!T21</f>
        <v>0</v>
      </c>
      <c r="BX96" s="756">
        <f>'Financial XaaS'!U21</f>
        <v>0</v>
      </c>
      <c r="BY96" s="756">
        <f>'Financial XaaS'!V21</f>
        <v>0</v>
      </c>
      <c r="BZ96" s="756">
        <f>'Financial XaaS'!W21</f>
        <v>0</v>
      </c>
    </row>
    <row r="97" spans="64:78" ht="12.65" customHeight="1" outlineLevel="1" x14ac:dyDescent="0.35">
      <c r="BL97" s="60" t="str">
        <f>'Financial XaaS'!C22</f>
        <v>YoY Growth</v>
      </c>
      <c r="BM97" s="63">
        <f>'Financial XaaS'!I22</f>
        <v>0</v>
      </c>
      <c r="BN97" s="111" t="e">
        <f>'Financial XaaS'!N22</f>
        <v>#DIV/0!</v>
      </c>
      <c r="BO97" s="63">
        <f>'Financial XaaS'!O22</f>
        <v>0</v>
      </c>
      <c r="BP97" s="111" t="e">
        <f>'Financial XaaS'!P22</f>
        <v>#DIV/0!</v>
      </c>
      <c r="BQ97" s="111" t="e">
        <f>'Financial XaaS'!Q22</f>
        <v>#DIV/0!</v>
      </c>
      <c r="BR97" s="111" t="e">
        <f>'Financial XaaS'!R22</f>
        <v>#DIV/0!</v>
      </c>
      <c r="BU97" s="60" t="str">
        <f t="shared" si="1"/>
        <v>YoY Growth</v>
      </c>
      <c r="BV97" s="63" t="e">
        <f>'Financial XaaS'!Q22</f>
        <v>#DIV/0!</v>
      </c>
      <c r="BW97" s="111" t="e">
        <f>'Financial XaaS'!T22</f>
        <v>#DIV/0!</v>
      </c>
      <c r="BX97" s="111" t="e">
        <f>'Financial XaaS'!U22</f>
        <v>#DIV/0!</v>
      </c>
      <c r="BY97" s="111" t="e">
        <f>'Financial XaaS'!V22</f>
        <v>#DIV/0!</v>
      </c>
      <c r="BZ97" s="111" t="e">
        <f>'Financial XaaS'!W22</f>
        <v>#DIV/0!</v>
      </c>
    </row>
    <row r="98" spans="64:78" ht="15.75" customHeight="1" outlineLevel="1" x14ac:dyDescent="0.35">
      <c r="BL98" s="69" t="str">
        <f>'Financial XaaS'!C25</f>
        <v>Total Revenue</v>
      </c>
      <c r="BM98" s="68">
        <f>'Financial XaaS'!I25</f>
        <v>0</v>
      </c>
      <c r="BN98" s="757">
        <f>'Financial XaaS'!N25</f>
        <v>0</v>
      </c>
      <c r="BO98" s="68">
        <f>'Financial XaaS'!O25</f>
        <v>0</v>
      </c>
      <c r="BP98" s="757">
        <f>'Financial XaaS'!P25</f>
        <v>0</v>
      </c>
      <c r="BQ98" s="757">
        <f>'Financial XaaS'!Q25</f>
        <v>0</v>
      </c>
      <c r="BR98" s="757">
        <f>'Financial XaaS'!R25</f>
        <v>0</v>
      </c>
      <c r="BU98" s="69" t="str">
        <f t="shared" si="1"/>
        <v>Total Revenue</v>
      </c>
      <c r="BV98" s="68">
        <f>'Financial XaaS'!Q25</f>
        <v>0</v>
      </c>
      <c r="BW98" s="757">
        <f>'Financial XaaS'!T25</f>
        <v>0</v>
      </c>
      <c r="BX98" s="757">
        <f>'Financial XaaS'!U25</f>
        <v>0</v>
      </c>
      <c r="BY98" s="757">
        <f>'Financial XaaS'!V25</f>
        <v>0</v>
      </c>
      <c r="BZ98" s="757">
        <f>'Financial XaaS'!W25</f>
        <v>0</v>
      </c>
    </row>
    <row r="99" spans="64:78" ht="12.65" customHeight="1" outlineLevel="1" x14ac:dyDescent="0.35">
      <c r="BL99" s="60" t="str">
        <f>'Financial XaaS'!C26</f>
        <v>YoY Growth</v>
      </c>
      <c r="BM99" s="63">
        <f>'Financial XaaS'!I26</f>
        <v>0</v>
      </c>
      <c r="BN99" s="111" t="e">
        <f>'Financial XaaS'!N26</f>
        <v>#DIV/0!</v>
      </c>
      <c r="BO99" s="63">
        <f>'Financial XaaS'!O26</f>
        <v>0</v>
      </c>
      <c r="BP99" s="111" t="e">
        <f>'Financial XaaS'!P26</f>
        <v>#DIV/0!</v>
      </c>
      <c r="BQ99" s="111" t="e">
        <f>'Financial XaaS'!Q26</f>
        <v>#DIV/0!</v>
      </c>
      <c r="BR99" s="111" t="e">
        <f>'Financial XaaS'!R26</f>
        <v>#DIV/0!</v>
      </c>
      <c r="BU99" s="60" t="str">
        <f t="shared" si="1"/>
        <v>YoY Growth</v>
      </c>
      <c r="BV99" s="63" t="e">
        <f>'Financial XaaS'!Q26</f>
        <v>#DIV/0!</v>
      </c>
      <c r="BW99" s="111" t="e">
        <f>'Financial XaaS'!T26</f>
        <v>#DIV/0!</v>
      </c>
      <c r="BX99" s="111" t="e">
        <f>'Financial XaaS'!U26</f>
        <v>#DIV/0!</v>
      </c>
      <c r="BY99" s="111" t="e">
        <f>'Financial XaaS'!V26</f>
        <v>#DIV/0!</v>
      </c>
      <c r="BZ99" s="111" t="e">
        <f>'Financial XaaS'!W26</f>
        <v>#DIV/0!</v>
      </c>
    </row>
    <row r="100" spans="64:78" ht="7.15" customHeight="1" outlineLevel="1" x14ac:dyDescent="0.35">
      <c r="BL100" s="22"/>
      <c r="BM100" s="2"/>
      <c r="BN100" s="2"/>
      <c r="BO100" s="2"/>
      <c r="BP100" s="2"/>
      <c r="BQ100" s="2"/>
      <c r="BU100" s="22"/>
      <c r="BV100" s="2"/>
    </row>
    <row r="101" spans="64:78" ht="15.75" customHeight="1" outlineLevel="1" x14ac:dyDescent="0.35">
      <c r="BL101" s="22" t="str">
        <f>'Financial XaaS'!C28</f>
        <v>Cost of Goods Sold</v>
      </c>
      <c r="BM101" s="2">
        <f>'Financial XaaS'!I28</f>
        <v>0</v>
      </c>
      <c r="BN101" s="742">
        <f>'Financial XaaS'!N28</f>
        <v>0</v>
      </c>
      <c r="BO101" s="2">
        <f>'Financial XaaS'!O28</f>
        <v>0</v>
      </c>
      <c r="BP101" s="742">
        <f>'Financial XaaS'!P28</f>
        <v>0</v>
      </c>
      <c r="BQ101" s="742">
        <f>'Financial XaaS'!Q28</f>
        <v>0</v>
      </c>
      <c r="BR101" s="742">
        <f>'Financial XaaS'!R28</f>
        <v>0</v>
      </c>
      <c r="BU101" s="22" t="str">
        <f>BL101</f>
        <v>Cost of Goods Sold</v>
      </c>
      <c r="BV101" s="2">
        <f>'Financial XaaS'!Q28</f>
        <v>0</v>
      </c>
      <c r="BW101" s="758">
        <f>'Financial XaaS'!T28</f>
        <v>0</v>
      </c>
      <c r="BX101" s="758">
        <f>'Financial XaaS'!U28</f>
        <v>0</v>
      </c>
      <c r="BY101" s="758">
        <f>'Financial XaaS'!V28</f>
        <v>0</v>
      </c>
      <c r="BZ101" s="758">
        <f>'Financial XaaS'!W28</f>
        <v>0</v>
      </c>
    </row>
    <row r="102" spans="64:78" ht="12.65" customHeight="1" outlineLevel="1" x14ac:dyDescent="0.35">
      <c r="BL102" s="60" t="str">
        <f>'Financial XaaS'!C29</f>
        <v>% of Total Revenue</v>
      </c>
      <c r="BM102" s="63">
        <f>'Financial XaaS'!I29</f>
        <v>0</v>
      </c>
      <c r="BN102" s="113" t="e">
        <f>'Financial XaaS'!N29</f>
        <v>#DIV/0!</v>
      </c>
      <c r="BO102" s="63">
        <f>'Financial XaaS'!O29</f>
        <v>0</v>
      </c>
      <c r="BP102" s="113" t="e">
        <f>'Financial XaaS'!P29</f>
        <v>#DIV/0!</v>
      </c>
      <c r="BQ102" s="113" t="e">
        <f>'Financial XaaS'!Q29</f>
        <v>#DIV/0!</v>
      </c>
      <c r="BR102" s="113" t="e">
        <f>'Financial XaaS'!R29</f>
        <v>#DIV/0!</v>
      </c>
      <c r="BU102" s="60" t="str">
        <f>BL102</f>
        <v>% of Total Revenue</v>
      </c>
      <c r="BV102" s="63" t="e">
        <f>'Financial XaaS'!Q29</f>
        <v>#DIV/0!</v>
      </c>
      <c r="BW102" s="113" t="e">
        <f>'Financial XaaS'!T29</f>
        <v>#DIV/0!</v>
      </c>
      <c r="BX102" s="113" t="e">
        <f>'Financial XaaS'!U29</f>
        <v>#DIV/0!</v>
      </c>
      <c r="BY102" s="113" t="e">
        <f>'Financial XaaS'!V29</f>
        <v>#DIV/0!</v>
      </c>
      <c r="BZ102" s="113" t="e">
        <f>'Financial XaaS'!W29</f>
        <v>#DIV/0!</v>
      </c>
    </row>
    <row r="103" spans="64:78" ht="7.15" customHeight="1" outlineLevel="1" x14ac:dyDescent="0.35">
      <c r="BL103" s="22"/>
      <c r="BM103" s="2"/>
      <c r="BN103" s="2"/>
      <c r="BO103" s="2"/>
      <c r="BP103" s="2"/>
      <c r="BQ103" s="2"/>
      <c r="BU103" s="22"/>
      <c r="BV103" s="2"/>
    </row>
    <row r="104" spans="64:78" ht="15.75" customHeight="1" outlineLevel="1" x14ac:dyDescent="0.35">
      <c r="BL104" s="69" t="str">
        <f>'Financial XaaS'!C31</f>
        <v>Gross Profit</v>
      </c>
      <c r="BM104" s="68">
        <f>'Financial XaaS'!I31</f>
        <v>0</v>
      </c>
      <c r="BN104" s="759">
        <f>'Financial XaaS'!N31</f>
        <v>0</v>
      </c>
      <c r="BO104" s="68">
        <f>'Financial XaaS'!O31</f>
        <v>0</v>
      </c>
      <c r="BP104" s="759">
        <f>'Financial XaaS'!P31</f>
        <v>0</v>
      </c>
      <c r="BQ104" s="759">
        <f>'Financial XaaS'!Q31</f>
        <v>0</v>
      </c>
      <c r="BR104" s="759">
        <f>'Financial XaaS'!R31</f>
        <v>0</v>
      </c>
      <c r="BU104" s="69" t="str">
        <f>BL104</f>
        <v>Gross Profit</v>
      </c>
      <c r="BV104" s="68">
        <f>'Financial XaaS'!Q31</f>
        <v>0</v>
      </c>
      <c r="BW104" s="759">
        <f>'Financial XaaS'!T31</f>
        <v>0</v>
      </c>
      <c r="BX104" s="759">
        <f>'Financial XaaS'!U31</f>
        <v>0</v>
      </c>
      <c r="BY104" s="759">
        <f>'Financial XaaS'!V31</f>
        <v>0</v>
      </c>
      <c r="BZ104" s="759">
        <f>'Financial XaaS'!W31</f>
        <v>0</v>
      </c>
    </row>
    <row r="105" spans="64:78" ht="7.15" customHeight="1" outlineLevel="1" x14ac:dyDescent="0.35">
      <c r="BL105" s="22"/>
      <c r="BM105" s="2"/>
      <c r="BN105" s="2"/>
      <c r="BO105" s="2"/>
      <c r="BP105" s="2"/>
      <c r="BQ105" s="2"/>
      <c r="BU105" s="22"/>
      <c r="BV105" s="2"/>
    </row>
    <row r="106" spans="64:78" ht="15.75" customHeight="1" outlineLevel="1" x14ac:dyDescent="0.35">
      <c r="BL106" s="69" t="str">
        <f>'Financial XaaS'!C39</f>
        <v>Total Operating Expenses</v>
      </c>
      <c r="BM106" s="68">
        <f>'Financial XaaS'!I39</f>
        <v>0</v>
      </c>
      <c r="BN106" s="757">
        <f>'Financial XaaS'!N39</f>
        <v>0</v>
      </c>
      <c r="BO106" s="68">
        <f>'Financial XaaS'!O39</f>
        <v>0</v>
      </c>
      <c r="BP106" s="757">
        <f>'Financial XaaS'!P39</f>
        <v>0</v>
      </c>
      <c r="BQ106" s="757">
        <f>'Financial XaaS'!Q39</f>
        <v>0</v>
      </c>
      <c r="BR106" s="757">
        <f>'Financial XaaS'!R39</f>
        <v>0</v>
      </c>
      <c r="BU106" s="69" t="str">
        <f>BL106</f>
        <v>Total Operating Expenses</v>
      </c>
      <c r="BV106" s="68">
        <f>'Financial XaaS'!Q39</f>
        <v>0</v>
      </c>
      <c r="BW106" s="760">
        <f>'Financial XaaS'!T39</f>
        <v>0</v>
      </c>
      <c r="BX106" s="760">
        <f>'Financial XaaS'!U39</f>
        <v>0</v>
      </c>
      <c r="BY106" s="760">
        <f>'Financial XaaS'!V39</f>
        <v>0</v>
      </c>
      <c r="BZ106" s="760">
        <f>'Financial XaaS'!W39</f>
        <v>0</v>
      </c>
    </row>
    <row r="107" spans="64:78" ht="12.65" customHeight="1" outlineLevel="1" x14ac:dyDescent="0.35">
      <c r="BL107" s="60" t="str">
        <f>'Financial XaaS'!C40</f>
        <v>YoY Growth</v>
      </c>
      <c r="BM107" s="63">
        <f>'Financial XaaS'!I40</f>
        <v>0</v>
      </c>
      <c r="BN107" s="111" t="e">
        <f>'Financial XaaS'!N40</f>
        <v>#DIV/0!</v>
      </c>
      <c r="BO107" s="63">
        <f>'Financial XaaS'!O40</f>
        <v>0</v>
      </c>
      <c r="BP107" s="111" t="e">
        <f>'Financial XaaS'!P40</f>
        <v>#DIV/0!</v>
      </c>
      <c r="BQ107" s="111" t="e">
        <f>'Financial XaaS'!Q40</f>
        <v>#DIV/0!</v>
      </c>
      <c r="BR107" s="111" t="e">
        <f>'Financial XaaS'!R40</f>
        <v>#DIV/0!</v>
      </c>
      <c r="BU107" s="60" t="str">
        <f>BL107</f>
        <v>YoY Growth</v>
      </c>
      <c r="BV107" s="63" t="e">
        <f>'Financial XaaS'!Q40</f>
        <v>#DIV/0!</v>
      </c>
      <c r="BW107" s="111" t="e">
        <f>'Financial XaaS'!T40</f>
        <v>#DIV/0!</v>
      </c>
      <c r="BX107" s="111" t="e">
        <f>'Financial XaaS'!U40</f>
        <v>#DIV/0!</v>
      </c>
      <c r="BY107" s="111" t="e">
        <f>'Financial XaaS'!V40</f>
        <v>#DIV/0!</v>
      </c>
      <c r="BZ107" s="111" t="e">
        <f>'Financial XaaS'!W40</f>
        <v>#DIV/0!</v>
      </c>
    </row>
    <row r="108" spans="64:78" ht="12.65" customHeight="1" outlineLevel="1" x14ac:dyDescent="0.35">
      <c r="BL108" s="60" t="str">
        <f>'Financial XaaS'!C41</f>
        <v>Total of Revenue</v>
      </c>
      <c r="BM108" s="63">
        <f>'Financial XaaS'!I41</f>
        <v>0</v>
      </c>
      <c r="BN108" s="111" t="e">
        <f>'Financial XaaS'!N41</f>
        <v>#DIV/0!</v>
      </c>
      <c r="BO108" s="63">
        <f>'Financial XaaS'!O41</f>
        <v>0</v>
      </c>
      <c r="BP108" s="111" t="e">
        <f>'Financial XaaS'!P41</f>
        <v>#DIV/0!</v>
      </c>
      <c r="BQ108" s="111" t="e">
        <f>'Financial XaaS'!Q41</f>
        <v>#DIV/0!</v>
      </c>
      <c r="BR108" s="111" t="e">
        <f>'Financial XaaS'!R41</f>
        <v>#DIV/0!</v>
      </c>
      <c r="BU108" s="60" t="str">
        <f>BL108</f>
        <v>Total of Revenue</v>
      </c>
      <c r="BV108" s="63" t="e">
        <f>'Financial XaaS'!Q41</f>
        <v>#DIV/0!</v>
      </c>
      <c r="BW108" s="111" t="e">
        <f>'Financial XaaS'!T41</f>
        <v>#DIV/0!</v>
      </c>
      <c r="BX108" s="111" t="e">
        <f>'Financial XaaS'!U41</f>
        <v>#DIV/0!</v>
      </c>
      <c r="BY108" s="111" t="e">
        <f>'Financial XaaS'!V41</f>
        <v>#DIV/0!</v>
      </c>
      <c r="BZ108" s="111" t="e">
        <f>'Financial XaaS'!W41</f>
        <v>#DIV/0!</v>
      </c>
    </row>
    <row r="109" spans="64:78" ht="7.15" customHeight="1" outlineLevel="1" x14ac:dyDescent="0.35">
      <c r="BL109" s="22"/>
      <c r="BM109" s="2"/>
      <c r="BN109" s="2"/>
      <c r="BO109" s="2"/>
      <c r="BP109" s="2"/>
      <c r="BQ109" s="2"/>
      <c r="BU109" s="22"/>
      <c r="BV109" s="2"/>
    </row>
    <row r="110" spans="64:78" ht="15.75" customHeight="1" outlineLevel="1" x14ac:dyDescent="0.35">
      <c r="BL110" s="69" t="str">
        <f>'Financial XaaS'!C43</f>
        <v>Operating Income</v>
      </c>
      <c r="BM110" s="68">
        <f>'Financial XaaS'!I43</f>
        <v>0</v>
      </c>
      <c r="BN110" s="759">
        <f>'Financial XaaS'!N43</f>
        <v>0</v>
      </c>
      <c r="BO110" s="68">
        <f>'Financial XaaS'!O43</f>
        <v>0</v>
      </c>
      <c r="BP110" s="759">
        <f>'Financial XaaS'!P43</f>
        <v>0</v>
      </c>
      <c r="BQ110" s="759">
        <f>'Financial XaaS'!Q43</f>
        <v>0</v>
      </c>
      <c r="BR110" s="759">
        <f>'Financial XaaS'!R43</f>
        <v>0</v>
      </c>
      <c r="BU110" s="69" t="str">
        <f>BL110</f>
        <v>Operating Income</v>
      </c>
      <c r="BV110" s="68">
        <f>'Financial XaaS'!Q43</f>
        <v>0</v>
      </c>
      <c r="BW110" s="759">
        <f>'Financial XaaS'!T43</f>
        <v>0</v>
      </c>
      <c r="BX110" s="759">
        <f>'Financial XaaS'!U43</f>
        <v>0</v>
      </c>
      <c r="BY110" s="759">
        <f>'Financial XaaS'!V43</f>
        <v>0</v>
      </c>
      <c r="BZ110" s="759">
        <f>'Financial XaaS'!W43</f>
        <v>0</v>
      </c>
    </row>
    <row r="111" spans="64:78" ht="12.65" customHeight="1" outlineLevel="1" x14ac:dyDescent="0.35">
      <c r="BL111" s="60" t="str">
        <f>'Financial XaaS'!C44</f>
        <v>Operating Margin</v>
      </c>
      <c r="BM111" s="63">
        <f>'Financial XaaS'!I44</f>
        <v>0</v>
      </c>
      <c r="BN111" s="110" t="e">
        <f>'Financial XaaS'!N44</f>
        <v>#DIV/0!</v>
      </c>
      <c r="BO111" s="63">
        <f>'Financial XaaS'!O44</f>
        <v>0</v>
      </c>
      <c r="BP111" s="110" t="e">
        <f>'Financial XaaS'!P44</f>
        <v>#DIV/0!</v>
      </c>
      <c r="BQ111" s="110" t="e">
        <f>'Financial XaaS'!Q44</f>
        <v>#DIV/0!</v>
      </c>
      <c r="BR111" s="110" t="e">
        <f>'Financial XaaS'!R44</f>
        <v>#DIV/0!</v>
      </c>
      <c r="BU111" s="60" t="str">
        <f>BL111</f>
        <v>Operating Margin</v>
      </c>
      <c r="BV111" s="63" t="e">
        <f>'Financial XaaS'!Q44</f>
        <v>#DIV/0!</v>
      </c>
      <c r="BW111" s="110" t="e">
        <f>'Financial XaaS'!T44</f>
        <v>#DIV/0!</v>
      </c>
      <c r="BX111" s="110" t="e">
        <f>'Financial XaaS'!U44</f>
        <v>#DIV/0!</v>
      </c>
      <c r="BY111" s="110" t="e">
        <f>'Financial XaaS'!V44</f>
        <v>#DIV/0!</v>
      </c>
      <c r="BZ111" s="110" t="e">
        <f>'Financial XaaS'!W44</f>
        <v>#DIV/0!</v>
      </c>
    </row>
    <row r="112" spans="64:78" ht="7.15" customHeight="1" outlineLevel="1" x14ac:dyDescent="0.35">
      <c r="BL112" s="22"/>
      <c r="BM112" s="2"/>
      <c r="BN112" s="2"/>
      <c r="BO112" s="2"/>
      <c r="BP112" s="2"/>
      <c r="BQ112" s="2"/>
      <c r="BU112" s="22"/>
      <c r="BV112" s="2"/>
    </row>
    <row r="113" spans="64:78" ht="15.75" customHeight="1" outlineLevel="1" x14ac:dyDescent="0.35">
      <c r="BL113" s="69" t="str">
        <f>'Financial XaaS'!C50</f>
        <v>Net Income</v>
      </c>
      <c r="BM113" s="759">
        <f>'Financial XaaS'!I50</f>
        <v>0</v>
      </c>
      <c r="BN113" s="759">
        <f>'Financial XaaS'!N50</f>
        <v>0</v>
      </c>
      <c r="BO113" s="759">
        <f>'Financial XaaS'!O50</f>
        <v>0</v>
      </c>
      <c r="BP113" s="759">
        <f>'Financial XaaS'!P50</f>
        <v>0</v>
      </c>
      <c r="BQ113" s="759">
        <f>'Financial XaaS'!Q50</f>
        <v>0</v>
      </c>
      <c r="BR113" s="759">
        <f>'Financial XaaS'!R50</f>
        <v>0</v>
      </c>
      <c r="BU113" s="69" t="str">
        <f>BL113</f>
        <v>Net Income</v>
      </c>
      <c r="BV113" s="759">
        <f>'Financial XaaS'!Q50</f>
        <v>0</v>
      </c>
      <c r="BW113" s="759">
        <f>'Financial XaaS'!T50</f>
        <v>0</v>
      </c>
      <c r="BX113" s="759">
        <f>'Financial XaaS'!U50</f>
        <v>0</v>
      </c>
      <c r="BY113" s="759">
        <f>'Financial XaaS'!V50</f>
        <v>0</v>
      </c>
      <c r="BZ113" s="759">
        <f>'Financial XaaS'!W50</f>
        <v>0</v>
      </c>
    </row>
    <row r="114" spans="64:78" ht="12.65" customHeight="1" outlineLevel="1" x14ac:dyDescent="0.35">
      <c r="BL114" s="60" t="str">
        <f>'Financial XaaS'!C51</f>
        <v>YoY Growth</v>
      </c>
      <c r="BM114" s="63">
        <f>'Financial XaaS'!I51</f>
        <v>0</v>
      </c>
      <c r="BN114" s="111" t="e">
        <f>'Financial XaaS'!N51</f>
        <v>#DIV/0!</v>
      </c>
      <c r="BO114" s="63">
        <f>'Financial XaaS'!O51</f>
        <v>0</v>
      </c>
      <c r="BP114" s="111" t="e">
        <f>'Financial XaaS'!P51</f>
        <v>#DIV/0!</v>
      </c>
      <c r="BQ114" s="111" t="e">
        <f>'Financial XaaS'!Q51</f>
        <v>#DIV/0!</v>
      </c>
      <c r="BR114" s="111" t="e">
        <f>'Financial XaaS'!R51</f>
        <v>#DIV/0!</v>
      </c>
      <c r="BU114" s="60" t="str">
        <f>BL114</f>
        <v>YoY Growth</v>
      </c>
      <c r="BV114" s="63" t="e">
        <f>'Financial XaaS'!Q51</f>
        <v>#DIV/0!</v>
      </c>
      <c r="BW114" s="111" t="e">
        <f>'Financial XaaS'!T51</f>
        <v>#DIV/0!</v>
      </c>
      <c r="BX114" s="111" t="e">
        <f>'Financial XaaS'!U51</f>
        <v>#DIV/0!</v>
      </c>
      <c r="BY114" s="111" t="e">
        <f>'Financial XaaS'!V51</f>
        <v>#DIV/0!</v>
      </c>
      <c r="BZ114" s="111" t="e">
        <f>'Financial XaaS'!W51</f>
        <v>#DIV/0!</v>
      </c>
    </row>
    <row r="115" spans="64:78" ht="12.65" customHeight="1" outlineLevel="1" x14ac:dyDescent="0.35">
      <c r="BL115" s="60" t="str">
        <f>'Financial XaaS'!C52</f>
        <v>%Profit Margin</v>
      </c>
      <c r="BM115" s="63">
        <f>'Financial XaaS'!I52</f>
        <v>0</v>
      </c>
      <c r="BN115" s="110" t="e">
        <f>'Financial XaaS'!N52</f>
        <v>#DIV/0!</v>
      </c>
      <c r="BO115" s="63">
        <f>'Financial XaaS'!O52</f>
        <v>0</v>
      </c>
      <c r="BP115" s="110" t="e">
        <f>'Financial XaaS'!P52</f>
        <v>#DIV/0!</v>
      </c>
      <c r="BQ115" s="110" t="e">
        <f>'Financial XaaS'!Q52</f>
        <v>#DIV/0!</v>
      </c>
      <c r="BR115" s="110" t="e">
        <f>'Financial XaaS'!R52</f>
        <v>#DIV/0!</v>
      </c>
      <c r="BU115" s="60" t="str">
        <f>BL115</f>
        <v>%Profit Margin</v>
      </c>
      <c r="BV115" s="63" t="e">
        <f>'Financial XaaS'!Q52</f>
        <v>#DIV/0!</v>
      </c>
      <c r="BW115" s="110" t="e">
        <f>'Financial XaaS'!T52</f>
        <v>#DIV/0!</v>
      </c>
      <c r="BX115" s="110" t="e">
        <f>'Financial XaaS'!U52</f>
        <v>#DIV/0!</v>
      </c>
      <c r="BY115" s="110" t="e">
        <f>'Financial XaaS'!V52</f>
        <v>#DIV/0!</v>
      </c>
      <c r="BZ115" s="110" t="e">
        <f>'Financial XaaS'!W52</f>
        <v>#DIV/0!</v>
      </c>
    </row>
    <row r="116" spans="64:78" ht="7.15" customHeight="1" outlineLevel="1" x14ac:dyDescent="0.35">
      <c r="BL116" s="22"/>
      <c r="BM116" s="2"/>
      <c r="BN116" s="2"/>
      <c r="BO116" s="2"/>
      <c r="BP116" s="2"/>
      <c r="BQ116" s="2"/>
      <c r="BU116" s="22"/>
      <c r="BV116" s="2"/>
    </row>
    <row r="117" spans="64:78" ht="15.75" customHeight="1" outlineLevel="1" x14ac:dyDescent="0.35">
      <c r="BL117" s="119" t="str">
        <f>'Financial XaaS'!C60</f>
        <v>∆ Working Capital</v>
      </c>
      <c r="BM117" s="68">
        <f>'Financial XaaS'!I60</f>
        <v>0</v>
      </c>
      <c r="BN117" s="757">
        <f>'Financial XaaS'!N60</f>
        <v>0</v>
      </c>
      <c r="BO117" s="68">
        <f>'Financial XaaS'!O60</f>
        <v>0</v>
      </c>
      <c r="BP117" s="757">
        <f>'Financial XaaS'!P60</f>
        <v>0</v>
      </c>
      <c r="BQ117" s="757">
        <f>'Financial XaaS'!Q60</f>
        <v>0</v>
      </c>
      <c r="BR117" s="757">
        <f>'Financial XaaS'!R60</f>
        <v>0</v>
      </c>
      <c r="BU117" s="119" t="str">
        <f>BL117</f>
        <v>∆ Working Capital</v>
      </c>
      <c r="BV117" s="68">
        <f>'Financial XaaS'!Q60</f>
        <v>0</v>
      </c>
      <c r="BW117" s="761">
        <f>'Financial XaaS'!T60</f>
        <v>0</v>
      </c>
      <c r="BX117" s="761">
        <f>'Financial XaaS'!U60</f>
        <v>0</v>
      </c>
      <c r="BY117" s="761">
        <f>'Financial XaaS'!V60</f>
        <v>0</v>
      </c>
      <c r="BZ117" s="761">
        <f>'Financial XaaS'!W60</f>
        <v>0</v>
      </c>
    </row>
    <row r="118" spans="64:78" ht="7.15" customHeight="1" outlineLevel="1" x14ac:dyDescent="0.35">
      <c r="BL118" s="22"/>
      <c r="BM118" s="2"/>
      <c r="BN118" s="2"/>
      <c r="BO118" s="2"/>
      <c r="BP118" s="2"/>
      <c r="BQ118" s="2"/>
      <c r="BU118" s="22"/>
      <c r="BV118" s="2"/>
    </row>
    <row r="119" spans="64:78" ht="15.75" customHeight="1" outlineLevel="1" x14ac:dyDescent="0.35">
      <c r="BL119" s="22" t="str">
        <f>'Financial XaaS'!C62</f>
        <v>Net Cash Flow</v>
      </c>
      <c r="BM119" s="2">
        <f>'Financial XaaS'!I62</f>
        <v>0</v>
      </c>
      <c r="BN119" s="762">
        <f>'Financial XaaS'!N62</f>
        <v>0</v>
      </c>
      <c r="BO119" s="2">
        <f>'Financial XaaS'!O62</f>
        <v>0</v>
      </c>
      <c r="BP119" s="762">
        <f>'Financial XaaS'!P62</f>
        <v>0</v>
      </c>
      <c r="BQ119" s="762">
        <f>'Financial XaaS'!Q62</f>
        <v>0</v>
      </c>
      <c r="BR119" s="762">
        <f>'Financial XaaS'!R62</f>
        <v>0</v>
      </c>
      <c r="BU119" s="22" t="str">
        <f>BL119</f>
        <v>Net Cash Flow</v>
      </c>
      <c r="BV119" s="2">
        <f>'Financial XaaS'!Q62</f>
        <v>0</v>
      </c>
      <c r="BW119" s="762">
        <f>'Financial XaaS'!T62</f>
        <v>0</v>
      </c>
      <c r="BX119" s="762">
        <f>'Financial XaaS'!U62</f>
        <v>0</v>
      </c>
      <c r="BY119" s="762">
        <f>'Financial XaaS'!V62</f>
        <v>0</v>
      </c>
      <c r="BZ119" s="762">
        <f>'Financial XaaS'!W62</f>
        <v>0</v>
      </c>
    </row>
    <row r="120" spans="64:78" ht="7.15" customHeight="1" outlineLevel="1" x14ac:dyDescent="0.35">
      <c r="BL120" s="60"/>
      <c r="BM120" s="63"/>
      <c r="BN120" s="111"/>
      <c r="BO120" s="63"/>
      <c r="BP120" s="111"/>
      <c r="BQ120" s="111"/>
      <c r="BR120" s="111"/>
      <c r="BU120" s="60"/>
      <c r="BV120" s="63"/>
      <c r="BW120" s="110"/>
      <c r="BX120" s="111"/>
      <c r="BY120" s="111"/>
      <c r="BZ120" s="111"/>
    </row>
    <row r="121" spans="64:78" ht="15.75" customHeight="1" outlineLevel="1" x14ac:dyDescent="0.65">
      <c r="BL121" s="28" t="str">
        <f>'Financial XaaS'!C64</f>
        <v>KPIs &amp; Other informations</v>
      </c>
      <c r="BM121" s="31">
        <f>'Financial XaaS'!I64</f>
        <v>0</v>
      </c>
      <c r="BN121" s="730" t="s">
        <v>150</v>
      </c>
      <c r="BO121" s="32">
        <f>'Financial XaaS'!O64</f>
        <v>0</v>
      </c>
      <c r="BP121" s="1346" t="str">
        <f>'Financial XaaS'!P64</f>
        <v>Projected</v>
      </c>
      <c r="BQ121" s="1346">
        <v>0</v>
      </c>
      <c r="BR121" s="1346">
        <v>0</v>
      </c>
      <c r="BU121" s="28" t="str">
        <f>BL121</f>
        <v>KPIs &amp; Other informations</v>
      </c>
      <c r="BV121" s="31">
        <f>'Financial XaaS'!Q64</f>
        <v>0</v>
      </c>
      <c r="BW121" s="1346" t="str">
        <f>'Financial XaaS'!T64</f>
        <v>DTC Sensitized</v>
      </c>
      <c r="BX121" s="1346">
        <v>0</v>
      </c>
      <c r="BY121" s="1346">
        <v>0</v>
      </c>
      <c r="BZ121" s="1346">
        <v>0</v>
      </c>
    </row>
    <row r="122" spans="64:78" outlineLevel="1" x14ac:dyDescent="0.35">
      <c r="BL122" s="2"/>
      <c r="BM122" s="35">
        <f>'Financial XaaS'!I65</f>
        <v>0</v>
      </c>
      <c r="BN122" s="123">
        <f ca="1">'Financial XaaS'!N65</f>
        <v>2026</v>
      </c>
      <c r="BO122" s="35">
        <f>'Financial XaaS'!O65</f>
        <v>0</v>
      </c>
      <c r="BP122" s="123" t="str">
        <f ca="1">'Financial XaaS'!P65</f>
        <v>2027P</v>
      </c>
      <c r="BQ122" s="123" t="str">
        <f ca="1">'Financial XaaS'!Q65</f>
        <v>2028P</v>
      </c>
      <c r="BR122" s="123" t="str">
        <f ca="1">'Financial XaaS'!R65</f>
        <v>2029E</v>
      </c>
      <c r="BU122" s="2"/>
      <c r="BV122" s="35"/>
      <c r="BW122" s="123" t="str">
        <f ca="1">'Financial XaaS'!T65</f>
        <v>2026S</v>
      </c>
      <c r="BX122" s="123" t="str">
        <f ca="1">'Financial XaaS'!U65</f>
        <v>2027S</v>
      </c>
      <c r="BY122" s="123" t="str">
        <f ca="1">'Financial XaaS'!V65</f>
        <v>2028S</v>
      </c>
      <c r="BZ122" s="123" t="str">
        <f ca="1">'Financial XaaS'!W65</f>
        <v>2029S</v>
      </c>
    </row>
    <row r="123" spans="64:78" ht="15.75" customHeight="1" outlineLevel="1" x14ac:dyDescent="0.35">
      <c r="BL123" s="80" t="str">
        <f>'Financial XaaS'!C66</f>
        <v>EBITDA</v>
      </c>
      <c r="BM123" s="2">
        <f>'Financial XaaS'!I66</f>
        <v>0</v>
      </c>
      <c r="BN123" s="763">
        <f>'Financial XaaS'!N66</f>
        <v>0</v>
      </c>
      <c r="BO123" s="2">
        <f>'Financial XaaS'!O66</f>
        <v>0</v>
      </c>
      <c r="BP123" s="763">
        <f>'Financial XaaS'!P66</f>
        <v>0</v>
      </c>
      <c r="BQ123" s="763">
        <f>'Financial XaaS'!Q66</f>
        <v>0</v>
      </c>
      <c r="BR123" s="763">
        <f>'Financial XaaS'!R66</f>
        <v>0</v>
      </c>
      <c r="BU123" s="80" t="str">
        <f>BL123</f>
        <v>EBITDA</v>
      </c>
      <c r="BV123" s="2">
        <f>'Financial XaaS'!Q66</f>
        <v>0</v>
      </c>
      <c r="BW123" s="763">
        <f>'Financial XaaS'!T66</f>
        <v>0</v>
      </c>
      <c r="BX123" s="763">
        <f>'Financial XaaS'!U66</f>
        <v>0</v>
      </c>
      <c r="BY123" s="763">
        <f>'Financial XaaS'!V66</f>
        <v>0</v>
      </c>
      <c r="BZ123" s="763">
        <f>'Financial XaaS'!W66</f>
        <v>0</v>
      </c>
    </row>
    <row r="124" spans="64:78" ht="15.75" customHeight="1" outlineLevel="1" x14ac:dyDescent="0.35">
      <c r="BL124" s="80" t="str">
        <f>'Financial XaaS'!C67</f>
        <v>EBIT</v>
      </c>
      <c r="BM124" s="2">
        <f>'Financial XaaS'!I67</f>
        <v>0</v>
      </c>
      <c r="BN124" s="134">
        <f>'Financial XaaS'!N67</f>
        <v>0</v>
      </c>
      <c r="BO124" s="2">
        <f>'Financial XaaS'!O67</f>
        <v>0</v>
      </c>
      <c r="BP124" s="134">
        <f>'Financial XaaS'!P67</f>
        <v>0</v>
      </c>
      <c r="BQ124" s="134">
        <f>'Financial XaaS'!Q67</f>
        <v>0</v>
      </c>
      <c r="BR124" s="134">
        <f>'Financial XaaS'!R67</f>
        <v>0</v>
      </c>
      <c r="BU124" s="80" t="str">
        <f>BL124</f>
        <v>EBIT</v>
      </c>
      <c r="BV124" s="2">
        <f>'Financial XaaS'!Q67</f>
        <v>0</v>
      </c>
      <c r="BW124" s="134">
        <f>'Financial XaaS'!T67</f>
        <v>0</v>
      </c>
      <c r="BX124" s="134">
        <f>'Financial XaaS'!U67</f>
        <v>0</v>
      </c>
      <c r="BY124" s="134">
        <f>'Financial XaaS'!V67</f>
        <v>0</v>
      </c>
      <c r="BZ124" s="134">
        <f>'Financial XaaS'!W67</f>
        <v>0</v>
      </c>
    </row>
    <row r="125" spans="64:78" ht="7.15" customHeight="1" outlineLevel="1" x14ac:dyDescent="0.35">
      <c r="BL125" s="22"/>
      <c r="BM125" s="2"/>
      <c r="BN125" s="2"/>
      <c r="BO125" s="2"/>
      <c r="BP125" s="2"/>
      <c r="BQ125" s="2"/>
      <c r="BU125" s="22"/>
      <c r="BV125" s="2"/>
    </row>
    <row r="126" spans="64:78" ht="15.75" customHeight="1" outlineLevel="1" x14ac:dyDescent="0.35">
      <c r="BL126" s="80" t="str">
        <f>'Financial XaaS'!C72</f>
        <v>Customer Lifetime Value - CLTV</v>
      </c>
      <c r="BM126" s="2">
        <f>'Financial XaaS'!I72</f>
        <v>0</v>
      </c>
      <c r="BN126" s="105">
        <f>'Financial XaaS'!N72</f>
        <v>0</v>
      </c>
      <c r="BO126" s="2">
        <f>'Financial XaaS'!O72</f>
        <v>0</v>
      </c>
      <c r="BP126" s="105">
        <f>'Financial XaaS'!P72</f>
        <v>0</v>
      </c>
      <c r="BQ126" s="105">
        <f>'Financial XaaS'!Q72</f>
        <v>0</v>
      </c>
      <c r="BR126" s="3">
        <f>'Financial XaaS'!R72</f>
        <v>0</v>
      </c>
      <c r="BU126" s="80" t="str">
        <f t="shared" ref="BU126:BU131" si="2">BL126</f>
        <v>Customer Lifetime Value - CLTV</v>
      </c>
      <c r="BV126" s="66">
        <f>'Financial XaaS'!Q72</f>
        <v>0</v>
      </c>
      <c r="BW126" s="3">
        <f>'Financial XaaS'!T72</f>
        <v>0</v>
      </c>
      <c r="BX126" s="3">
        <f>'Financial XaaS'!U72</f>
        <v>0</v>
      </c>
      <c r="BY126" s="3">
        <f>'Financial XaaS'!V72</f>
        <v>0</v>
      </c>
      <c r="BZ126" s="3">
        <f>'Financial XaaS'!W72</f>
        <v>0</v>
      </c>
    </row>
    <row r="127" spans="64:78" ht="15.75" customHeight="1" outlineLevel="1" x14ac:dyDescent="0.35">
      <c r="BL127" s="85" t="str">
        <f>'Financial XaaS'!C73</f>
        <v>Average Revenue per Account</v>
      </c>
      <c r="BM127" s="2">
        <f>'Financial XaaS'!I73</f>
        <v>0</v>
      </c>
      <c r="BN127" s="762" t="e">
        <f>'Financial XaaS'!N73</f>
        <v>#DIV/0!</v>
      </c>
      <c r="BO127" s="2">
        <f>'Financial XaaS'!O73</f>
        <v>0</v>
      </c>
      <c r="BP127" s="762" t="e">
        <f>'Financial XaaS'!P73</f>
        <v>#DIV/0!</v>
      </c>
      <c r="BQ127" s="762" t="e">
        <f>'Financial XaaS'!Q73</f>
        <v>#DIV/0!</v>
      </c>
      <c r="BR127" s="762" t="e">
        <f>'Financial XaaS'!R73</f>
        <v>#DIV/0!</v>
      </c>
      <c r="BU127" s="85" t="str">
        <f t="shared" si="2"/>
        <v>Average Revenue per Account</v>
      </c>
      <c r="BV127" s="2" t="e">
        <f>'Financial XaaS'!Q73</f>
        <v>#DIV/0!</v>
      </c>
      <c r="BW127" s="762" t="e">
        <f>'Financial XaaS'!T73</f>
        <v>#DIV/0!</v>
      </c>
      <c r="BX127" s="762" t="e">
        <f>'Financial XaaS'!U73</f>
        <v>#DIV/0!</v>
      </c>
      <c r="BY127" s="762" t="e">
        <f>'Financial XaaS'!V73</f>
        <v>#DIV/0!</v>
      </c>
      <c r="BZ127" s="762" t="e">
        <f>'Financial XaaS'!W73</f>
        <v>#DIV/0!</v>
      </c>
    </row>
    <row r="128" spans="64:78" ht="15.75" customHeight="1" outlineLevel="1" x14ac:dyDescent="0.35">
      <c r="BL128" s="85" t="str">
        <f>'Financial XaaS'!C74</f>
        <v>Discount Rate for CLTV</v>
      </c>
      <c r="BM128" s="2">
        <f>'Financial XaaS'!I74</f>
        <v>0</v>
      </c>
      <c r="BN128" s="105">
        <f>'Financial XaaS'!N74</f>
        <v>0</v>
      </c>
      <c r="BO128" s="2">
        <f>'Financial XaaS'!O74</f>
        <v>0</v>
      </c>
      <c r="BP128" s="105">
        <f>'Financial XaaS'!P74</f>
        <v>0</v>
      </c>
      <c r="BQ128" s="105">
        <f>'Financial XaaS'!Q74</f>
        <v>0</v>
      </c>
      <c r="BR128" s="3">
        <f>'Financial XaaS'!R74</f>
        <v>0</v>
      </c>
      <c r="BU128" s="85" t="str">
        <f t="shared" si="2"/>
        <v>Discount Rate for CLTV</v>
      </c>
      <c r="BV128" s="66">
        <f>'Financial XaaS'!Q74</f>
        <v>0</v>
      </c>
      <c r="BW128" s="3">
        <f>'Financial XaaS'!T74</f>
        <v>0</v>
      </c>
      <c r="BX128" s="3">
        <f>'Financial XaaS'!U74</f>
        <v>0</v>
      </c>
      <c r="BY128" s="3">
        <f>'Financial XaaS'!V74</f>
        <v>0</v>
      </c>
      <c r="BZ128" s="3">
        <f>'Financial XaaS'!W74</f>
        <v>0</v>
      </c>
    </row>
    <row r="129" spans="64:78" ht="15.75" customHeight="1" outlineLevel="1" x14ac:dyDescent="0.35">
      <c r="BL129" s="85" t="str">
        <f>'Financial XaaS'!C75</f>
        <v>Growth Rate for remaining customers</v>
      </c>
      <c r="BM129" s="2">
        <f>'Financial XaaS'!I75</f>
        <v>0</v>
      </c>
      <c r="BN129" s="105">
        <f>'Financial XaaS'!N75</f>
        <v>0</v>
      </c>
      <c r="BO129" s="2">
        <f>'Financial XaaS'!O75</f>
        <v>0</v>
      </c>
      <c r="BP129" s="105">
        <f>'Financial XaaS'!P75</f>
        <v>0</v>
      </c>
      <c r="BQ129" s="105">
        <f>'Financial XaaS'!Q75</f>
        <v>0</v>
      </c>
      <c r="BR129" s="3">
        <f>'Financial XaaS'!R75</f>
        <v>0</v>
      </c>
      <c r="BU129" s="85" t="str">
        <f t="shared" si="2"/>
        <v>Growth Rate for remaining customers</v>
      </c>
      <c r="BV129" s="66">
        <f>'Financial XaaS'!Q75</f>
        <v>0</v>
      </c>
      <c r="BW129" s="3">
        <f>'Financial XaaS'!T75</f>
        <v>0</v>
      </c>
      <c r="BX129" s="3">
        <f>'Financial XaaS'!U75</f>
        <v>0</v>
      </c>
      <c r="BY129" s="3">
        <f>'Financial XaaS'!V75</f>
        <v>0</v>
      </c>
      <c r="BZ129" s="3">
        <f>'Financial XaaS'!W75</f>
        <v>0</v>
      </c>
    </row>
    <row r="130" spans="64:78" ht="15.75" customHeight="1" outlineLevel="1" x14ac:dyDescent="0.35">
      <c r="BL130" s="85" t="str">
        <f>'Financial XaaS'!C76</f>
        <v>K</v>
      </c>
      <c r="BM130" s="2">
        <f>'Financial XaaS'!I76</f>
        <v>0</v>
      </c>
      <c r="BN130" s="105">
        <f>'Financial XaaS'!N76</f>
        <v>0</v>
      </c>
      <c r="BO130" s="2">
        <f>'Financial XaaS'!O76</f>
        <v>0</v>
      </c>
      <c r="BP130" s="105">
        <f>'Financial XaaS'!P76</f>
        <v>0</v>
      </c>
      <c r="BQ130" s="105">
        <f>'Financial XaaS'!Q76</f>
        <v>0</v>
      </c>
      <c r="BR130" s="3">
        <f>'Financial XaaS'!R76</f>
        <v>0</v>
      </c>
      <c r="BU130" s="85" t="str">
        <f t="shared" si="2"/>
        <v>K</v>
      </c>
      <c r="BV130" s="66">
        <f>'Financial XaaS'!Q76</f>
        <v>0</v>
      </c>
      <c r="BW130" s="3">
        <f>'Financial XaaS'!T76</f>
        <v>0</v>
      </c>
      <c r="BX130" s="3">
        <f>'Financial XaaS'!U76</f>
        <v>0</v>
      </c>
      <c r="BY130" s="3">
        <f>'Financial XaaS'!V76</f>
        <v>0</v>
      </c>
      <c r="BZ130" s="3">
        <f>'Financial XaaS'!W76</f>
        <v>0</v>
      </c>
    </row>
    <row r="131" spans="64:78" ht="15.75" customHeight="1" outlineLevel="1" x14ac:dyDescent="0.35">
      <c r="BL131" s="85" t="str">
        <f>'Financial XaaS'!C77</f>
        <v>Customer Lifetime Value - CLTV</v>
      </c>
      <c r="BM131" s="2">
        <f>'Financial XaaS'!I77</f>
        <v>0</v>
      </c>
      <c r="BN131" s="762" t="e">
        <f>'Financial XaaS'!N77</f>
        <v>#DIV/0!</v>
      </c>
      <c r="BO131" s="2">
        <f>'Financial XaaS'!O77</f>
        <v>0</v>
      </c>
      <c r="BP131" s="762" t="e">
        <f>'Financial XaaS'!P77</f>
        <v>#DIV/0!</v>
      </c>
      <c r="BQ131" s="762" t="e">
        <f>'Financial XaaS'!Q77</f>
        <v>#DIV/0!</v>
      </c>
      <c r="BR131" s="762" t="e">
        <f>'Financial XaaS'!R77</f>
        <v>#DIV/0!</v>
      </c>
      <c r="BU131" s="85" t="str">
        <f t="shared" si="2"/>
        <v>Customer Lifetime Value - CLTV</v>
      </c>
      <c r="BV131" s="2" t="e">
        <f>'Financial XaaS'!Q77</f>
        <v>#DIV/0!</v>
      </c>
      <c r="BW131" s="762" t="e">
        <f>'Financial XaaS'!T77</f>
        <v>#DIV/0!</v>
      </c>
      <c r="BX131" s="762" t="e">
        <f>'Financial XaaS'!U77</f>
        <v>#DIV/0!</v>
      </c>
      <c r="BY131" s="762" t="e">
        <f>'Financial XaaS'!V77</f>
        <v>#DIV/0!</v>
      </c>
      <c r="BZ131" s="762" t="e">
        <f>'Financial XaaS'!W77</f>
        <v>#DIV/0!</v>
      </c>
    </row>
    <row r="132" spans="64:78" ht="15.75" customHeight="1" outlineLevel="1" x14ac:dyDescent="0.35"/>
    <row r="133" spans="64:78" ht="15.75" customHeight="1" x14ac:dyDescent="0.35"/>
  </sheetData>
  <mergeCells count="31">
    <mergeCell ref="H14:J14"/>
    <mergeCell ref="H8:I8"/>
    <mergeCell ref="H9:I9"/>
    <mergeCell ref="H10:I10"/>
    <mergeCell ref="H11:I11"/>
    <mergeCell ref="H12:I12"/>
    <mergeCell ref="AC14:AE14"/>
    <mergeCell ref="AF14:AH14"/>
    <mergeCell ref="H15:J15"/>
    <mergeCell ref="K15:M15"/>
    <mergeCell ref="N15:P15"/>
    <mergeCell ref="Q15:S15"/>
    <mergeCell ref="T15:V15"/>
    <mergeCell ref="W15:Y15"/>
    <mergeCell ref="Z15:AB15"/>
    <mergeCell ref="AC15:AE15"/>
    <mergeCell ref="K14:M14"/>
    <mergeCell ref="N14:P14"/>
    <mergeCell ref="Q14:S14"/>
    <mergeCell ref="T14:V14"/>
    <mergeCell ref="W14:Y14"/>
    <mergeCell ref="Z14:AB14"/>
    <mergeCell ref="BW86:BZ86"/>
    <mergeCell ref="BP121:BR121"/>
    <mergeCell ref="BW121:BZ121"/>
    <mergeCell ref="AF15:AH15"/>
    <mergeCell ref="AW51:AY51"/>
    <mergeCell ref="BC51:BF51"/>
    <mergeCell ref="AW77:AY77"/>
    <mergeCell ref="BC77:BF77"/>
    <mergeCell ref="BP86:BR86"/>
  </mergeCells>
  <conditionalFormatting sqref="H42">
    <cfRule type="containsText" dxfId="8" priority="9" operator="containsText" text="Check">
      <formula>NOT(ISERROR(SEARCH("Check",#REF!)))</formula>
    </cfRule>
  </conditionalFormatting>
  <conditionalFormatting sqref="J42:K42">
    <cfRule type="containsText" dxfId="7" priority="8" operator="containsText" text="Check">
      <formula>NOT(ISERROR(SEARCH("Check",#REF!)))</formula>
    </cfRule>
  </conditionalFormatting>
  <conditionalFormatting sqref="M42:N42">
    <cfRule type="containsText" dxfId="6" priority="7" operator="containsText" text="Check">
      <formula>NOT(ISERROR(SEARCH("Check",#REF!)))</formula>
    </cfRule>
  </conditionalFormatting>
  <conditionalFormatting sqref="P42:Q42">
    <cfRule type="containsText" dxfId="5" priority="6" operator="containsText" text="Check">
      <formula>NOT(ISERROR(SEARCH("Check",#REF!)))</formula>
    </cfRule>
  </conditionalFormatting>
  <conditionalFormatting sqref="S42:T42">
    <cfRule type="containsText" dxfId="4" priority="5" operator="containsText" text="Check">
      <formula>NOT(ISERROR(SEARCH("Check",#REF!)))</formula>
    </cfRule>
  </conditionalFormatting>
  <conditionalFormatting sqref="V42:W42">
    <cfRule type="containsText" dxfId="3" priority="4" operator="containsText" text="Check">
      <formula>NOT(ISERROR(SEARCH("Check",#REF!)))</formula>
    </cfRule>
  </conditionalFormatting>
  <conditionalFormatting sqref="Y42:Z42">
    <cfRule type="containsText" dxfId="2" priority="3" operator="containsText" text="Check">
      <formula>NOT(ISERROR(SEARCH("Check",#REF!)))</formula>
    </cfRule>
  </conditionalFormatting>
  <conditionalFormatting sqref="AB42:AC42">
    <cfRule type="containsText" dxfId="1" priority="2" operator="containsText" text="Check">
      <formula>NOT(ISERROR(SEARCH("Check",#REF!)))</formula>
    </cfRule>
  </conditionalFormatting>
  <conditionalFormatting sqref="AE42:AF42">
    <cfRule type="containsText" dxfId="0" priority="1" operator="containsText" text="Check">
      <formula>NOT(ISERROR(SEARCH("Check",#REF!)))</formula>
    </cfRule>
  </conditionalFormatting>
  <pageMargins left="0.7" right="0.7" top="0.75" bottom="0.75" header="0.3" footer="0.3"/>
  <pageSetup orientation="portrait" r:id="rId1"/>
  <headerFooter>
    <oddFooter>&amp;L&amp;1#&amp;"Calibri"&amp;7&amp;K7F7F7FInternal Use - Confidential</oddFooter>
  </headerFooter>
  <customProperties>
    <customPr name="%locator_row%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56019270"><![CDATA[{"CRM^PROPER_NAME(0,,,\"SECURITY\",\"NAME\")":"salesforce.com, inc.","NOW^PROPER_NAME(0,,,\"SECURITY\",\"NAME\")":"ServiceNow, Inc.","WDAY^PROPER_NAME(0,,,\"SECURITY\",\"NAME\")":"Workday, Inc. Class A","PFPT^PROPER_NAME(0,,,\"SECURITY\",\"NAME\")":"Proofpoint, Inc.","CSOD^PROPER_NAME(0,,,\"SECURITY\",\"NAME\")":"Cornerstone Ondemand, Inc.","CLDR^PROPER_NAME(0,,,\"SECURITY\",\"NAME\")":"Cloudera, Inc.","CARB^PROPER_NAME(0,,,\"SECURITY\",\"NAME\")":"Carbonite, Inc.","FB^FG_COMPANY_NAME":"Facebook, Inc. Class A","GOOG^FG_COMPANY_NAME":"Alphabet Inc. Class C","WMT^FG_COMPANY_NAME":"Walmart Inc.","SNAP^FG_COMPANY_NAME":"Snap, Inc. Class A","AMZN^FG_COMPANY_NAME":"Amazon.com, Inc.","AAPL^FG_COMPANY_NAME":"Apple Inc.","^FG_COMPANY_NAME":null,"FB^FG_PRICE(NOW)":177.51,"GOOG^FG_PRICE(NOW)":1204.62,"WMT^FG_PRICE(NOW)":100.8,"SNAP^FG_PRICE(NOW)":11.9,"AMZN^FG_PRICE(NOW)":1844.07,"AAPL^FG_PRICE(NOW)":198.95,"^FG_PRICE(NOW)":null,"FB^FG_MKT_VALUE(NOW)":506611.0,"FB^FF_ENTRPR_VAL_DAILY(NOW,,,,,\"DIL\")":477882.71,"GOOG^FG_MKT_VALUE(NOW)":837556.6,"GOOG^FF_ENTRPR_VAL_DAILY(NOW,,,,,\"DIL\")":745558.50314999989,"WMT^FG_MKT_VALUE(NOW)":289263.75,"WMT^FF_ENTRPR_VAL_DAILY(NOW,,,,,\"DIL\")":354271.0,"SNAP^FG_MKT_VALUE(NOW)":16223.108,"SNAP^FF_ENTRPR_VAL_DAILY(NOW,,,,,\"DIL\")":14214.4962,"AMZN^FG_MKT_VALUE(NOW)":905812.7,"AMZN^FF_ENTRPR_VAL_DAILY(NOW,,,,,\"DIL\")":929648.0,"AAPL^FG_MKT_VALUE(NOW)":938104.9,"AAPL^FF_ENTRPR_VAL_DAILY(NOW,,,,,\"DIL\")":977941.4854,"^FG_MKT_VALUE(NOW)":null,"^FF_ENTRPR_VAL_DAILY(NOW,,,,,\"DIL\")":null,"FB^FF_SALES(ANN_R,2017":"#NUM","CARB^P_PRICE_HIGH_PR(43566,,,USD,,,\"PRICE\",\"INTRA\",\"52W\")":43.625,"CLDR^P_PRICE_HIGH_PR(43566,,,USD,,,\"PRICE\",\"INTRA\",\"52W\")":20.18,"CSOD^P_PRICE_HIGH_PR(43566,,,USD,,,\"PRICE\",\"INTRA\",\"52W\")":60.19,"PFPT^P_PRICE_HIGH_PR(43566,,,USD,,,\"PRICE\",\"INTRA\",\"52W\")":130.27,"WDAY^P_PRICE_HIGH_PR(43566,,,USD,,,\"PRICE\",\"INTRA\",\"52W\")":200.0,"NOW^P_PRICE_HIGH_PR(43566,,,USD,,,\"PRICE\",\"INTRA\",\"52W\")":251.65,"CRM^P_PRICE_HIGH_PR(43566,,,USD,,,\"PRICE\",\"INTRA\",\"52W\")":166.99,"CARB^FF_ENTRPR_VAL_DAILY(43566,,,,USD,\"DIL\")":767.08605289999991,"CARB^FREF_MARKET_VALUE_COMPANY(43566,,,USD,,0,,\"LEGACY\")":865.28570556640625,"CLDR^FF_ENTRPR_VAL_DAILY(43566,,,,USD,\"DIL\")":1347.61804,"CLDR^FREF_MARKET_VALUE_COMPANY(43566,,,USD,,0,,\"LEGACY\")":3076.650390625,"CSOD^FF_ENTRPR_VAL_DAILY(43566,,,,USD,\"DIL\")":3130.36266,"CSOD^FREF_MARKET_VALUE_COMPANY(43566,,,USD,,0,,\"LEGACY\")":3235.134033203125,"PFPT^FF_ENTRPR_VAL_DAILY(43566,,,,USD,\"DIL\")":6018.21134,"PFPT^FREF_MARKET_VALUE_COMPANY(43566,,,USD,,0,,\"LEGACY\")":6638.6787109375,"WDAY^FF_ENTRPR_VAL_DAILY(43566,,,,USD,\"DIL\")":41885.30243,"WDAY^FREF_MARKET_VALUE_COMPANY(43566,,,USD,,0,,\"LEGACY\")":30751.58984375,"NOW^FF_ENTRPR_VAL_DAILY(43566,,,,USD,\"DIL\")":42870.66807271,"NOW^FREF_MARKET_VALUE_COMPANY(43566,,,USD,,0,,\"LEGACY\")":44361.484375,"CRM^FF_ENTRPR_VAL_DAILY(43566,,,,USD,\"DIL\")":123599.75,"CRM^FREF_MARKET_VALUE_COMPANY(43566,,,USD,,0,,\"LEGACY\")":123922.828125,"CARB^P_PRICE(43566,,,USD)":25.15,"CLDR^P_PRICE(43566,,,USD)":11.44,"CSOD^P_PRICE(43566,,,USD)":54.74,"PFPT^P_PRICE(43566,,,USD)":119.94,"WDAY^P_PRICE(43566,,,USD)":195.87,"NOW^P_PRICE(43566,,,USD)":245.77,"CRM^P_PRICE(43566,,,USD)":160.73,"DELL^FE_ESTIMATE(SALES,MEAN,ANN_ROLL,2017,NOW,,,'')":78660.0,"CARB^FE_ESTIMATE(SALES,MEAN,ANN_ROLL,2017,NOW,,,'')":239.462,"CLDR^FE_ESTIMATE(SALES,MEAN,ANN_ROLL,2017,NOW,,,'')":367.443,"CSOD^FE_ESTIMATE(SALES,MEAN,ANN_ROLL,2017,NOW,,,'')":481.985,"PFPT^FE_ESTIMATE(SALES,MEAN,ANN_ROLL,2017,NOW,,,'')":515.289,"WDAY^FE_ESTIMATE(SALES,MEAN,ANN_ROLL,2017,NOW,,,'')":2143.05,"NOW^FE_ESTIMATE(SALES,MEAN,ANN_ROLL,2017,NOW,,,'')":1933.02,"CRM^FE_ESTIMATE(SALES,MEAN,ANN_ROLL,2017,NOW,,,'')":10480.0,"CARB^IF(P_DATE(0,,,\"DATEN\")>FE_ESTIMATE_DATE(RPT_DATE,,ANN_ROLL,2017,'YYYYMMDD',0,,,''),AVAIL(AVAIL(FF_ADJ_SALES(ANN,2017),FF_ARPT_SERIES('RV','ANN',2017,,'M','IS')),FF_SALES(ANN,2017)),FE_ESTIMATE(SALES,MEAN,ANN_ROLL,2017,NOW,,,''))":246.09,"CLDR^IF(P_DATE(0,,,\"DATEN\")>FE_ESTIMATE_DATE(RPT_DATE,,ANN_ROLL,2017,'YYYYMMDD',0,,,''),AVAIL(AVAIL(FF_ADJ_SALES(ANN,2017),FF_ARPT_SERIES('RV','ANN',2017,,'M','IS')),FF_SALES(ANN,2017)),FE_ESTIMATE(SALES,MEAN,ANN_ROLL,2017,NOW,,,''))":367.442993,"CSOD^IF(P_DATE(0,,,\"DATEN\")>FE_ESTIMATE_DATE(RPT_DATE,,ANN_ROLL,2017,'YYYYMMDD',0,,,''),AVAIL(AVAIL(FF_ADJ_SALES(ANN,2017),FF_ARPT_SERIES('RV','ANN',2017,,'M','IS')),FF_SALES(ANN,2017)),FE_ESTIMATE(SALES,MEAN,ANN_ROLL,2017,NOW,,,''))":481.984985,"PFPT^IF(P_DATE(0,,,\"DATEN\")>FE_ESTIMATE_DATE(RPT_DATE,,ANN_ROLL,2017,'YYYYMMDD',0,,,''),AVAIL(AVAIL(FF_ADJ_SALES(ANN,2017),FF_ARPT_SERIES('RV','ANN',2017,,'M','IS')),FF_SALES(ANN,2017)),FE_ESTIMATE(SALES,MEAN,ANN_ROLL,2017,NOW,,,''))":515.289001,"WDAY^IF(P_DATE(0,,,\"DATEN\")>FE_ESTIMATE_DATE(RPT_DATE,,ANN_ROLL,2017,'YYYYMMDD',0,,,''),AVAIL(AVAIL(FF_ADJ_SALES(ANN,2017),FF_ARPT_SERIES('RV','ANN',2017,,'M','IS')),FF_SALES(ANN,2017)),FE_ESTIMATE(SALES,MEAN,ANN_ROLL,2017,NOW,,,''))":2143.050049,"NOW^IF(P_DATE(0,,,\"DATEN\")>FE_ESTIMATE_DATE(RPT_DATE,,ANN_ROLL,2017,'YYYYMMDD',0,,,''),AVAIL(AVAIL(FF_ADJ_SALES(ANN,2017),FF_ARPT_SERIES('RV','ANN',2017,,'M','IS')),FF_SALES(ANN,2017)),FE_ESTIMATE(SALES,MEAN,ANN_ROLL,2017,NOW,,,''))":2314.588,"CRM^IF(P_DATE(0,,,\"DATEN\")>FE_ESTIMATE_DATE(RPT_DATE,,ANN_ROLL,2017,'YYYYMMDD',0,,,''),AVAIL(AVAIL(FF_ADJ_SALES(ANN,2017),FF_ARPT_SERIES('RV','ANN',2017,,'M','IS')),FF_SALES(ANN,2017)),FE_ESTIMATE(SALES,MEAN,ANN_ROLL,2017,NOW,,,''))":10480.011719,"DELL^IF(FE_ACTUAL(FLAG,SALES,ANN_ROLL,2017,,,,'')!=3,FE_ACTUAL(ACTUAL,SALES,ANN_ROLL,2017,,,,''),FLOAT_NA)":78660.0,"CARB^IF(FE_ACTUAL(FLAG,SALES,ANN_ROLL,2017,,,,'')!=3,FE_ACTUAL(ACTUAL,SALES,ANN_ROLL,2017,,,,''),FLOAT_NA)":239.462,"CLDR^IF(FE_ACTUAL(FLAG,SALES,ANN_ROLL,2017,,,,'')!=3,FE_ACTUAL(ACTUAL,SALES,ANN_ROLL,2017,,,,''),FLOAT_NA)":367.443,"CSOD^IF(FE_ACTUAL(FLAG,SALES,ANN_ROLL,2017,,,,'')!=3,FE_ACTUAL(ACTUAL,SALES,ANN_ROLL,2017,,,,''),FLOAT_NA)":481.985,"PFPT^IF(FE_ACTUAL(FLAG,SALES,ANN_ROLL,2017,,,,'')!=3,FE_ACTUAL(ACTUAL,SALES,ANN_ROLL,2017,,,,''),FLOAT_NA)":515.289,"WDAY^IF(FE_ACTUAL(FLAG,SALES,ANN_ROLL,2017,,,,'')!=3,FE_ACTUAL(ACTUAL,SALES,ANN_ROLL,2017,,,,''),FLOAT_NA)":2143.05,"NOW^IF(FE_ACTUAL(FLAG,SALES,ANN_ROLL,2017,,,,'')!=3,FE_ACTUAL(ACTUAL,SALES,ANN_ROLL,2017,,,,''),FLOAT_NA)":1933.02,"CRM^IF(FE_ACTUAL(FLAG,SALES,ANN_ROLL,2017,,,,'')!=3,FE_ACTUAL(ACTUAL,SALES,ANN_ROLL,2017,,,,''),FLOAT_NA)":10480.0,"DELL^FF_SALES(ANN,2017)":78737.0,"CARB^FF_SALES(ANN,2017)":239.462,"CLDR^FF_SALES(ANN,2017)":367.443,"CSOD^FF_SALES(ANN,2017)":481.985,"PFPT^FF_SALES(ANN,2017)":515.289,"WDAY^FF_SALES(ANN,2017)":2141.541,"NOW^FF_SALES(ANN,2017)":1933.026,"CRM^FF_SALES(ANN,2017)":10480.012,"DELL^FF_ARPT_SERIES('RV','ANN',2017,,'M','IS')":78660.0,"CARB^FF_ARPT_SERIES('RV','ANN',2017,,'M','IS')":239.462006,"CLDR^FF_ARPT_SERIES('RV','ANN',2017,,'M','IS')":367.442993,"CSOD^FF_ARPT_SERIES('RV','ANN',2017,,'M','IS')":481.984985,"PFPT^FF_ARPT_SERIES('RV','ANN',2017,,'M','IS')":515.289001,"WDAY^FF_ARPT_SERIES('RV','ANN',2017,,'M','IS')":2143.050049,"NOW^FF_ARPT_SERIES('RV','ANN',2017,,'M','IS')":1933.026001,"CRM^FF_ARPT_SERIES('RV','ANN',2017,,'M','IS')":10480.011719,"DELL^FF_ARPT_SERIES('NG-RV','ANN',2017,,'M','NG-IS')":79929.0,"CARB^FF_ARPT_SERIES('NG-RV','ANN',2017,,'M','NG-IS')":246.089996,"CLDR^FF_ARPT_SERIES('NG-RV','ANN',2017,,'M','NG-IS')":null,"CSOD^FF_ARPT_SERIES('NG-RV','ANN',2017,,'M','NG-IS')":null,"PFPT^FF_ARPT_SERIES('NG-RV','ANN',2017,,'M','NG-IS')":null,"WDAY^FF_ARPT_SERIES('NG-RV','ANN',2017,,'M','NG-IS')":null,"NOW^FF_ARPT_SERIES('NG-RV','ANN',2017,,'M','NG-IS')":2314.587891,"CRM^FF_ARPT_SERIES('NG-RV','ANN',2017,,'M','NG-IS')":null,"DELL^FF_ADJ_SALES(ANN,2017)":79929.0,"CARB^FF_ADJ_SALES(ANN,2017)":246.09,"CLDR^FF_ADJ_SALES(ANN,2017)":null,"CSOD^FF_ADJ_SALES(ANN,2017)":null,"PFPT^FF_ADJ_SALES(ANN,2017)":null,"WDAY^FF_ADJ_SALES(ANN,2017)":null,"NOW^FF_ADJ_SALES(ANN,2017)":2314.588,"CRM^FF_ADJ_SALES(ANN,2017)":null,"DELL^FE_ESTIMATE(SALES,MEAN,ANN_ROLL,2018,NOW,,,'')":91324.0,"CARB^FE_ESTIMATE(SALES,MEAN,ANN_ROLL,2018,NOW,,,'')":301.899,"CLDR^FE_ESTIMATE(SALES,MEAN,ANN_ROLL,2018,NOW,,,'')":479.941,"CSOD^FE_ESTIMATE(SALES,MEAN,ANN_ROLL,2018,NOW,,,'')":537.891,"PFPT^FE_ESTIMATE(SALES,MEAN,ANN_ROLL,2018,NOW,,,'')":716.994,"WDAY^FE_ESTIMATE(SALES,MEAN,ANN_ROLL,2018,NOW,,,'')":2822.18,"NOW^FE_ESTIMATE(SALES,MEAN,ANN_ROLL,2018,NOW,,,'')":2608.81,"CRM^FE_ESTIMATE(SALES,MEAN,ANN_ROLL,2018,NOW,,,'')":13282.0,"CARB^IF(P_DATE(0,,,\"DATEN\")>FE_ESTIMATE_DATE(RPT_DATE,,ANN_ROLL,2018,'YYYYMMDD',0,,,''),AVAIL(AVAIL(FF_ADJ_SALES(ANN,2018),FF_ARPT_SERIES('RV','ANN',2018,,'M','IS')),FF_SALES(ANN,2018)),FE_ESTIMATE(SALES,MEAN,ANN_ROLL,2018,NOW,,,''))":301.899,"CLDR^IF(P_DATE(0,,,\"DATEN\")>FE_ESTIMATE_DATE(RPT_DATE,,ANN_ROLL,2018,'YYYYMMDD',0,,,''),AVAIL(AVAIL(FF_ADJ_SALES(ANN,2018),FF_ARPT_SERIES('RV','ANN',2018,,'M','IS')),FF_SALES(ANN,2018)),FE_ESTIMATE(SALES,MEAN,ANN_ROLL,2018,NOW,,,''))":479.94101,"CSOD^IF(P_DATE(0,,,\"DATEN\")>FE_ESTIMATE_DATE(RPT_DATE,,ANN_ROLL,2018,'YYYYMMDD',0,,,''),AVAIL(AVAIL(FF_ADJ_SALES(ANN,2018),FF_ARPT_SERIES('RV','ANN',2018,,'M','IS')),FF_SALES(ANN,2018)),FE_ESTIMATE(SALES,MEAN,ANN_ROLL,2018,NOW,,,''))":537.890991,"PFPT^IF(P_DATE(0,,,\"DATEN\")>FE_ESTIMATE_DATE(RPT_DATE,,ANN_ROLL,2018,'YYYYMMDD',0,,,''),AVAIL(AVAIL(FF_ADJ_SALES(ANN,2018),FF_ARPT_SERIES('RV','ANN',2018,,'M','IS')),FF_SALES(ANN,2018)),FE_ESTIMATE(SALES,MEAN,ANN_ROLL,2018,NOW,,,''))":716.994019,"WDAY^IF(P_DATE(0,,,\"DATEN\")>FE_ESTIMATE_DATE(RPT_DATE,,ANN_ROLL,2018,'YYYYMMDD',0,,,''),AVAIL(AVAIL(FF_ADJ_SALES(ANN,2018),FF_ARPT_SERIES('RV','ANN',2018,,'M','IS')),FF_SALES(ANN,2018)),FE_ESTIMATE(SALES,MEAN,ANN_ROLL,2018,NOW,,,''))":2822.179932,"NOW^IF(P_DATE(0,,,\"DATEN\")>FE_ESTIMATE_DATE(RPT_DATE,,ANN_ROLL,2018,'YYYYMMDD',0,,,''),AVAIL(AVAIL(FF_ADJ_SALES(ANN,2018),FF_ARPT_SERIES('RV','ANN',2018,,'M','IS')),FF_SALES(ANN,2018)),FE_ESTIMATE(SALES,MEAN,ANN_ROLL,2018,NOW,,,''))":3088.835,"CRM^IF(P_DATE(0,,,\"DATEN\")>FE_ESTIMATE_DATE(RPT_DATE,,ANN_ROLL,2018,'YYYYMMDD',0,,,''),AVAIL(AVAIL(FF_ADJ_SALES(ANN,2018),FF_ARPT_SERIES('RV','ANN',2018,,'M','IS')),FF_SALES(ANN,2018)),FE_ESTIMATE(SALES,MEAN,ANN_ROLL,2018,NOW,,,''))":13282.0,"DELL^IF(FE_ACTUAL(FLAG,SALES,ANN_ROLL,2018,,,,'')!=3,FE_ACTUAL(ACTUAL,SALES,ANN_ROLL,2018,,,,''),FLOAT_NA)":91324.0,"CARB^IF(FE_ACTUAL(FLAG,SALES,ANN_ROLL,2018,,,,'')!=3,FE_ACTUAL(ACTUAL,SALES,ANN_ROLL,2018,,,,''),FLOAT_NA)":301.899,"CLDR^IF(FE_ACTUAL(FLAG,SALES,ANN_ROLL,2018,,,,'')!=3,FE_ACTUAL(ACTUAL,SALES,ANN_ROLL,2018,,,,''),FLOAT_NA)":479.941,"CSOD^IF(FE_ACTUAL(FLAG,SALES,ANN_ROLL,2018,,,,'')!=3,FE_ACTUAL(ACTUAL,SALES,ANN_ROLL,2018,,,,''),FLOAT_NA)":537.891,"PFPT^IF(FE_ACTUAL(FLAG,SALES,ANN_ROLL,2018,,,,'')!=3,FE_ACTUAL(ACTUAL,SALES,ANN_ROLL,2018,,,,''),FLOAT_NA)":716.994,"WDAY^IF(FE_ACTUAL(FLAG,SALES,ANN_ROLL,2018,,,,'')!=3,FE_ACTUAL(ACTUAL,SALES,ANN_ROLL,2018,,,,''),FLOAT_NA)":2822.18,"NOW^IF(FE_ACTUAL(FLAG,SALES,ANN_ROLL,2018,,,,'')!=3,FE_ACTUAL(ACTUAL,SALES,ANN_ROLL,2018,,,,''),FLOAT_NA)":2608.81,"CRM^IF(FE_ACTUAL(FLAG,SALES,ANN_ROLL,2018,,,,'')!=3,FE_ACTUAL(ACTUAL,SALES,ANN_ROLL,2018,,,,''),FLOAT_NA)":13282.0,"DELL^FF_SALES(ANN,2018)":90396.0,"CARB^FF_SALES(ANN,2018)":296.408,"CLDR^FF_SALES(ANN,2018)":479.94099999999992,"CSOD^FF_SALES(ANN,2018)":537.891,"PFPT^FF_SALES(ANN,2018)":716.994,"WDAY^FF_SALES(ANN,2018)":2829.192,"NOW^FF_SALES(ANN,2018)":2608.816,"CRM^FF_SALES(ANN,2018)":13282.0,"DELL^FF_ARPT_SERIES('RV','ANN',2018,,'M','IS')":90621.0,"CARB^FF_ARPT_SERIES('RV','ANN',2018,,'M','IS')":296.40799,"CLDR^FF_ARPT_SERIES('RV','ANN',2018,,'M','IS')":479.94101,"CSOD^FF_ARPT_SERIES('RV','ANN',2018,,'M','IS')":537.890991,"PFPT^FF_ARPT_SERIES('RV','ANN',2018,,'M','IS')":716.994019,"WDAY^FF_ARPT_SERIES('RV','ANN',2018,,'M','IS')":2822.179932,"NOW^FF_ARPT_SERIES('RV','ANN',2018,,'M','IS')":2608.815918,"CRM^FF_ARPT_SERIES('RV','ANN',2018,,'M','IS')":13282.0,"DELL^FF_ARPT_SERIES('NG-RV','ANN',2018,,'M','NG-IS')":91324.0,"CARB^FF_ARPT_SERIES('NG-RV','ANN',2018,,'M','NG-IS')":301.898987,"CLDR^FF_ARPT_SERIES('NG-RV','ANN',2018,,'M','NG-IS')":null,"CSOD^FF_ARPT_SERIES('NG-RV','ANN',2018,,'M','NG-IS')":null,"PFPT^FF_ARPT_SERIES('NG-RV','ANN',2018,,'M','NG-IS')":null,"WDAY^FF_ARPT_SERIES('NG-RV','ANN',2018,,'M','NG-IS')":null,"NOW^FF_ARPT_SERIES('NG-RV','ANN',2018,,'M','NG-IS')":3088.834961,"CRM^FF_ARPT_SERIES('NG-RV','ANN',2018,,'M','NG-IS')":null,"DELL^FF_ADJ_SALES(ANN,2018)":91324.0,"CARB^FF_ADJ_SALES(ANN,2018)":301.899,"CLDR^FF_ADJ_SALES(ANN,2018)":null,"CSOD^FF_ADJ_SALES(ANN,2018)":null,"PFPT^FF_ADJ_SALES(ANN,2018)":null,"WDAY^FF_ADJ_SALES(ANN,2018)":null,"NOW^FF_ADJ_SALES(ANN,2018)":3088.835,"CRM^FF_ADJ_SALES(ANN,2018)":null,"DELL^FE_ESTIMATE(EBIT_ADJ,MEAN,ANN_ROLL,2018,NOW,,,'')":8854.0,"CARB^FE_ESTIMATE(EBIT_ADJ,MEAN,ANN_ROLL,2018,NOW,,,'')":63.0948,"CLDR^FE_ESTIMATE(EBIT_ADJ,MEAN,ANN_ROLL,2018,NOW,,,'')":-67.76857,"CSOD^FE_ESTIMATE(EBIT_ADJ,MEAN,ANN_ROLL,2018,NOW,,,'')":63.397,"PFPT^FE_ESTIMATE(EBIT_ADJ,MEAN,ANN_ROLL,2018,NOW,,,'')":84.491875,"WDAY^FE_ESTIMATE(EBIT_ADJ,MEAN,ANN_ROLL,2018,NOW,,,'')":291.257,"NOW^FE_ESTIMATE(EBIT_ADJ,MEAN,ANN_ROLL,2018,NOW,,,'')":527.7931,"CRM^FE_ESTIMATE(EBIT_ADJ,MEAN,ANN_ROLL,2018,NOW,,,'')":2216.9722,"CARB^IF(P_DATE(0,,,\"DATEN\")>FE_ESTIMATE_DATE(RPT_DATE,,ANN_ROLL,2018,'YYYYMMDD',0,,,''),AVAIL(AVAIL(FF_ADJ_EBIT(ANN,2018),FF_ARPT_SERIES('OPERATING INCOME / LOSS','ANN',2018,,'M','IS')),FF_EBIT_OPER(ANN,2018)),FE_ESTIMATE(EBIT_ADJ,MEAN,ANN_ROLL,2018,NOW,,,''))":11.237,"CLDR^IF(P_DATE(0,,,\"DATEN\")>FE_ESTIMATE_DATE(RPT_DATE,,ANN_ROLL,2018,'YYYYMMDD',0,,,''),AVAIL(AVAIL(FF_ADJ_EBIT(ANN,2018),FF_ARPT_SERIES('OPERATING INCOME / LOSS','ANN',2018,,'M','IS')),FF_EBIT_OPER(ANN,2018)),FE_ESTIMATE(EBIT_ADJ,MEAN,ANN_ROLL,2018,NOW,,,''))":-67.27,"CSOD^IF(P_DATE(0,,,\"DATEN\")>FE_ESTIMATE_DATE(RPT_DATE,,ANN_ROLL,2018,'YYYYMMDD',0,,,''),AVAIL(AVAIL(FF_ADJ_EBIT(ANN,2018),FF_ARPT_SERIES('OPERATING INCOME / LOSS','ANN',2018,,'M','IS')),FF_EBIT_OPER(ANN,2018)),FE_ESTIMATE(EBIT_ADJ,MEAN,ANN_ROLL,2018,NOW,,,''))":63.397,"PFPT^IF(P_DATE(0,,,\"DATEN\")>FE_ESTIMATE_DATE(RPT_DATE,,ANN_ROLL,2018,'YYYYMMDD',0,,,''),AVAIL(AVAIL(FF_ADJ_EBIT(ANN,2018),FF_ARPT_SERIES('OPERATING INCOME / LOSS','ANN',2018,,'M','IS')),FF_EBIT_OPER(ANN,2018)),FE_ESTIMATE(EBIT_ADJ,MEAN,ANN_ROLL,2018,NOW,,,''))":83.587,"WDAY^IF(P_DATE(0,,,\"DATEN\")>FE_ESTIMATE_DATE(RPT_DATE,,ANN_ROLL,2018,'YYYYMMDD',0,,,''),AVAIL(AVAIL(FF_ADJ_EBIT(ANN,2018),FF_ARPT_SERIES('OPERATING INCOME / LOSS','ANN',2018,,'M','IS')),FF_EBIT_OPER(ANN,2018)),FE_ESTIMATE(EBIT_ADJ,MEAN,ANN_ROLL,2018,NOW,,,''))":291.257,"NOW^IF(P_DATE(0,,,\"DATEN\")>FE_ESTIMATE_DATE(RPT_DATE,,ANN_ROLL,2018,'YYYYMMDD',0,,,''),AVAIL(AVAIL(FF_ADJ_EBIT(ANN,2018),FF_ARPT_SERIES('OPERATING INCOME / LOSS','ANN',2018,,'M','IS')),FF_EBIT_OPER(ANN,2018)),FE_ESTIMATE(EBIT_ADJ,MEAN,ANN_ROLL,2018,NOW,,,''))":527.763,"CRM^IF(P_DATE(0,,,\"DATEN\")>FE_ESTIMATE_DATE(RPT_DATE,,ANN_ROLL,2018,'YYYYMMDD',0,,,''),AVAIL(AVAIL(FF_ADJ_EBIT(ANN,2018),FF_ARPT_SERIES('OPERATING INCOME / LOSS','ANN',2018,,'M','IS')),FF_EBIT_OPER(ANN,2018)),FE_ESTIMATE(EBIT_ADJ,MEAN,ANN_ROLL,2018,NOW,,,''))":2265.0,"DELL^IF(FE_ACTUAL(FLAG,EBIT_ADJ,ANN_ROLL,2018,,,,'')!=3,FE_ACTUAL(ACTUAL,EBIT_ADJ,ANN_ROLL,2018,,,,''),FLOAT_NA)":8854.0,"CARB^IF(FE_ACTUAL(FLAG,EBIT_ADJ,ANN_ROLL,2018,,,,'')!=3,FE_ACTUAL(ACTUAL,EBIT_ADJ,ANN_ROLL,2018,,,,''),FLOAT_NA)":null,"CLDR^IF(FE_ACTUAL(FLAG,EBIT_ADJ,ANN_ROLL,2018,,,,'')!=3,FE_ACTUAL(ACTUAL,EBIT_ADJ,ANN_ROLL,2018,,,,''),FLOAT_NA)":null,"CSOD^IF(FE_ACTUAL(FLAG,EBIT_ADJ,ANN_ROLL,2018,,,,'')!=3,FE_ACTUAL(ACTUAL,EBIT_ADJ,ANN_ROLL,2018,,,,''),FLOAT_NA)":63.397,"PFPT^IF(FE_ACTUAL(FLAG,EBIT_ADJ,ANN_ROLL,2018,,,,'')!=3,FE_ACTUAL(ACTUAL,EBIT_ADJ,ANN_ROLL,2018,,,,''),FLOAT_NA)":null,"WDAY^IF(FE_ACTUAL(FLAG,EBIT_ADJ,ANN_ROLL,2018,,,,'')!=3,FE_ACTUAL(ACTUAL,EBIT_ADJ,ANN_ROLL,2018,,,,''),FLOAT_NA)":291.257,"NOW^IF(FE_ACTUAL(FLAG,EBIT_ADJ,ANN_ROLL,2018,,,,'')!=3,FE_ACTUAL(ACTUAL,EBIT_ADJ,ANN_ROLL,2018,,,,''),FLOAT_NA)":null,"CRM^IF(FE_ACTUAL(FLAG,EBIT_ADJ,ANN_ROLL,2018,,,,'')!=3,FE_ACTUAL(ACTUAL,EBIT_ADJ,ANN_ROLL,2018,,,,''),FLOAT_NA)":null,"DELL^FF_EBIT_OPER(ANN,2018)":549.0,"CARB^FF_EBIT_OPER(ANN,2018)":11.237,"CLDR^FF_EBIT_OPER(ANN,2018)":-193.764,"CSOD^FF_EBIT_OPER(ANN,2018)":2.277,"PFPT^FF_EBIT_OPER(ANN,2018)":-101.071,"WDAY^FF_EBIT_OPER(ANN,2018)":-431.272,"NOW^FF_EBIT_OPER(ANN,2018)":-41.426,"CRM^FF_EBIT_OPER(ANN,2018)":562.0,"DELL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OPERATIONS','ANN',2018,,'M','IS'))":-191.0,"CARB^AVAIL(AVAIL(AVAIL(AVAIL(FF_ARPT_SERIES('OPERATING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OPERATIONS','ANN',2018,,'M','IS'))":3.667,"CLDR^AVAIL(AVAIL(AVAIL(AVAIL(FF_ARPT_SERIES('OPERATING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OPERATIONS','ANN',2018,,'M','IS'))":null,"CSOD^AVAIL(AVAIL(AVAIL(AVAIL(FF_ARPT_SERIES('OPERATING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OPERATIONS','ANN',2018,,'M','IS'))":-7.769,"PFPT^AVAIL(AVAIL(AVAIL(AVAIL(FF_ARPT_SERIES('OPERATING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OPERATIONS','ANN',2018,,'M','IS'))":-101.710999,"WDAY^AVAIL(AVAIL(AVAIL(AVAIL(FF_ARPT_SERIES('OPERATING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OPERATIONS','ANN',2018,,'M','IS'))":-463.283997,"NOW^AVAIL(AVAIL(AVAIL(AVAIL(FF_ARPT_SERIES('OPERATING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OPERATIONS','ANN',2018,,'M','IS'))":-42.425999,"CRM^AVAIL(AVAIL(AVAIL(AVAIL(FF_ARPT_SERIES('OPERATING INCOME / LOSS','ANN',2018,,'M','IS'),FF_ARPT_SERIES('INCOME / LOSS FROM OPERATIONS','ANN',2018,,'M','IS')),FF_ARPT_SERIES('LOSS / INCOME FROM OPERATIONS','ANN',2018,,'M','IS')),FF_ARPT_SERIES('OPERATING LOSS','ANN',2018,,'M','IS')),FF_ARPT_SERIES('LOSS FROM OPERATIONS','ANN',2018,,'M','IS'))":535.0,"DELL^AVAIL(FF_ARPT_SERIES('NON-GAAP OPERATING INCOME','ANN',2018,,'M','NG-IS'),FF_ARPT_SERIES('NON-GAAP INCOME FROM OPERATIONS','ANN',2018,,'M','NG-IS'))":8854.0,"CARB^AVAIL(FF_ARPT_SERIES('NON-GAAP OPERATING INCOME','ANN',2018,,'M','NG-IS'),FF_ARPT_SERIES('NON-GAAP INCOME FROM OPERATIONS','ANN',2018,,'M','NG-IS'))":null,"CLDR^AVAIL(FF_ARPT_SERIES('NON-GAAP OPERATING INCOME','ANN',2018,,'M','NG-IS'),FF_ARPT_SERIES('NON-GAAP INCOME FROM OPERATIONS','ANN',2018,,'M','NG-IS'))":null,"CSOD^AVAIL(FF_ARPT_SERIES('NON-GAAP OPERATING INCOME','ANN',2018,,'M','NG-IS'),FF_ARPT_SERIES('NON-GAAP INCOME FROM OPERATIONS','ANN',2018,,'M','NG-IS'))":null,"PFPT^AVAIL(FF_ARPT_SERIES('NON-GAAP OPERATING INCOME','ANN',2018,,'M','NG-IS'),FF_ARPT_SERIES('NON-GAAP INCOME FROM OPERATIONS','ANN',2018,,'M','NG-IS'))":null,"WDAY^AVAIL(FF_ARPT_SERIES('NON-GAAP OPERATING INCOME','ANN',2018,,'M','NG-IS'),FF_ARPT_SERIES('NON-GAAP INCOME FROM OPERATIONS','ANN',2018,,'M','NG-IS'))":null,"NOW^AVAIL(FF_ARPT_SERIES('NON-GAAP OPERATING INCOME','ANN',2018,,'M','NG-IS'),FF_ARPT_SERIES('NON-GAAP INCOME FROM OPERATIONS','ANN',2018,,'M','NG-IS'))":527.763,"CRM^AVAIL(FF_ARPT_SERIES('NON-GAAP OPERATING INCOME','ANN',2018,,'M','NG-IS'),FF_ARPT_SERIES('NON-GAAP INCOME FROM OPERATIONS','ANN',2018,,'M','NG-IS'))":2265.0,"DELL^FF_ADJ_EBIT(ANN,2018)":8854.0,"CARB^FF_ADJ_EBIT(ANN,2018)":null,"CLDR^FF_ADJ_EBIT(ANN,2018)":-67.27,"CSOD^FF_ADJ_EBIT(ANN,2018)":63.397,"PFPT^FF_ADJ_EBIT(ANN,2018)":83.587,"WDAY^FF_ADJ_EBIT(ANN,2018)":291.257,"NOW^FF_ADJ_EBIT(ANN,2018)":527.763,"CRM^FF_ADJ_EBIT(ANN,2018)":2265.0,"DELL^FE_ESTIMATE(EBITDA_ADJ,MEAN,ANN_ROLL,2018,NOW,,,'')":10296.0,"CARB^FE_ESTIMATE(EBITDA_ADJ,MEAN,ANN_ROLL,2018,NOW,,,'')":77.034,"CLDR^FE_ESTIMATE(EBITDA_ADJ,MEAN,ANN_ROLL,2018,NOW,,,'')":-41.146,"CSOD^FE_ESTIMATE(EBITDA_ADJ,MEAN,ANN_ROLL,2018,NOW,,,'')":96.804,"PFPT^FE_ESTIMATE(EBITDA_ADJ,MEAN,ANN_ROLL,2018,NOW,,,'')":119.707,"WDAY^FE_ESTIMATE(EBITDA_ADJ,MEAN,ANN_ROLL,2018,NOW,,,'')":489.38968,"NOW^FE_ESTIMATE(EBITDA_ADJ,MEAN,ANN_ROLL,2018,NOW,,,'')":664.6912,"CRM^FE_ESTIMATE(EBITDA_ADJ,MEAN,ANN_ROLL,2018,NOW,,,'')":3009.5,"CARB^IF(P_DATE(0,,,\"DATEN\")>FE_ESTIMATE_DATE(RPT_DATE,,ANN_ROLL,2018,'YYYYMMDD',0,,,''),AVAIL(AVAIL(FF_ADJ_EBITDA(ANN,2018),FF_ARPT_SERIES('ADJUSTED EBITDA','ANN',2018,,'M','NG-IS')),FF_EBITDA_OPER(ANN,2018)),FE_ESTIMATE(EBITDA_ADJ,MEAN,ANN_ROLL,2018,NOW,,,''))":77.034,"CLDR^IF(P_DATE(0,,,\"DATEN\")>FE_ESTIMATE_DATE(RPT_DATE,,ANN_ROLL,2018,'YYYYMMDD',0,,,''),AVAIL(AVAIL(FF_ADJ_EBITDA(ANN,2018),FF_ARPT_SERIES('ADJUSTED EBITDA','ANN',2018,,'M','NG-IS')),FF_EBITDA_OPER(ANN,2018)),FE_ESTIMATE(EBITDA_ADJ,MEAN,ANN_ROLL,2018,NOW,,,''))":-176.336,"CSOD^IF(P_DATE(0,,,\"DATEN\")>FE_ESTIMATE_DATE(RPT_DATE,,ANN_ROLL,2018,'YYYYMMDD',0,,,''),AVAIL(AVAIL(FF_ADJ_EBITDA(ANN,2018),FF_ARPT_SERIES('ADJUSTED EBITDA','ANN',2018,,'M','NG-IS')),FF_EBITDA_OPER(ANN,2018)),FE_ESTIMATE(EBITDA_ADJ,MEAN,ANN_ROLL,2018,NOW,,,''))":37.537,"PFPT^IF(P_DATE(0,,,\"DATEN\")>FE_ESTIMATE_DATE(RPT_DATE,,ANN_ROLL,2018,'YYYYMMDD',0,,,''),AVAIL(AVAIL(FF_ADJ_EBITDA(ANN,2018),FF_ARPT_SERIES('ADJUSTED EBITDA','ANN',2018,,'M','NG-IS')),FF_EBITDA_OPER(ANN,2018)),FE_ESTIMATE(EBITDA_ADJ,MEAN,ANN_ROLL,2018,NOW,,,''))":-27.518,"WDAY^IF(P_DATE(0,,,\"DATEN\")>FE_ESTIMATE_DATE(RPT_DATE,,ANN_ROLL,2018,'YYYYMMDD',0,,,''),AVAIL(AVAIL(FF_ADJ_EBITDA(ANN,2018),FF_ARPT_SERIES('ADJUSTED EBITDA','ANN',2018,,'M','NG-IS')),FF_EBITDA_OPER(ANN,2018)),FE_ESTIMATE(EBITDA_ADJ,MEAN,ANN_ROLL,2018,NOW,,,''))":-233.161,"NOW^IF(P_DATE(0,,,\"DATEN\")>FE_ESTIMATE_DATE(RPT_DATE,,ANN_ROLL,2018,'YYYYMMDD',0,,,''),AVAIL(AVAIL(FF_ADJ_EBITDA(ANN,2018),FF_ARPT_SERIES('ADJUSTED EBITDA','ANN',2018,,'M','NG-IS')),FF_EBITDA_OPER(ANN,2018)),FE_ESTIMATE(EBITDA_ADJ,MEAN,ANN_ROLL,2018,NOW,,,''))":106.774,"CRM^IF(P_DATE(0,,,\"DATEN\")>FE_ESTIMATE_DATE(RPT_DATE,,ANN_ROLL,2018,'YYYYMMDD',0,,,''),AVAIL(AVAIL(FF_ADJ_EBITDA(ANN,2018),FF_ARPT_SERIES('ADJUSTED EBITDA','ANN',2018,,'M','NG-IS')),FF_EBITDA_OPER(ANN,2018)),FE_ESTIMATE(EBITDA_ADJ,MEAN,ANN_ROLL,2018,NOW,,,''))":2157.0,"DELL^IF(FE_ACTUAL(FLAG,EBITDA_ADJ,ANN_ROLL,2018,,,,'')!=3,FE_ACTUAL(ACTUAL,EBITDA_ADJ,ANN_ROLL,2018,,,,''),FLOAT_NA)":null,"CARB^IF(FE_ACTUAL(FLAG,EBITDA_ADJ,ANN_ROLL,2018,,,,'')!=3,FE_ACTUAL(ACTUAL,EBITDA_ADJ,ANN_ROLL,2018,,,,''),FLOAT_NA)":77.034,"CLDR^IF(FE_ACTUAL(FLAG,EBITDA_ADJ,ANN_ROLL,2018,,,,'')!=3,FE_ACTUAL(ACTUAL,EBITDA_ADJ,ANN_ROLL,2018,,,,''),FLOAT_NA)":null,"CSOD^IF(FE_ACTUAL(FLAG,EBITDA_ADJ,ANN_ROLL,2018,,,,'')!=3,FE_ACTUAL(ACTUAL,EBITDA_ADJ,ANN_ROLL,2018,,,,''),FLOAT_NA)":null,"PFPT^IF(FE_ACTUAL(FLAG,EBITDA_ADJ,ANN_ROLL,2018,,,,'')!=3,FE_ACTUAL(ACTUAL,EBITDA_ADJ,ANN_ROLL,2018,,,,''),FLOAT_NA)":null,"WDAY^IF(FE_ACTUAL(FLAG,EBITDA_ADJ,ANN_ROLL,2018,,,,'')!=3,FE_ACTUAL(ACTUAL,EBITDA_ADJ,ANN_ROLL,2018,,,,''),FLOAT_NA)":null,"NOW^IF(FE_ACTUAL(FLAG,EBITDA_ADJ,ANN_ROLL,2018,,,,'')!=3,FE_ACTUAL(ACTUAL,EBITDA_ADJ,ANN_ROLL,2018,,,,''),FLOAT_NA)":null,"CRM^IF(FE_ACTUAL(FLAG,EBITDA_ADJ,ANN_ROLL,2018,,,,'')!=3,FE_ACTUAL(ACTUAL,EBITDA_ADJ,ANN_ROLL,2018,,,,''),FLOAT_NA)":null,"DELL^FF_EBITDA_OPER(ANN,2018)":8295.0,"CARB^FF_EBITDA_OPER(ANN,2018)":53.023,"CLDR^FF_EBITDA_OPER(ANN,2018)":-176.336,"CSOD^FF_EBITDA_OPER(ANN,2018)":37.537,"PFPT^FF_EBITDA_OPER(ANN,2018)":-27.518,"WDAY^FF_EBITDA_OPER(ANN,2018)":-233.161,"NOW^FF_EBITDA_OPER(ANN,2018)":106.774,"CRM^FF_EBITDA_OPER(ANN,2018)":2157.0,"DELL^FF_ARPT_SERIES('ADJUSTED EBITDA','ANN',2018,,'M','NG-IS')":10296.0,"CARB^FF_ARPT_SERIES('ADJUSTED EBITDA','ANN',2018,,'M','NG-IS')":77.033997,"CLDR^FF_ARPT_SERIES('ADJUSTED EBITDA','ANN',2018,,'M','NG-IS')":null,"CSOD^FF_ARPT_SERIES('ADJUSTED EBITDA','ANN',2018,,'M','NG-IS')":null,"PFPT^FF_ARPT_SERIES('ADJUSTED EBITDA','ANN',2018,,'M','NG-IS')":null,"WDAY^FF_ARPT_SERIES('ADJUSTED EBITDA','ANN',2018,,'M','NG-IS')":null,"NOW^FF_ARPT_SERIES('ADJUSTED EBITDA','ANN',2018,,'M','NG-IS')":null,"CRM^FF_ARPT_SERIES('ADJUSTED EBITDA','ANN',2018,,'M','NG-IS')":null,"DELL^FF_ADJ_EBITDA(ANN,2018)":10296.0,"CARB^FF_ADJ_EBITDA(ANN,2018)":77.034,"CLDR^FF_ADJ_EBITDA(ANN,2018)":null,"CSOD^FF_ADJ_EBITDA(ANN,2018)":null,"PFPT^FF_ADJ_EBITDA(ANN,2018)":null,"WDAY^FF_ADJ_EBITDA(ANN,2018)":null,"NOW^FF_ADJ_EBITDA(ANN,2018)":null,"CRM^FF_ADJ_EBITDA(ANN,2018)":null,"DELL^FE_ESTIMATE(SALES,MEAN,ANN_ROLL,2019,NOW,,,'')":94813.54,"CARB^FE_ESTIMATE(SALES,MEAN,ANN_ROLL,2019,NOW,,,'')":479.25,"CLDR^FE_ESTIMATE(SALES,MEAN,ANN_ROLL,2019,NOW,,,'')":844.737,"CSOD^FE_ESTIMATE(SALES,MEAN,ANN_ROLL,2019,NOW,,,'')":563.6907,"PFPT^FE_ESTIMATE(SALES,MEAN,ANN_ROLL,2019,NOW,,,'')":873.2274,"WDAY^FE_ESTIMATE(SALES,MEAN,ANN_ROLL,2019,NOW,,,'')":3551.369,"NOW^FE_ESTIMATE(SALES,MEAN,ANN_ROLL,2019,NOW,,,'')":3428.1274,"CRM^FE_ESTIMATE(SALES,MEAN,ANN_ROLL,2019,NOW,,,'')":16039.593,"CARB^IF(P_DATE(0,,,\"DATEN\")>FE_ESTIMATE_DATE(RPT_DATE,,ANN_ROLL,2019,'YYYYMMDD',0,,,''),AVAIL(AVAIL(FF_ADJ_SALES(ANN,2019),FF_ARPT_SERIES('RV','ANN',2019,,'M','IS')),FF_SALES(ANN,2019)),FE_ESTIMATE(SALES,MEAN,ANN_ROLL,2019,NOW,,,''))":479.25,"CLDR^IF(P_DATE(0,,,\"DATEN\")>FE_ESTIMATE_DATE(RPT_DATE,,ANN_ROLL,2019,'YYYYMMDD',0,,,''),AVAIL(AVAIL(FF_ADJ_SALES(ANN,2019),FF_ARPT_SERIES('RV','ANN',2019,,'M','IS')),FF_SALES(ANN,2019)),FE_ESTIMATE(SALES,MEAN,ANN_ROLL,2019,NOW,,,''))":844.737,"CSOD^IF(P_DATE(0,,,\"DATEN\")>FE_ESTIMATE_DATE(RPT_DATE,,ANN_ROLL,2019,'YYYYMMDD',0,,,''),AVAIL(AVAIL(FF_ADJ_SALES(ANN,2019),FF_ARPT_SERIES('RV','ANN',2019,,'M','IS')),FF_SALES(ANN,2019)),FE_ESTIMATE(SALES,MEAN,ANN_ROLL,2019,NOW,,,''))":563.6907,"PFPT^IF(P_DATE(0,,,\"DATEN\")>FE_ESTIMATE_DATE(RPT_DATE,,ANN_ROLL,2019,'YYYYMMDD',0,,,''),AVAIL(AVAIL(FF_ADJ_SALES(ANN,2019),FF_ARPT_SERIES('RV','ANN',2019,,'M','IS')),FF_SALES(ANN,2019)),FE_ESTIMATE(SALES,MEAN,ANN_ROLL,2019,NOW,,,''))":873.2274,"WDAY^IF(P_DATE(0,,,\"DATEN\")>FE_ESTIMATE_DATE(RPT_DATE,,ANN_ROLL,2019,'YYYYMMDD',0,,,''),AVAIL(AVAIL(FF_ADJ_SALES(ANN,2019),FF_ARPT_SERIES('RV','ANN',2019,,'M','IS')),FF_SALES(ANN,2019)),FE_ESTIMATE(SALES,MEAN,ANN_ROLL,2019,NOW,,,''))":3551.369,"NOW^IF(P_DATE(0,,,\"DATEN\")>FE_ESTIMATE_DATE(RPT_DATE,,ANN_ROLL,2019,'YYYYMMDD',0,,,''),AVAIL(AVAIL(FF_ADJ_SALES(ANN,2019),FF_ARPT_SERIES('RV','ANN',2019,,'M','IS')),FF_SALES(ANN,2019)),FE_ESTIMATE(SALES,MEAN,ANN_ROLL,2019,NOW,,,''))":3428.1274,"CRM^IF(P_DATE(0,,,\"DATEN\")>FE_ESTIMATE_DATE(RPT_DATE,,ANN_ROLL,2019,'YYYYMMDD',0,,,''),AVAIL(AVAIL(FF_ADJ_SALES(ANN,2019),FF_ARPT_SERIES('RV','ANN',2019,,'M','IS')),FF_SALES(ANN,2019)),FE_ESTIMATE(SALES,MEAN,ANN_ROLL,2019,NOW,,,''))":16039.593,"DELL^IF(FE_ACTUAL(FLAG,SALES,ANN_ROLL,2019,,,,'')!=3,FE_ACTUAL(ACTUAL,SALES,ANN_ROLL,2019,,,,''),FLOAT_NA)":null,"CARB^IF(FE_ACTUAL(FLAG,SALES,ANN_ROLL,2019,,,,'')!=3,FE_ACTUAL(ACTUAL,SALES,ANN_ROLL,2019,,,,''),FLOAT_NA)":null,"CLDR^IF(FE_ACTUAL(FLAG,SALES,ANN_ROLL,2019,,,,'')!=3,FE_ACTUAL(ACTUAL,SALES,ANN_ROLL,2019,,,,''),FLOAT_NA)":null,"CSOD^IF(FE_ACTUAL(FLAG,SALES,ANN_ROLL,2019,,,,'')!=3,FE_ACTUAL(ACTUAL,SALES,ANN_ROLL,2019,,,,''),FLOAT_NA)":null,"PFPT^IF(FE_ACTUAL(FLAG,SALES,ANN_ROLL,2019,,,,'')!=3,FE_ACTUAL(ACTUAL,SALES,ANN_ROLL,2019,,,,''),FLOAT_NA)":null,"WDAY^IF(FE_ACTUAL(FLAG,SALES,ANN_ROLL,2019,,,,'')!=3,FE_ACTUAL(ACTUAL,SALES,ANN_ROLL,2019,,,,''),FLOAT_NA)":null,"NOW^IF(FE_ACTUAL(FLAG,SALES,ANN_ROLL,2019,,,,'')!=3,FE_ACTUAL(ACTUAL,SALES,ANN_ROLL,2019,,,,''),FLOAT_NA)":null,"CRM^IF(FE_ACTUAL(FLAG,SALES,ANN_ROLL,2019,,,,'')!=3,FE_ACTUAL(ACTUAL,SALES,ANN_ROLL,2019,,,,''),FLOAT_NA)":null,"DELL^FF_SALES(ANN,2019)":90396.0,"CARB^FF_SALES(ANN,2019)":296.408,"CLDR^FF_SALES(ANN,2019)":479.94099999999992,"CSOD^FF_SALES(ANN,2019)":537.891,"PFPT^FF_SALES(ANN,2019)":716.994,"WDAY^FF_SALES(ANN,2019)":2829.192,"NOW^FF_SALES(ANN,2019)":2608.816,"CRM^FF_SALES(ANN,2019)":13282.0,"DELL^FF_ARPT_SERIES('RV','ANN',2019,,'M','IS')":90621.0,"CARB^FF_ARPT_SERIES('RV','ANN',2019,,'M','IS')":296.40799,"CLDR^FF_ARPT_SERIES('RV','ANN',2019,,'M','IS')":479.94101,"CSOD^FF_ARPT_SERIES('RV','ANN',2019,,'M','IS')":537.890991,"PFPT^FF_ARPT_SERIES('RV','ANN',2019,,'M','IS')":716.994019,"WDAY^FF_ARPT_SERIES('RV','ANN',2019,,'M','IS')":2822.179932,"NOW^FF_ARPT_SERIES('RV','ANN',2019,,'M','IS')":2608.815918,"CRM^FF_ARPT_SERIES('RV','ANN',2019,,'M','IS')":13282.0,"DELL^FF_ARPT_SERIES('NG-RV','ANN',2019,,'M','NG-IS')":91324.0,"CARB^FF_ARPT_SERIES('NG-RV','ANN',2019,,'M','NG-IS')":301.898987,"CLDR^FF_ARPT_SERIES('NG-RV','ANN',2019,,'M','NG-IS')":null,"CSOD^FF_ARPT_SERIES('NG-RV','ANN',2019,,'M','NG-IS')":null,"PFPT^FF_ARPT_SERIES('NG-RV','ANN',2019,,'M','NG-IS')":null,"WDAY^FF_ARPT_SERIES('NG-RV','ANN',2019,,'M','NG-IS')":null,"NOW^FF_ARPT_SERIES('NG-RV','ANN',2019,,'M','NG-IS')":3088.834961,"CRM^FF_ARPT_SERIES('NG-RV','ANN',2019,,'M','NG-IS')":null,"DELL^FF_ADJ_SALES(ANN,2019)":91324.0,"CARB^FF_ADJ_SALES(ANN,2019)":301.899,"CLDR^FF_ADJ_SALES(ANN,2019)":null,"CSOD^FF_ADJ_SALES(ANN,2019)":null,"PFPT^FF_ADJ_SALES(ANN,2019)":null,"WDAY^FF_ADJ_SALES(ANN,2019)":null,"NOW^FF_ADJ_SALES(ANN,2019)":3088.835,"CRM^FF_ADJ_SALES(ANN,2019)":null,"DELL^FE_ESTIMATE(FCF,MEAN,ANN_ROLL,2018,NOW,,,'')":4816.25,"CARB^FE_ESTIMATE(FCF,MEAN,ANN_ROLL,2018,NOW,,,'')":50.105,"CLDR^FE_ESTIMATE(FCF,MEAN,ANN_ROLL,2018,NOW,,,'')":24.9754,"CSOD^FE_ESTIMATE(FCF,MEAN,ANN_ROLL,2018,NOW,,,'')":54.9204,"PFPT^FE_ESTIMATE(FCF,MEAN,ANN_ROLL,2018,NOW,,,'')":155.222,"WDAY^FE_ESTIMATE(FCF,MEAN,ANN_ROLL,2018,NOW,,,'')":328.7878,"NOW^FE_ESTIMATE(FCF,MEAN,ANN_ROLL,2018,NOW,,,'')":731.976,"CRM^FE_ESTIMATE(FCF,MEAN,ANN_ROLL,2018,NOW,,,'')":2806.4546,"CARB^IF(P_DATE(0,,,\"DATEN\")>FE_ESTIMATE_DATE(RPT_DATE,,ANN_ROLL,2018,'YYYYMMDD',0,,,''),FF_FREE_CF(ANN_R_FCF,2018),FE_ESTIMATE(FCF,MEAN,ANN_ROLL,2018,NOW,,,''))":40.458,"CLDR^IF(P_DATE(0,,,\"DATEN\")>FE_ESTIMATE_DATE(RPT_DATE,,ANN_ROLL,2018,'YYYYMMDD',0,,,''),FF_FREE_CF(ANN_R_FCF,2018),FE_ESTIMATE(FCF,MEAN,ANN_ROLL,2018,NOW,,,''))":24.187,"CSOD^IF(P_DATE(0,,,\"DATEN\")>FE_ESTIMATE_DATE(RPT_DATE,,ANN_ROLL,2018,'YYYYMMDD',0,,,''),FF_FREE_CF(ANN_R_FCF,2018),FE_ESTIMATE(FCF,MEAN,ANN_ROLL,2018,NOW,,,''))":75.206,"PFPT^IF(P_DATE(0,,,\"DATEN\")>FE_ESTIMATE_DATE(RPT_DATE,,ANN_ROLL,2018,'YYYYMMDD',0,,,''),FF_FREE_CF(ANN_R_FCF,2018),FE_ESTIMATE(FCF,MEAN,ANN_ROLL,2018,NOW,,,''))":155.222,"WDAY^IF(P_DATE(0,,,\"DATEN\")>FE_ESTIMATE_DATE(RPT_DATE,,ANN_ROLL,2018,'YYYYMMDD',0,,,''),FF_FREE_CF(ANN_R_FCF,2018),FE_ESTIMATE(FCF,MEAN,ANN_ROLL,2018,NOW,,,''))":404.151,"NOW^IF(P_DATE(0,,,\"DATEN\")>FE_ESTIMATE_DATE(RPT_DATE,,ANN_ROLL,2018,'YYYYMMDD',0,,,''),FF_FREE_CF(ANN_R_FCF,2018),FE_ESTIMATE(FCF,MEAN,ANN_ROLL,2018,NOW,,,''))":586.627,"CRM^IF(P_DATE(0,,,\"DATEN\")>FE_ESTIMATE_DATE(RPT_DATE,,ANN_ROLL,2018,'YYYYMMDD',0,,,''),FF_FREE_CF(ANN_R_FCF,2018),FE_ESTIMATE(FCF,MEAN,ANN_ROLL,2018,NOW,,,''))":2803.0,"DELL^IF(FE_ACTUAL(FLAG,FCF,ANN_ROLL,2018,,,,'')!=3,FE_ACTUAL(ACTUAL,FCF,ANN_ROLL,2018,,,,''),FLOAT_NA)":null,"CARB^IF(FE_ACTUAL(FLAG,FCF,ANN_ROLL,2018,,,,'')!=3,FE_ACTUAL(ACTUAL,FCF,ANN_ROLL,2018,,,,''),FLOAT_NA)":50.105,"CLDR^IF(FE_ACTUAL(FLAG,FCF,ANN_ROLL,2018,,,,'')!=3,FE_ACTUAL(ACTUAL,FCF,ANN_ROLL,2018,,,,''),FLOAT_NA)":null,"CSOD^IF(FE_ACTUAL(FLAG,FCF,ANN_ROLL,2018,,,,'')!=3,FE_ACTUAL(ACTUAL,FCF,ANN_ROLL,2018,,,,''),FLOAT_NA)":null,"PFPT^IF(FE_ACTUAL(FLAG,FCF,ANN_ROLL,2018,,,,'')!=3,FE_ACTUAL(ACTUAL,FCF,ANN_ROLL,2018,,,,''),FLOAT_NA)":155.222,"WDAY^IF(FE_ACTUAL(FLAG,FCF,ANN_ROLL,2018,,,,'')!=3,FE_ACTUAL(ACTUAL,FCF,ANN_ROLL,2018,,,,''),FLOAT_NA)":null,"NOW^IF(FE_ACTUAL(FLAG,FCF,ANN_ROLL,2018,,,,'')!=3,FE_ACTUAL(ACTUAL,FCF,ANN_ROLL,2018,,,,''),FLOAT_NA)":731.976,"CRM^IF(FE_ACTUAL(FLAG,FCF,ANN_ROLL,2018,,,,'')!=3,FE_ACTUAL(ACTUAL,FCF,ANN_ROLL,2018,,,,''),FLOAT_NA)":null,"DELL^FF_FREE_CF(ANN_FCF,2018)":5833.0,"CARB^FF_FREE_CF(ANN_FCF,2018)":40.458,"CLDR^FF_FREE_CF(ANN_FCF,2018)":24.187,"CSOD^FF_FREE_CF(ANN_FCF,2018)":75.206,"PFPT^FF_FREE_CF(ANN_FCF,2018)":155.222,"WDAY^FF_FREE_CF(ANN_FCF,2018)":404.151,"NOW^FF_FREE_CF(ANN_FCF,2018)":586.627,"CRM^FF_FREE_CF(ANN_FCF,2018)":2803.0,"DELL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ACTIVITIES','ANN',2018,,'M','CF'))":6991.0,"CARB^AVAIL(AVAIL(AVAIL(FF_ARPT_SERIES('NET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ACTIVITIES','ANN',2018,,'M','CF'))":53.59,"CLDR^AVAIL(AVAIL(AVAIL(FF_ARPT_SERIES('NET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ACTIVITIES','ANN',2018,,'M','CF'))":34.272999,"CSOD^AVAIL(AVAIL(AVAIL(FF_ARPT_SERIES('NET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ACTIVITIES','ANN',2018,,'M','CF'))":90.252998,"PFPT^AVAIL(AVAIL(AVAIL(FF_ARPT_SERIES('NET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ACTIVITIES','ANN',2018,,'M','CF'))":184.744003,"WDAY^AVAIL(AVAIL(AVAIL(FF_ARPT_SERIES('NET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ACTIVITIES','ANN',2018,,'M','CF'))":606.65802,"NOW^AVAIL(AVAIL(AVAIL(FF_ARPT_SERIES('NET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ACTIVITIES','ANN',2018,,'M','CF'))":811.088989,"CRM^AVAIL(AVAIL(AVAIL(FF_ARPT_SERIES('NET CASH PROVIDED BY OPERATING ACTIVITIES','ANN',2018,,'M','CF'),FF_ARPT_SERIES('NET CASH PROVIDED BY / USED IN OPERATING ACTIVITIES','ANN',2018,,'M','CF')),FF_ARPT_SERIES('NET CASH USED IN / PROVIDED BY OPERATING ACTIVITIES','ANN',2018,,'M','CF')),FF_ARPT_SERIES('CHANGE IN CASH FROM OPERATING ACTIVITIES','ANN',2018,,'M','CF'))":3398.0,"DELL^FE_ESTIMATE(SALES,MEAN,ANN_ROLL,2020,NOW,,,'')":98717.68,"CARB^FE_ESTIMATE(SALES,MEAN,ANN_ROLL,2020,NOW,,,'')":561.9294,"CLDR^FE_ESTIMATE(SALES,MEAN,ANN_ROLL,2020,NOW,,,'')":1020.7439,"CSOD^FE_ESTIMATE(SALES,MEAN,ANN_ROLL,2020,NOW,,,'')":640.7217,"PFPT^FE_ESTIMATE(SALES,MEAN,ANN_ROLL,2020,NOW,,,'')":1056.1316,"WDAY^FE_ESTIMATE(SALES,MEAN,ANN_ROLL,2020,NOW,,,'')":4339.646,"NOW^FE_ESTIMATE(SALES,MEAN,ANN_ROLL,2020,NOW,,,'')":4400.0127,"CRM^FE_ESTIMATE(SALES,MEAN,ANN_ROLL,2020,NOW,,,'')":19169.164,"CARB^IF(P_DATE(0,,,\"DATEN\")>FE_ESTIMATE_DATE(RPT_DATE,,ANN_ROLL,2020,'YYYYMMDD',0,,,''),AVAIL(AVAIL(FF_ADJ_SALES(ANN,2020),FF_ARPT_SERIES('RV','ANN',2020,,'M','IS')),FF_SALES(ANN,2020)),FE_ESTIMATE(SALES,MEAN,ANN_ROLL,2020,NOW,,,''))":561.9294,"CLDR^IF(P_DATE(0,,,\"DATEN\")>FE_ESTIMATE_DATE(RPT_DATE,,ANN_ROLL,2020,'YYYYMMDD',0,,,''),AVAIL(AVAIL(FF_ADJ_SALES(ANN,2020),FF_ARPT_SERIES('RV','ANN',2020,,'M','IS')),FF_SALES(ANN,2020)),FE_ESTIMATE(SALES,MEAN,ANN_ROLL,2020,NOW,,,''))":1020.7439,"CSOD^IF(P_DATE(0,,,\"DATEN\")>FE_ESTIMATE_DATE(RPT_DATE,,ANN_ROLL,2020,'YYYYMMDD',0,,,''),AVAIL(AVAIL(FF_ADJ_SALES(ANN,2020),FF_ARPT_SERIES('RV','ANN',2020,,'M','IS')),FF_SALES(ANN,2020)),FE_ESTIMATE(SALES,MEAN,ANN_ROLL,2020,NOW,,,''))":640.7217,"PFPT^IF(P_DATE(0,,,\"DATEN\")>FE_ESTIMATE_DATE(RPT_DATE,,ANN_ROLL,2020,'YYYYMMDD',0,,,''),AVAIL(AVAIL(FF_ADJ_SALES(ANN,2020),FF_ARPT_SERIES('RV','ANN',2020,,'M','IS')),FF_SALES(ANN,2020)),FE_ESTIMATE(SALES,MEAN,ANN_ROLL,2020,NOW,,,''))":1056.1316,"WDAY^IF(P_DATE(0,,,\"DATEN\")>FE_ESTIMATE_DATE(RPT_DATE,,ANN_ROLL,2020,'YYYYMMDD',0,,,''),AVAIL(AVAIL(FF_ADJ_SALES(ANN,2020),FF_ARPT_SERIES('RV','ANN',2020,,'M','IS')),FF_SALES(ANN,2020)),FE_ESTIMATE(SALES,MEAN,ANN_ROLL,2020,NOW,,,''))":4339.646,"NOW^IF(P_DATE(0,,,\"DATEN\")>FE_ESTIMATE_DATE(RPT_DATE,,ANN_ROLL,2020,'YYYYMMDD',0,,,''),AVAIL(AVAIL(FF_ADJ_SALES(ANN,2020),FF_ARPT_SERIES('RV','ANN',2020,,'M','IS')),FF_SALES(ANN,2020)),FE_ESTIMATE(SALES,MEAN,ANN_ROLL,2020,NOW,,,''))":4400.0127,"CRM^IF(P_DATE(0,,,\"DATEN\")>FE_ESTIMATE_DATE(RPT_DATE,,ANN_ROLL,2020,'YYYYMMDD',0,,,''),AVAIL(AVAIL(FF_ADJ_SALES(ANN,2020),FF_ARPT_SERIES('RV','ANN',2020,,'M','IS')),FF_SALES(ANN,2020)),FE_ESTIMATE(SALES,MEAN,ANN_ROLL,2020,NOW,,,''))":19169.164,"DELL^FE_ESTIMATE(EBIT_ADJ,MEAN,ANN_ROLL,2019,NOW,,,'')":9328.35,"CARB^FE_ESTIMATE(EBIT_ADJ,MEAN,ANN_ROLL,2019,NOW,,,'')":110.782,"CLDR^FE_ESTIMATE(EBIT_ADJ,MEAN,ANN_ROLL,2019,NOW,,,'')":-99.63082,"CSOD^FE_ESTIMATE(EBIT_ADJ,MEAN,ANN_ROLL,2019,NOW,,,'')":78.99186,"PFPT^FE_ESTIMATE(EBIT_ADJ,MEAN,ANN_ROLL,2019,NOW,,,'')":100.129875,"WDAY^FE_ESTIMATE(EBIT_ADJ,MEAN,ANN_ROLL,2019,NOW,,,'')":436.87595,"NOW^FE_ESTIMATE(EBIT_ADJ,MEAN,ANN_ROLL,2019,NOW,,,'')":727.8035,"CRM^FE_ESTIMATE(EBIT_ADJ,MEAN,ANN_ROLL,2019,NOW,,,'')":2934.5088,"CARB^IF(P_DATE(0,,,\"DATEN\")>FE_ESTIMATE_DATE(RPT_DATE,,ANN_ROLL,2019,'YYYYMMDD',0,,,''),AVAIL(AVAIL(FF_ADJ_EBIT(ANN,2019),FF_ARPT_SERIES('OPERATING INCOME / LOSS','ANN',2019,,'M','IS')),FF_EBIT_OPER(ANN,2019)),FE_ESTIMATE(EBIT_ADJ,MEAN,ANN_ROLL,2019,NOW,,,''))":110.782,"CLDR^IF(P_DATE(0,,,\"DATEN\")>FE_ESTIMATE_DATE(RPT_DATE,,ANN_ROLL,2019,'YYYYMMDD',0,,,''),AVAIL(AVAIL(FF_ADJ_EBIT(ANN,2019),FF_ARPT_SERIES('OPERATING INCOME / LOSS','ANN',2019,,'M','IS')),FF_EBIT_OPER(ANN,2019)),FE_ESTIMATE(EBIT_ADJ,MEAN,ANN_ROLL,2019,NOW,,,''))":-99.63082,"CSOD^IF(P_DATE(0,,,\"DATEN\")>FE_ESTIMATE_DATE(RPT_DATE,,ANN_ROLL,2019,'YYYYMMDD',0,,,''),AVAIL(AVAIL(FF_ADJ_EBIT(ANN,2019),FF_ARPT_SERIES('OPERATING INCOME / LOSS','ANN',2019,,'M','IS')),FF_EBIT_OPER(ANN,2019)),FE_ESTIMATE(EBIT_ADJ,MEAN,ANN_ROLL,2019,NOW,,,''))":78.99186,"PFPT^IF(P_DATE(0,,,\"DATEN\")>FE_ESTIMATE_DATE(RPT_DATE,,ANN_ROLL,2019,'YYYYMMDD',0,,,''),AVAIL(AVAIL(FF_ADJ_EBIT(ANN,2019),FF_ARPT_SERIES('OPERATING INCOME / LOSS','ANN',2019,,'M','IS')),FF_EBIT_OPER(ANN,2019)),FE_ESTIMATE(EBIT_ADJ,MEAN,ANN_ROLL,2019,NOW,,,''))":100.129875,"WDAY^IF(P_DATE(0,,,\"DATEN\")>FE_ESTIMATE_DATE(RPT_DATE,,ANN_ROLL,2019,'YYYYMMDD',0,,,''),AVAIL(AVAIL(FF_ADJ_EBIT(ANN,2019),FF_ARPT_SERIES('OPERATING INCOME / LOSS','ANN',2019,,'M','IS')),FF_EBIT_OPER(ANN,2019)),FE_ESTIMATE(EBIT_ADJ,MEAN,ANN_ROLL,2019,NOW,,,''))":436.87595,"NOW^IF(P_DATE(0,,,\"DATEN\")>FE_ESTIMATE_DATE(RPT_DATE,,ANN_ROLL,2019,'YYYYMMDD',0,,,''),AVAIL(AVAIL(FF_ADJ_EBIT(ANN,2019),FF_ARPT_SERIES('OPERATING INCOME / LOSS','ANN',2019,,'M','IS')),FF_EBIT_OPER(ANN,2019)),FE_ESTIMATE(EBIT_ADJ,MEAN,ANN_ROLL,2019,NOW,,,''))":727.8035,"CRM^IF(P_DATE(0,,,\"DATEN\")>FE_ESTIMATE_DATE(RPT_DATE,,ANN_ROLL,2019,'YYYYMMDD',0,,,''),AVAIL(AVAIL(FF_ADJ_EBIT(ANN,2019),FF_ARPT_SERIES('OPERATING INCOME / LOSS','ANN',2019,,'M','IS')),FF_EBIT_OPER(ANN,2019)),FE_ESTIMATE(EBIT_ADJ,MEAN,ANN_ROLL,2019,NOW,,,''))":2934.5088,"DELL^IF(FE_ACTUAL(FLAG,EBIT_ADJ,ANN_ROLL,2019,,,,'')!=3,FE_ACTUAL(ACTUAL,EBIT_ADJ,ANN_ROLL,2019,,,,''),FLOAT_NA)":null,"CARB^IF(FE_ACTUAL(FLAG,EBIT_ADJ,ANN_ROLL,2019,,,,'')!=3,FE_ACTUAL(ACTUAL,EBIT_ADJ,ANN_ROLL,2019,,,,''),FLOAT_NA)":null,"CLDR^IF(FE_ACTUAL(FLAG,EBIT_ADJ,ANN_ROLL,2019,,,,'')!=3,FE_ACTUAL(ACTUAL,EBIT_ADJ,ANN_ROLL,2019,,,,''),FLOAT_NA)":null,"CSOD^IF(FE_ACTUAL(FLAG,EBIT_ADJ,ANN_ROLL,2019,,,,'')!=3,FE_ACTUAL(ACTUAL,EBIT_ADJ,ANN_ROLL,2019,,,,''),FLOAT_NA)":null,"PFPT^IF(FE_ACTUAL(FLAG,EBIT_ADJ,ANN_ROLL,2019,,,,'')!=3,FE_ACTUAL(ACTUAL,EBIT_ADJ,ANN_ROLL,2019,,,,''),FLOAT_NA)":null,"WDAY^IF(FE_ACTUAL(FLAG,EBIT_ADJ,ANN_ROLL,2019,,,,'')!=3,FE_ACTUAL(ACTUAL,EBIT_ADJ,ANN_ROLL,2019,,,,''),FLOAT_NA)":null,"NOW^IF(FE_ACTUAL(FLAG,EBIT_ADJ,ANN_ROLL,2019,,,,'')!=3,FE_ACTUAL(ACTUAL,EBIT_ADJ,ANN_ROLL,2019,,,,''),FLOAT_NA)":null,"CRM^IF(FE_ACTUAL(FLAG,EBIT_ADJ,ANN_ROLL,2019,,,,'')!=3,FE_ACTUAL(ACTUAL,EBIT_ADJ,ANN_ROLL,2019,,,,''),FLOAT_NA)":null,"DELL^FF_EBIT_OPER(ANN,2019)":549.0,"CARB^FF_EBIT_OPER(ANN,2019)":11.237,"CLDR^FF_EBIT_OPER(ANN,2019)":-193.764,"CSOD^FF_EBIT_OPER(ANN,2019)":2.277,"PFPT^FF_EBIT_OPER(ANN,2019)":-101.071,"WDAY^FF_EBIT_OPER(ANN,2019)":-431.272,"NOW^FF_EBIT_OPER(ANN,2019)":-41.426,"CRM^FF_EBIT_OPER(ANN,2019)":562.0,"DELL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OPERATIONS','ANN',2019,,'M','IS'))":-191.0,"CARB^AVAIL(AVAIL(AVAIL(AVAIL(FF_ARPT_SERIES('OPERATING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OPERATIONS','ANN',2019,,'M','IS'))":3.667,"CLDR^AVAIL(AVAIL(AVAIL(AVAIL(FF_ARPT_SERIES('OPERATING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OPERATIONS','ANN',2019,,'M','IS'))":null,"CSOD^AVAIL(AVAIL(AVAIL(AVAIL(FF_ARPT_SERIES('OPERATING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OPERATIONS','ANN',2019,,'M','IS'))":-7.769,"PFPT^AVAIL(AVAIL(AVAIL(AVAIL(FF_ARPT_SERIES('OPERATING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OPERATIONS','ANN',2019,,'M','IS'))":-101.710999,"WDAY^AVAIL(AVAIL(AVAIL(AVAIL(FF_ARPT_SERIES('OPERATING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OPERATIONS','ANN',2019,,'M','IS'))":-463.283997,"NOW^AVAIL(AVAIL(AVAIL(AVAIL(FF_ARPT_SERIES('OPERATING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OPERATIONS','ANN',2019,,'M','IS'))":-42.425999,"CRM^AVAIL(AVAIL(AVAIL(AVAIL(FF_ARPT_SERIES('OPERATING INCOME / LOSS','ANN',2019,,'M','IS'),FF_ARPT_SERIES('INCOME / LOSS FROM OPERATIONS','ANN',2019,,'M','IS')),FF_ARPT_SERIES('LOSS / INCOME FROM OPERATIONS','ANN',2019,,'M','IS')),FF_ARPT_SERIES('OPERATING LOSS','ANN',2019,,'M','IS')),FF_ARPT_SERIES('LOSS FROM OPERATIONS','ANN',2019,,'M','IS'))":535.0,"DELL^AVAIL(FF_ARPT_SERIES('NON-GAAP OPERATING INCOME','ANN',2019,,'M','NG-IS'),FF_ARPT_SERIES('NON-GAAP INCOME FROM OPERATIONS','ANN',2019,,'M','NG-IS'))":8854.0,"CARB^AVAIL(FF_ARPT_SERIES('NON-GAAP OPERATING INCOME','ANN',2019,,'M','NG-IS'),FF_ARPT_SERIES('NON-GAAP INCOME FROM OPERATIONS','ANN',2019,,'M','NG-IS'))":null,"CLDR^AVAIL(FF_ARPT_SERIES('NON-GAAP OPERATING INCOME','ANN',2019,,'M','NG-IS'),FF_ARPT_SERIES('NON-GAAP INCOME FROM OPERATIONS','ANN',2019,,'M','NG-IS'))":null,"CSOD^AVAIL(FF_ARPT_SERIES('NON-GAAP OPERATING INCOME','ANN',2019,,'M','NG-IS'),FF_ARPT_SERIES('NON-GAAP INCOME FROM OPERATIONS','ANN',2019,,'M','NG-IS'))":null,"PFPT^AVAIL(FF_ARPT_SERIES('NON-GAAP OPERATING INCOME','ANN',2019,,'M','NG-IS'),FF_ARPT_SERIES('NON-GAAP INCOME FROM OPERATIONS','ANN',2019,,'M','NG-IS'))":null,"WDAY^AVAIL(FF_ARPT_SERIES('NON-GAAP OPERATING INCOME','ANN',2019,,'M','NG-IS'),FF_ARPT_SERIES('NON-GAAP INCOME FROM OPERATIONS','ANN',2019,,'M','NG-IS'))":null,"NOW^AVAIL(FF_ARPT_SERIES('NON-GAAP OPERATING INCOME','ANN',2019,,'M','NG-IS'),FF_ARPT_SERIES('NON-GAAP INCOME FROM OPERATIONS','ANN',2019,,'M','NG-IS'))":527.763,"CRM^AVAIL(FF_ARPT_SERIES('NON-GAAP OPERATING INCOME','ANN',2019,,'M','NG-IS'),FF_ARPT_SERIES('NON-GAAP INCOME FROM OPERATIONS','ANN',2019,,'M','NG-IS'))":2265.0,"DELL^FF_ADJ_EBIT(ANN,2019)":8854.0,"CARB^FF_ADJ_EBIT(ANN,2019)":null,"CLDR^FF_ADJ_EBIT(ANN,2019)":-67.27,"CSOD^FF_ADJ_EBIT(ANN,2019)":63.397,"PFPT^FF_ADJ_EBIT(ANN,2019)":83.587,"WDAY^FF_ADJ_EBIT(ANN,2019)":291.257,"NOW^FF_ADJ_EBIT(ANN,2019)":527.763,"CRM^FF_ADJ_EBIT(ANN,2019)":2265.0,"DELL^FE_ESTIMATE(EBITDA_ADJ,MEAN,ANN_ROLL,2019,NOW,,,'')":11235.75,"CARB^FE_ESTIMATE(EBITDA_ADJ,MEAN,ANN_ROLL,2019,NOW,,,'')":130.6425,"CLDR^FE_ESTIMATE(EBITDA_ADJ,MEAN,ANN_ROLL,2019,NOW,,,'')":-31.7562,"CSOD^FE_ESTIMATE(EBITDA_ADJ,MEAN,ANN_ROLL,2019,NOW,,,'')":131.3425,"PFPT^FE_ESTIMATE(EBITDA_ADJ,MEAN,ANN_ROLL,2019,NOW,,,'')":132.3619,"WDAY^FE_ESTIMATE(EBITDA_ADJ,MEAN,ANN_ROLL,2019,NOW,,,'')":681.997,"NOW^FE_ESTIMATE(EBITDA_ADJ,MEAN,ANN_ROLL,2019,NOW,,,'')":901.89374,"CRM^FE_ESTIMATE(EBITDA_ADJ,MEAN,ANN_ROLL,2019,NOW,,,'')":3771.5222,"CARB^IF(P_DATE(0,,,\"DATEN\")>FE_ESTIMATE_DATE(RPT_DATE,,ANN_ROLL,2019,'YYYYMMDD',0,,,''),AVAIL(AVAIL(FF_ADJ_EBITDA(ANN,2019),FF_ARPT_SERIES('ADJUSTED EBITDA','ANN',2019,,'M','NG-IS')),FF_EBITDA_OPER(ANN,2019)),FE_ESTIMATE(EBITDA_ADJ,MEAN,ANN_ROLL,2019,NOW,,,''))":130.6425,"CLDR^IF(P_DATE(0,,,\"DATEN\")>FE_ESTIMATE_DATE(RPT_DATE,,ANN_ROLL,2019,'YYYYMMDD',0,,,''),AVAIL(AVAIL(FF_ADJ_EBITDA(ANN,2019),FF_ARPT_SERIES('ADJUSTED EBITDA','ANN',2019,,'M','NG-IS')),FF_EBITDA_OPER(ANN,2019)),FE_ESTIMATE(EBITDA_ADJ,MEAN,ANN_ROLL,2019,NOW,,,''))":-31.7562,"CSOD^IF(P_DATE(0,,,\"DATEN\")>FE_ESTIMATE_DATE(RPT_DATE,,ANN_ROLL,2019,'YYYYMMDD',0,,,''),AVAIL(AVAIL(FF_ADJ_EBITDA(ANN,2019),FF_ARPT_SERIES('ADJUSTED EBITDA','ANN',2019,,'M','NG-IS')),FF_EBITDA_OPER(ANN,2019)),FE_ESTIMATE(EBITDA_ADJ,MEAN,ANN_ROLL,2019,NOW,,,''))":131.3425,"PFPT^IF(P_DATE(0,,,\"DATEN\")>FE_ESTIMATE_DATE(RPT_DATE,,ANN_ROLL,2019,'YYYYMMDD',0,,,''),AVAIL(AVAIL(FF_ADJ_EBITDA(ANN,2019),FF_ARPT_SERIES('ADJUSTED EBITDA','ANN',2019,,'M','NG-IS')),FF_EBITDA_OPER(ANN,2019)),FE_ESTIMATE(EBITDA_ADJ,MEAN,ANN_ROLL,2019,NOW,,,''))":132.3619,"WDAY^IF(P_DATE(0,,,\"DATEN\")>FE_ESTIMATE_DATE(RPT_DATE,,ANN_ROLL,2019,'YYYYMMDD',0,,,''),AVAIL(AVAIL(FF_ADJ_EBITDA(ANN,2019),FF_ARPT_SERIES('ADJUSTED EBITDA','ANN',2019,,'M','NG-IS')),FF_EBITDA_OPER(ANN,2019)),FE_ESTIMATE(EBITDA_ADJ,MEAN,ANN_ROLL,2019,NOW,,,''))":681.997,"NOW^IF(P_DATE(0,,,\"DATEN\")>FE_ESTIMATE_DATE(RPT_DATE,,ANN_ROLL,2019,'YYYYMMDD',0,,,''),AVAIL(AVAIL(FF_ADJ_EBITDA(ANN,2019),FF_ARPT_SERIES('ADJUSTED EBITDA','ANN',2019,,'M','NG-IS')),FF_EBITDA_OPER(ANN,2019)),FE_ESTIMATE(EBITDA_ADJ,MEAN,ANN_ROLL,2019,NOW,,,''))":901.89374,"CRM^IF(P_DATE(0,,,\"DATEN\")>FE_ESTIMATE_DATE(RPT_DATE,,ANN_ROLL,2019,'YYYYMMDD',0,,,''),AVAIL(AVAIL(FF_ADJ_EBITDA(ANN,2019),FF_ARPT_SERIES('ADJUSTED EBITDA','ANN',2019,,'M','NG-IS')),FF_EBITDA_OPER(ANN,2019)),FE_ESTIMATE(EBITDA_ADJ,MEAN,ANN_ROLL,2019,NOW,,,''))":3771.5222,"DELL^IF(FE_ACTUAL(FLAG,EBITDA_ADJ,ANN_ROLL,2019,,,,'')!=3,FE_ACTUAL(ACTUAL,EBITDA_ADJ,ANN_ROLL,2019,,,,''),FLOAT_NA)":null,"CARB^IF(FE_ACTUAL(FLAG,EBITDA_ADJ,ANN_ROLL,2019,,,,'')!=3,FE_ACTUAL(ACTUAL,EBITDA_ADJ,ANN_ROLL,2019,,,,''),FLOAT_NA)":null,"CLDR^IF(FE_ACTUAL(FLAG,EBITDA_ADJ,ANN_ROLL,2019,,,,'')!=3,FE_ACTUAL(ACTUAL,EBITDA_ADJ,ANN_ROLL,2019,,,,''),FLOAT_NA)":null,"CSOD^IF(FE_ACTUAL(FLAG,EBITDA_ADJ,ANN_ROLL,2019,,,,'')!=3,FE_ACTUAL(ACTUAL,EBITDA_ADJ,ANN_ROLL,2019,,,,''),FLOAT_NA)":null,"PFPT^IF(FE_ACTUAL(FLAG,EBITDA_ADJ,ANN_ROLL,2019,,,,'')!=3,FE_ACTUAL(ACTUAL,EBITDA_ADJ,ANN_ROLL,2019,,,,''),FLOAT_NA)":null,"WDAY^IF(FE_ACTUAL(FLAG,EBITDA_ADJ,ANN_ROLL,2019,,,,'')!=3,FE_ACTUAL(ACTUAL,EBITDA_ADJ,ANN_ROLL,2019,,,,''),FLOAT_NA)":null,"NOW^IF(FE_ACTUAL(FLAG,EBITDA_ADJ,ANN_ROLL,2019,,,,'')!=3,FE_ACTUAL(ACTUAL,EBITDA_ADJ,ANN_ROLL,2019,,,,''),FLOAT_NA)":null,"CRM^IF(FE_ACTUAL(FLAG,EBITDA_ADJ,ANN_ROLL,2019,,,,'')!=3,FE_ACTUAL(ACTUAL,EBITDA_ADJ,ANN_ROLL,2019,,,,''),FLOAT_NA)":null,"DELL^FF_EBITDA_OPER(ANN,2019)":8295.0,"CARB^FF_EBITDA_OPER(ANN,2019)":53.023,"CLDR^FF_EBITDA_OPER(ANN,2019)":-176.336,"CSOD^FF_EBITDA_OPER(ANN,2019)":37.537,"PFPT^FF_EBITDA_OPER(ANN,2019)":-27.518,"WDAY^FF_EBITDA_OPER(ANN,2019)":-233.161,"NOW^FF_EBITDA_OPER(ANN,2019)":106.774,"CRM^FF_EBITDA_OPER(ANN,2019)":2157.0,"DELL^FF_ARPT_SERIES('ADJUSTED EBITDA','ANN',2019,,'M','NG-IS')":10296.0,"CARB^FF_ARPT_SERIES('ADJUSTED EBITDA','ANN',2019,,'M','NG-IS')":77.033997,"CLDR^FF_ARPT_SERIES('ADJUSTED EBITDA','ANN',2019,,'M','NG-IS')":null,"CSOD^FF_ARPT_SERIES('ADJUSTED EBITDA','ANN',2019,,'M','NG-IS')":null,"PFPT^FF_ARPT_SERIES('ADJUSTED EBITDA','ANN',2019,,'M','NG-IS')":null,"WDAY^FF_ARPT_SERIES('ADJUSTED EBITDA','ANN',2019,,'M','NG-IS')":null,"NOW^FF_ARPT_SERIES('ADJUSTED EBITDA','ANN',2019,,'M','NG-IS')":null,"CRM^FF_ARPT_SERIES('ADJUSTED EBITDA','ANN',2019,,'M','NG-IS')":null,"DELL^FF_ADJ_EBITDA(ANN,2019)":10296.0,"CARB^FF_ADJ_EBITDA(ANN,2019)":77.034,"CLDR^FF_ADJ_EBITDA(ANN,2019)":null,"CSOD^FF_ADJ_EBITDA(ANN,2019)":null,"PFPT^FF_ADJ_EBITDA(ANN,2019)":null,"WDAY^FF_ADJ_EBITDA(ANN,2019)":null,"NOW^FF_ADJ_EBITDA(ANN,2019)":null,"CRM^FF_ADJ_EBITDA(ANN,2019)":null,"DELL^AVAIL(FF_ARPT_SERIES('GROSS MARGIN','ANN',2018,,'M','IS'),FF_ARPT_SERIES('GROSS PROFIT','ANN',2018,,'M','IS'))":25053.0,"CARB^AVAIL(FF_ARPT_SERIES('GROSS MARGIN','ANN',2018,,'M','IS'),FF_ARPT_SERIES('GROSS PROFIT','ANN',2018,,'M','IS'))":211.024994,"CLDR^AVAIL(FF_ARPT_SERIES('GROSS MARGIN','ANN',2018,,'M','IS'),FF_ARPT_SERIES('GROSS PROFIT','ANN',2018,,'M','IS'))":null,"CSOD^AVAIL(FF_ARPT_SERIES('GROSS MARGIN','ANN',2018,,'M','IS'),FF_ARPT_SERIES('GROSS PROFIT','ANN',2018,,'M','IS'))":393.541992,"PFPT^AVAIL(FF_ARPT_SERIES('GROSS MARGIN','ANN',2018,,'M','IS'),FF_ARPT_SERIES('GROSS PROFIT','ANN',2018,,'M','IS'))":515.232971,"WDAY^AVAIL(FF_ARPT_SERIES('GROSS MARGIN','ANN',2018,,'M','IS'),FF_ARPT_SERIES('GROSS PROFIT','ANN',2018,,'M','IS'))":null,"NOW^AVAIL(FF_ARPT_SERIES('GROSS MARGIN','ANN',2018,,'M','IS'),FF_ARPT_SERIES('GROSS PROFIT','ANN',2018,,'M','IS'))":1986.157959,"CRM^AVAIL(FF_ARPT_SERIES('GROSS MARGIN','ANN',2018,,'M','IS'),FF_ARPT_SERIES('GROSS PROFIT','ANN',2018,,'M','IS'))":9831.0,"DELL^AVAIL(FF_ARPT_SERIES('NON-GAAP GROSS MARGIN','ANN',2018,,'M','NG-IS'),FF_ARPT_SERIES('NON-GAAP GROSS PROFIT','ANN',2018,,'M','NG-IS'))":29022.0,"CARB^AVAIL(FF_ARPT_SERIES('NON-GAAP GROSS MARGIN','ANN',2018,,'M','NG-IS'),FF_ARPT_SERIES('NON-GAAP GROSS PROFIT','ANN',2018,,'M','NG-IS'))":233.763,"CLDR^AVAIL(FF_ARPT_SERIES('NON-GAAP GROSS MARGIN','ANN',2018,,'M','NG-IS'),FF_ARPT_SERIES('NON-GAAP GROSS PROFIT','ANN',2018,,'M','NG-IS'))":null,"CSOD^AVAIL(FF_ARPT_SERIES('NON-GAAP GROSS MARGIN','ANN',2018,,'M','NG-IS'),FF_ARPT_SERIES('NON-GAAP GROSS PROFIT','ANN',2018,,'M','NG-IS'))":398.592987,"PFPT^AVAIL(FF_ARPT_SERIES('NON-GAAP GROSS MARGIN','ANN',2018,,'M','NG-IS'),FF_ARPT_SERIES('NON-GAAP GROSS PROFIT','ANN',2018,,'M','NG-IS'))":558.502991,"WDAY^AVAIL(FF_ARPT_SERIES('NON-GAAP GROSS MARGIN','ANN',2018,,'M','NG-IS'),FF_ARPT_SERIES('NON-GAAP GROSS PROFIT','ANN',2018,,'M','NG-IS'))":null,"NOW^AVAIL(FF_ARPT_SERIES('NON-GAAP GROSS MARGIN','ANN',2018,,'M','NG-IS'),FF_ARPT_SERIES('NON-GAAP GROSS PROFIT','ANN',2018,,'M','NG-IS'))":2086.705078,"CRM^AVAIL(FF_ARPT_SERIES('NON-GAAP GROSS MARGIN','ANN',2018,,'M','NG-IS'),FF_ARPT_SERIES('NON-GAAP GROSS PROFIT','ANN',2018,,'M','NG-IS'))":10207.0,"DELL^FF_ADJ_GROSS_INC(ANN,2018)":29022.0,"CARB^FF_ADJ_GROSS_INC(ANN,2018)":233.763,"CLDR^FF_ADJ_GROSS_INC(ANN,2018)":null,"CSOD^FF_ADJ_GROSS_INC(ANN,2018)":398.593,"PFPT^FF_ADJ_GROSS_INC(ANN,2018)":558.503,"WDAY^FF_ADJ_GROSS_INC(ANN,2018)":null,"NOW^FF_ADJ_GROSS_INC(ANN,2018)":2086.705,"CRM^FF_ADJ_GROSS_INC(ANN,2018)":10207.0,"DELL^IF(FE_ACTUAL(FLAG,GROSS_INC,ANN_ROLL,2018,,,,'')!=3,FE_ACTUAL(ACTUAL,GROSS_INC,ANN_ROLL,2018,,,,''),FLOAT_NA)/IF(FE_ACTUAL(FLAG,SALES,ANN_ROLL,2018,,,,'')!=3,FE_ACTUAL(ACTUAL,SALES,ANN_ROLL,2018,,,,''),FLOAT_NA)":null,"CARB^IF(FE_ACTUAL(FLAG,GROSS_INC,ANN_ROLL,2018,,,,'')!=3,FE_ACTUAL(ACTUAL,GROSS_INC,ANN_ROLL,2018,,,,''),FLOAT_NA)/IF(FE_ACTUAL(FLAG,SALES,ANN_ROLL,2018,,,,'')!=3,FE_ACTUAL(ACTUAL,SALES,ANN_ROLL,2018,,,,''),FLOAT_NA)":0.7743087,"CLDR^IF(FE_ACTUAL(FLAG,GROSS_INC,ANN_ROLL,2018,,,,'')!=3,FE_ACTUAL(ACTUAL,GROSS_INC,ANN_ROLL,2018,,,,''),FLOAT_NA)/IF(FE_ACTUAL(FLAG,SALES,ANN_ROLL,2018,,,,'')!=3,FE_ACTUAL(ACTUAL,SALES,ANN_ROLL,2018,,,,''),FLOAT_NA)":null,"CSOD^IF(FE_ACTUAL(FLAG,GROSS_INC,ANN_ROLL,2018,,,,'')!=3,FE_ACTUAL(ACTUAL,GROSS_INC,ANN_ROLL,2018,,,,''),FLOAT_NA)/IF(FE_ACTUAL(FLAG,SALES,ANN_ROLL,2018,,,,'')!=3,FE_ACTUAL(ACTUAL,SALES,ANN_ROLL,2018,,,,''),FLOAT_NA)":null,"PFPT^IF(FE_ACTUAL(FLAG,GROSS_INC,ANN_ROLL,2018,,,,'')!=3,FE_ACTUAL(ACTUAL,GROSS_INC,ANN_ROLL,2018,,,,''),FLOAT_NA)/IF(FE_ACTUAL(FLAG,SALES,ANN_ROLL,2018,,,,'')!=3,FE_ACTUAL(ACTUAL,SALES,ANN_ROLL,2018,,,,''),FLOAT_NA)":0.7789507,"WDAY^IF(FE_ACTUAL(FLAG,GROSS_INC,ANN_ROLL,2018,,,,'')!=3,FE_ACTUAL(ACTUAL,GROSS_INC,ANN_ROLL,2018,,,,''),FLOAT_NA)/IF(FE_ACTUAL(FLAG,SALES,ANN_ROLL,2018,,,,'')!=3,FE_ACTUAL(ACTUAL,SALES,ANN_ROLL,2018,,,,''),FLOAT_NA)":null,"NOW^IF(FE_ACTUAL(FLAG,GROSS_INC,ANN_ROLL,2018,,,,'')!=3,FE_ACTUAL(ACTUAL,GROSS_INC,ANN_ROLL,2018,,,,''),FLOAT_NA)/IF(FE_ACTUAL(FLAG,SALES,ANN_ROLL,2018,,,,'')!=3,FE_ACTUAL(ACTUAL,SALES,ANN_ROLL,2018,,,,''),FLOAT_NA)":null,"CRM^IF(FE_ACTUAL(FLAG,GROSS_INC,ANN_ROLL,2018,,,,'')!=3,FE_ACTUAL(ACTUAL,GROSS_INC,ANN_ROLL,2018,,,,''),FLOAT_NA)/IF(FE_ACTUAL(FLAG,SALES,ANN_ROLL,2018,,,,'')!=3,FE_ACTUAL(ACTUAL,SALES,ANN_ROLL,2018,,,,''),FLOAT_NA)":null,"DELL^FE_VALUATION(GROSS_MARGIN,MEAN,ANN_ROLL,2018,0,,,'')/100":0.31054816,"CARB^FE_VALUATION(GROSS_MARGIN,MEAN,ANN_ROLL,2018,0,,,'')/100":0.7743087,"CLDR^FE_VALUATION(GROSS_MARGIN,MEAN,ANN_ROLL,2018,0,,,'')/100":0.7640376,"CSOD^FE_VALUATION(GROSS_MARGIN,MEAN,ANN_ROLL,2018,0,,,'')/100":0.74103093,"PFPT^FE_VALUATION(GROSS_MARGIN,MEAN,ANN_ROLL,2018,0,,,'')/100":0.77895075,"WDAY^FE_VALUATION(GROSS_MARGIN,MEAN,ANN_ROLL,2018,0,,,'')/100":0.7457992,"NOW^FE_VALUATION(GROSS_MARGIN,MEAN,ANN_ROLL,2018,0,,,'')/100":0.798263,"CRM^FE_VALUATION(GROSS_MARGIN,MEAN,ANN_ROLL,2018,0,,,'')/100":0.7646667,"DELL^FF_GROSS_MGN(ANN,2018)/100":0.27484623213416509,"CARB^FF_GROSS_MGN(ANN,2018)/100":0.62369436722355664,"CLDR^FF_GROSS_MGN(ANN,2018)/100":0.70414696806482469,"CSOD^FF_GROSS_MGN(ANN,2018)/100":0.73163893800044988,"PFPT^FF_GROSS_MGN(ANN,2018)/100":0.69881616861507911,"WDAY^FF_GROSS_MGN(ANN,2018)/100":0.70488040401641183,"NOW^FF_GROSS_MGN(ANN,2018)/100":0.76132544418617476,"CRM^FF_GROSS_MGN(ANN,2018)/100":0.66721879235054959,"DELL^AVAIL(FF_ARPT_SERIES('GROSS MARGIN','ANN',2018,,'M','IS'),FF_ARPT_SERIES('GROSS PROFIT','ANN',2018,,'M','IS'))/FF_ARPT_SERIES('RV','ANN',2018,,'M','IS')":0.27645909888436448,"CARB^AVAIL(FF_ARPT_SERIES('GROSS MARGIN','ANN',2018,,'M','IS'),FF_ARPT_SERIES('GROSS PROFIT','ANN',2018,,'M','IS'))/FF_ARPT_SERIES('RV','ANN',2018,,'M','IS')":0.71194097702966785,"CLDR^AVAIL(FF_ARPT_SERIES('GROSS MARGIN','ANN',2018,,'M','IS'),FF_ARPT_SERIES('GROSS PROFIT','ANN',2018,,'M','IS'))/FF_ARPT_SERIES('RV','ANN',2018,,'M','IS')":null,"CSOD^AVAIL(FF_ARPT_SERIES('GROSS MARGIN','ANN',2018,,'M','IS'),FF_ARPT_SERIES('GROSS PROFIT','ANN',2018,,'M','IS'))/FF_ARPT_SERIES('RV','ANN',2018,,'M','IS')":0.73163893536934144,"PFPT^AVAIL(FF_ARPT_SERIES('GROSS MARGIN','ANN',2018,,'M','IS'),FF_ARPT_SERIES('GROSS PROFIT','ANN',2018,,'M','IS'))/FF_ARPT_SERIES('RV','ANN',2018,,'M','IS')":0.71860149087240854,"WDAY^AVAIL(FF_ARPT_SERIES('GROSS MARGIN','ANN',2018,,'M','IS'),FF_ARPT_SERIES('GROSS PROFIT','ANN',2018,,'M','IS'))/FF_ARPT_SERIES('RV','ANN',2018,,'M','IS')":null,"NOW^AVAIL(FF_ARPT_SERIES('GROSS MARGIN','ANN',2018,,'M','IS'),FF_ARPT_SERIES('GROSS PROFIT','ANN',2018,,'M','IS'))/FF_ARPT_SERIES('RV','ANN',2018,,'M','IS')":0.76132545240012606,"CRM^AVAIL(FF_ARPT_SERIES('GROSS MARGIN','ANN',2018,,'M','IS'),FF_ARPT_SERIES('GROSS PROFIT','ANN',2018,,'M','IS'))/FF_ARPT_SERIES('RV','ANN',2018,,'M','IS')":0.740174672489083,"DELL^AVAIL(FF_ARPT_SERIES('NON-GAAP GROSS MARGIN','ANN',2018,,'M','NG-IS'),FF_ARPT_SERIES('NON-GAAP GROSS PROFIT','ANN',2018,,'M','NG-IS'))/FF_ARPT_SERIES('NG-RV','ANN',2018,,'M','NG-IS')":0.31779159914151811,"CARB^AVAIL(FF_ARPT_SERIES('NON-GAAP GROSS MARGIN','ANN',2018,,'M','NG-IS'),FF_ARPT_SERIES('NON-GAAP GROSS PROFIT','ANN',2018,,'M','NG-IS'))/FF_ARPT_SERIES('NG-RV','ANN',2018,,'M','NG-IS')":0.77430865973723861,"CLDR^AVAIL(FF_ARPT_SERIES('NON-GAAP GROSS MARGIN','ANN',2018,,'M','NG-IS'),FF_ARPT_SERIES('NON-GAAP GROSS PROFIT','ANN',2018,,'M','NG-IS'))/FF_ARPT_SERIES('NG-RV','ANN',2018,,'M','NG-IS')":null,"CSOD^AVAIL(FF_ARPT_SERIES('NON-GAAP GROSS MARGIN','ANN',2018,,'M','NG-IS'),FF_ARPT_SERIES('NON-GAAP GROSS PROFIT','ANN',2018,,'M','NG-IS'))/FF_ARPT_SERIES('NG-RV','ANN',2018,,'M','NG-IS')":null,"PFPT^AVAIL(FF_ARPT_SERIES('NON-GAAP GROSS MARGIN','ANN',2018,,'M','NG-IS'),FF_ARPT_SERIES('NON-GAAP GROSS PROFIT','ANN',2018,,'M','NG-IS'))/FF_ARPT_SERIES('NG-RV','ANN',2018,,'M','NG-IS')":null,"WDAY^AVAIL(FF_ARPT_SERIES('NON-GAAP GROSS MARGIN','ANN',2018,,'M','NG-IS'),FF_ARPT_SERIES('NON-GAAP GROSS PROFIT','ANN',2018,,'M','NG-IS'))/FF_ARPT_SERIES('NG-RV','ANN',2018,,'M','NG-IS')":null,"NOW^AVAIL(FF_ARPT_SERIES('NON-GAAP GROSS MARGIN','ANN',2018,,'M','NG-IS'),FF_ARPT_SERIES('NON-GAAP GROSS PROFIT','ANN',2018,,'M','NG-IS'))/FF_ARPT_SERIES('NG-RV','ANN',2018,,'M','NG-IS')":0.67556379811384815,"CRM^AVAIL(FF_ARPT_SERIES('NON-GAAP GROSS MARGIN','ANN',2018,,'M','NG-IS'),FF_ARPT_SERIES('NON-GAAP GROSS PROFIT','ANN',2018,,'M','NG-IS'))/FF_ARPT_SERIES('NG-RV','ANN',2018,,'M','NG-IS')":null,"DELL^FF_ADJ_GROSS_INC(ANN,2018)/FF_ADJ_SALES(ANN,2018)":0.31779159914151811,"CARB^FF_ADJ_GROSS_INC(ANN,2018)/FF_ADJ_SALES(ANN,2018)":0.77430862639492015,"CLDR^FF_ADJ_GROSS_INC(ANN,2018)/FF_ADJ_SALES(ANN,2018)":null,"CSOD^FF_ADJ_GROSS_INC(ANN,2018)/FF_ADJ_SALES(ANN,2018)":null,"PFPT^FF_ADJ_GROSS_INC(ANN,2018)/FF_ADJ_SALES(ANN,2018)":null,"WDAY^FF_ADJ_GROSS_INC(ANN,2018)/FF_ADJ_SALES(ANN,2018)":null,"NOW^FF_ADJ_GROSS_INC(ANN,2018)/FF_ADJ_SALES(ANN,2018)":0.67556376433185972,"CRM^FF_ADJ_GROSS_INC(ANN,2018)/FF_ADJ_SALES(ANN,2018)":null,"CARB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0.77430862639492015,"CLDR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70.414696806482468,"CSOD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0.73163893536934144,"PFPT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0.71860149087240854,"WDAY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70.488040401641186,"NOW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0.67556376433185972,"CRM^IF(P_DATE(0,,,\"DATEN\")>FE_ESTIMATE_DATE(RPT_DATE,,ANN_ROLL,2018,'YYYYMMDD',0,,,''),AVAIL(AVAIL(FF_ADJ_GROSS_INC(ANN,2018)/FF_ADJ_SALES(ANN,2018),AVAIL(FF_ARPT_SERIES('GROSS MARGIN','ANN',2018,,'M','IS'),FF_ARPT_SERIES('GROSS PROFIT','ANN',2018,,'M','IS'))/FF_ARPT_SERIES('RV','ANN',2018,,'M','IS')),FF_GROSS_MGN(ANN,2018)),FE_VALUATION(GROSS_MARGIN,MEAN,ANN_ROLL,2018,0,,,'')/100)":0.740174672489083,"DELL^FE_ESTIMATE(EBIT_ADJ,MEAN,ANN_ROLL,2020,NOW,,,'')":10023.775,"CARB^FE_ESTIMATE(EBIT_ADJ,MEAN,ANN_ROLL,2020,NOW,,,'')":136.1532,"CLDR^FE_ESTIMATE(EBIT_ADJ,MEAN,ANN_ROLL,2020,NOW,,,'')":8.794167,"CSOD^FE_ESTIMATE(EBIT_ADJ,MEAN,ANN_ROLL,2020,NOW,,,'')":109.127335,"PFPT^FE_ESTIMATE(EBIT_ADJ,MEAN,ANN_ROLL,2020,NOW,,,'')":140.15524,"WDAY^FE_ESTIMATE(EBIT_ADJ,MEAN,ANN_ROLL,2020,NOW,,,'')":603.62933,"NOW^FE_ESTIMATE(EBIT_ADJ,MEAN,ANN_ROLL,2020,NOW,,,'')":1015.86774,"CRM^FE_ESTIMATE(EBIT_ADJ,MEAN,ANN_ROLL,2020,NOW,,,'')":3748.2544,"CARB^IF(P_DATE(0,,,\"DATEN\")>FE_ESTIMATE_DATE(RPT_DATE,,ANN_ROLL,2020,'YYYYMMDD',0,,,''),AVAIL(AVAIL(FF_ADJ_EBIT(ANN,2020),FF_ARPT_SERIES('OPERATING INCOME / LOSS','ANN',2020,,'M','IS')),FF_EBIT_OPER(ANN,2020)),FE_ESTIMATE(EBIT_ADJ,MEAN,ANN_ROLL,2020,NOW,,,''))":136.1532,"CLDR^IF(P_DATE(0,,,\"DATEN\")>FE_ESTIMATE_DATE(RPT_DATE,,ANN_ROLL,2020,'YYYYMMDD',0,,,''),AVAIL(AVAIL(FF_ADJ_EBIT(ANN,2020),FF_ARPT_SERIES('OPERATING INCOME / LOSS','ANN',2020,,'M','IS')),FF_EBIT_OPER(ANN,2020)),FE_ESTIMATE(EBIT_ADJ,MEAN,ANN_ROLL,2020,NOW,,,''))":8.794167,"CSOD^IF(P_DATE(0,,,\"DATEN\")>FE_ESTIMATE_DATE(RPT_DATE,,ANN_ROLL,2020,'YYYYMMDD',0,,,''),AVAIL(AVAIL(FF_ADJ_EBIT(ANN,2020),FF_ARPT_SERIES('OPERATING INCOME / LOSS','ANN',2020,,'M','IS')),FF_EBIT_OPER(ANN,2020)),FE_ESTIMATE(EBIT_ADJ,MEAN,ANN_ROLL,2020,NOW,,,''))":109.127335,"PFPT^IF(P_DATE(0,,,\"DATEN\")>FE_ESTIMATE_DATE(RPT_DATE,,ANN_ROLL,2020,'YYYYMMDD',0,,,''),AVAIL(AVAIL(FF_ADJ_EBIT(ANN,2020),FF_ARPT_SERIES('OPERATING INCOME / LOSS','ANN',2020,,'M','IS')),FF_EBIT_OPER(ANN,2020)),FE_ESTIMATE(EBIT_ADJ,MEAN,ANN_ROLL,2020,NOW,,,''))":140.15524,"WDAY^IF(P_DATE(0,,,\"DATEN\")>FE_ESTIMATE_DATE(RPT_DATE,,ANN_ROLL,2020,'YYYYMMDD',0,,,''),AVAIL(AVAIL(FF_ADJ_EBIT(ANN,2020),FF_ARPT_SERIES('OPERATING INCOME / LOSS','ANN',2020,,'M','IS')),FF_EBIT_OPER(ANN,2020)),FE_ESTIMATE(EBIT_ADJ,MEAN,ANN_ROLL,2020,NOW,,,''))":603.62933,"NOW^IF(P_DATE(0,,,\"DATEN\")>FE_ESTIMATE_DATE(RPT_DATE,,ANN_ROLL,2020,'YYYYMMDD',0,,,''),AVAIL(AVAIL(FF_ADJ_EBIT(ANN,2020),FF_ARPT_SERIES('OPERATING INCOME / LOSS','ANN',2020,,'M','IS')),FF_EBIT_OPER(ANN,2020)),FE_ESTIMATE(EBIT_ADJ,MEAN,ANN_ROLL,2020,NOW,,,''))":1015.86774,"CRM^IF(P_DATE(0,,,\"DATEN\")>FE_ESTIMATE_DATE(RPT_DATE,,ANN_ROLL,2020,'YYYYMMDD',0,,,''),AVAIL(AVAIL(FF_ADJ_EBIT(ANN,2020),FF_ARPT_SERIES('OPERATING INCOME / LOSS','ANN',2020,,'M','IS')),FF_EBIT_OPER(ANN,2020)),FE_ESTIMATE(EBIT_ADJ,MEAN,ANN_ROLL,2020,NOW,,,''))":3748.2544,"DELL^FE_ESTIMATE(EBITDA_ADJ,MEAN,ANN_ROLL,2020,NOW,,,'')":12178.75,"CARB^FE_ESTIMATE(EBITDA_ADJ,MEAN,ANN_ROLL,2020,NOW,,,'')":157.6765,"CLDR^FE_ESTIMATE(EBITDA_ADJ,MEAN,ANN_ROLL,2020,NOW,,,'')":141.4308,"CSOD^FE_ESTIMATE(EBITDA_ADJ,MEAN,ANN_ROLL,2020,NOW,,,'')":176.424,"PFPT^FE_ESTIMATE(EBITDA_ADJ,MEAN,ANN_ROLL,2020,NOW,,,'')":182.14423,"WDAY^FE_ESTIMATE(EBITDA_ADJ,MEAN,ANN_ROLL,2020,NOW,,,'')":859.2455,"NOW^FE_ESTIMATE(EBITDA_ADJ,MEAN,ANN_ROLL,2020,NOW,,,'')":1206.595,"CRM^FE_ESTIMATE(EBITDA_ADJ,MEAN,ANN_ROLL,2020,NOW,,,'')":4566.4297,"CARB^IF(P_DATE(0,,,\"DATEN\")>FE_ESTIMATE_DATE(RPT_DATE,,ANN_ROLL,2020,'YYYYMMDD',0,,,''),AVAIL(AVAIL(FF_ADJ_EBITDA(ANN,2020),FF_ARPT_SERIES('ADJUSTED EBITDA','ANN',2020,,'M','NG-IS')),FF_EBITDA_OPER(ANN,2020)),FE_ESTIMATE(EBITDA_ADJ,MEAN,ANN_ROLL,2020,NOW,,,''))":157.6765,"CLDR^IF(P_DATE(0,,,\"DATEN\")>FE_ESTIMATE_DATE(RPT_DATE,,ANN_ROLL,2020,'YYYYMMDD',0,,,''),AVAIL(AVAIL(FF_ADJ_EBITDA(ANN,2020),FF_ARPT_SERIES('ADJUSTED EBITDA','ANN',2020,,'M','NG-IS')),FF_EBITDA_OPER(ANN,2020)),FE_ESTIMATE(EBITDA_ADJ,MEAN,ANN_ROLL,2020,NOW,,,''))":141.4308,"CSOD^IF(P_DATE(0,,,\"DATEN\")>FE_ESTIMATE_DATE(RPT_DATE,,ANN_ROLL,2020,'YYYYMMDD',0,,,''),AVAIL(AVAIL(FF_ADJ_EBITDA(ANN,2020),FF_ARPT_SERIES('ADJUSTED EBITDA','ANN',2020,,'M','NG-IS')),FF_EBITDA_OPER(ANN,2020)),FE_ESTIMATE(EBITDA_ADJ,MEAN,ANN_ROLL,2020,NOW,,,''))":176.424,"PFPT^IF(P_DATE(0,,,\"DATEN\")>FE_ESTIMATE_DATE(RPT_DATE,,ANN_ROLL,2020,'YYYYMMDD',0,,,''),AVAIL(AVAIL(FF_ADJ_EBITDA(ANN,2020),FF_ARPT_SERIES('ADJUSTED EBITDA','ANN',2020,,'M','NG-IS')),FF_EBITDA_OPER(ANN,2020)),FE_ESTIMATE(EBITDA_ADJ,MEAN,ANN_ROLL,2020,NOW,,,''))":182.14423,"WDAY^IF(P_DATE(0,,,\"DATEN\")>FE_ESTIMATE_DATE(RPT_DATE,,ANN_ROLL,2020,'YYYYMMDD',0,,,''),AVAIL(AVAIL(FF_ADJ_EBITDA(ANN,2020),FF_ARPT_SERIES('ADJUSTED EBITDA','ANN',2020,,'M','NG-IS')),FF_EBITDA_OPER(ANN,2020)),FE_ESTIMATE(EBITDA_ADJ,MEAN,ANN_ROLL,2020,NOW,,,''))":859.2455,"NOW^IF(P_DATE(0,,,\"DATEN\")>FE_ESTIMATE_DATE(RPT_DATE,,ANN_ROLL,2020,'YYYYMMDD',0,,,''),AVAIL(AVAIL(FF_ADJ_EBITDA(ANN,2020),FF_ARPT_SERIES('ADJUSTED EBITDA','ANN',2020,,'M','NG-IS')),FF_EBITDA_OPER(ANN,2020)),FE_ESTIMATE(EBITDA_ADJ,MEAN,ANN_ROLL,2020,NOW,,,''))":1206.595,"CRM^IF(P_DATE(0,,,\"DATEN\")>FE_ESTIMATE_DATE(RPT_DATE,,ANN_ROLL,2020,'YYYYMMDD',0,,,''),AVAIL(AVAIL(FF_ADJ_EBITDA(ANN,2020),FF_ARPT_SERIES('ADJUSTED EBITDA','ANN',2020,,'M','NG-IS')),FF_EBITDA_OPER(ANN,2020)),FE_ESTIMATE(EBITDA_ADJ,MEAN,ANN_ROLL,2020,NOW,,,''))":4566.4297,"DELL^FE_ESTIMATE(FCF,MEAN,ANN_ROLL,2019,NOW,,,'')":6610.75,"CARB^FE_ESTIMATE(FCF,MEAN,ANN_ROLL,2019,NOW,,,'')":84.798,"CLDR^FE_ESTIMATE(FCF,MEAN,ANN_ROLL,2019,NOW,,,'')":-43.297546,"CSOD^FE_ESTIMATE(FCF,MEAN,ANN_ROLL,2019,NOW,,,'')":80.1548,"PFPT^FE_ESTIMATE(FCF,MEAN,ANN_ROLL,2019,NOW,,,'')":199.74078,"WDAY^FE_ESTIMATE(FCF,MEAN,ANN_ROLL,2019,NOW,,,'')":460.07254,"NOW^FE_ESTIMATE(FCF,MEAN,ANN_ROLL,2019,NOW,,,'')":961.0932,"CRM^FE_ESTIMATE(FCF,MEAN,ANN_ROLL,2019,NOW,,,'')":3434.9443,"CARB^IF(P_DATE(0,,,\"DATEN\")>FE_ESTIMATE_DATE(RPT_DATE,,ANN_ROLL,2019,'YYYYMMDD',0,,,''),FF_FREE_CF(ANN_R_FCF,2019),FE_ESTIMATE(FCF,MEAN,ANN_ROLL,2019,NOW,,,''))":84.798,"CLDR^IF(P_DATE(0,,,\"DATEN\")>FE_ESTIMATE_DATE(RPT_DATE,,ANN_ROLL,2019,'YYYYMMDD',0,,,''),FF_FREE_CF(ANN_R_FCF,2019),FE_ESTIMATE(FCF,MEAN,ANN_ROLL,2019,NOW,,,''))":-43.297546,"CSOD^IF(P_DATE(0,,,\"DATEN\")>FE_ESTIMATE_DATE(RPT_DATE,,ANN_ROLL,2019,'YYYYMMDD',0,,,''),FF_FREE_CF(ANN_R_FCF,2019),FE_ESTIMATE(FCF,MEAN,ANN_ROLL,2019,NOW,,,''))":80.1548,"PFPT^IF(P_DATE(0,,,\"DATEN\")>FE_ESTIMATE_DATE(RPT_DATE,,ANN_ROLL,2019,'YYYYMMDD',0,,,''),FF_FREE_CF(ANN_R_FCF,2019),FE_ESTIMATE(FCF,MEAN,ANN_ROLL,2019,NOW,,,''))":199.74078,"WDAY^IF(P_DATE(0,,,\"DATEN\")>FE_ESTIMATE_DATE(RPT_DATE,,ANN_ROLL,2019,'YYYYMMDD',0,,,''),FF_FREE_CF(ANN_R_FCF,2019),FE_ESTIMATE(FCF,MEAN,ANN_ROLL,2019,NOW,,,''))":460.07254,"NOW^IF(P_DATE(0,,,\"DATEN\")>FE_ESTIMATE_DATE(RPT_DATE,,ANN_ROLL,2019,'YYYYMMDD',0,,,''),FF_FREE_CF(ANN_R_FCF,2019),FE_ESTIMATE(FCF,MEAN,ANN_ROLL,2019,NOW,,,''))":961.0932,"CRM^IF(P_DATE(0,,,\"DATEN\")>FE_ESTIMATE_DATE(RPT_DATE,,ANN_ROLL,2019,'YYYYMMDD',0,,,''),FF_FREE_CF(ANN_R_FCF,2019),FE_ESTIMATE(FCF,MEAN,ANN_ROLL,2019,NOW,,,''))":3434.9443,"DELL^IF(FE_ACTUAL(FLAG,FCF,ANN_ROLL,2019,,,,'')!=3,FE_ACTUAL(ACTUAL,FCF,ANN_ROLL,2019,,,,''),FLOAT_NA)":null,"CARB^IF(FE_ACTUAL(FLAG,FCF,ANN_ROLL,2019,,,,'')!=3,FE_ACTUAL(ACTUAL,FCF,ANN_ROLL,2019,,,,''),FLOAT_NA)":null,"CLDR^IF(FE_ACTUAL(FLAG,FCF,ANN_ROLL,2019,,,,'')!=3,FE_ACTUAL(ACTUAL,FCF,ANN_ROLL,2019,,,,''),FLOAT_NA)":null,"CSOD^IF(FE_ACTUAL(FLAG,FCF,ANN_ROLL,2019,,,,'')!=3,FE_ACTUAL(ACTUAL,FCF,ANN_ROLL,2019,,,,''),FLOAT_NA)":null,"PFPT^IF(FE_ACTUAL(FLAG,FCF,ANN_ROLL,2019,,,,'')!=3,FE_ACTUAL(ACTUAL,FCF,ANN_ROLL,2019,,,,''),FLOAT_NA)":null,"WDAY^IF(FE_ACTUAL(FLAG,FCF,ANN_ROLL,2019,,,,'')!=3,FE_ACTUAL(ACTUAL,FCF,ANN_ROLL,2019,,,,''),FLOAT_NA)":null,"NOW^IF(FE_ACTUAL(FLAG,FCF,ANN_ROLL,2019,,,,'')!=3,FE_ACTUAL(ACTUAL,FCF,ANN_ROLL,2019,,,,''),FLOAT_NA)":null,"CRM^IF(FE_ACTUAL(FLAG,FCF,ANN_ROLL,2019,,,,'')!=3,FE_ACTUAL(ACTUAL,FCF,ANN_ROLL,2019,,,,''),FLOAT_NA)":null,"DELL^FF_FREE_CF(ANN_FCF,2019)":5833.0,"CARB^FF_FREE_CF(ANN_FCF,2019)":40.458,"CLDR^FF_FREE_CF(ANN_FCF,2019)":24.187,"CSOD^FF_FREE_CF(ANN_FCF,2019)":75.206,"PFPT^FF_FREE_CF(ANN_FCF,2019)":155.222,"WDAY^FF_FREE_CF(ANN_FCF,2019)":404.151,"NOW^FF_FREE_CF(ANN_FCF,2019)":586.627,"CRM^FF_FREE_CF(ANN_FCF,2019)":2803.0,"DELL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ACTIVITIES','ANN',2019,,'M','CF'))":6991.0,"CARB^AVAIL(AVAIL(AVAIL(FF_ARPT_SERIES('NET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ACTIVITIES','ANN',2019,,'M','CF'))":53.59,"CLDR^AVAIL(AVAIL(AVAIL(FF_ARPT_SERIES('NET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ACTIVITIES','ANN',2019,,'M','CF'))":34.272999,"CSOD^AVAIL(AVAIL(AVAIL(FF_ARPT_SERIES('NET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ACTIVITIES','ANN',2019,,'M','CF'))":90.252998,"PFPT^AVAIL(AVAIL(AVAIL(FF_ARPT_SERIES('NET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ACTIVITIES','ANN',2019,,'M','CF'))":184.744003,"WDAY^AVAIL(AVAIL(AVAIL(FF_ARPT_SERIES('NET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ACTIVITIES','ANN',2019,,'M','CF'))":606.65802,"NOW^AVAIL(AVAIL(AVAIL(FF_ARPT_SERIES('NET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ACTIVITIES','ANN',2019,,'M','CF'))":811.088989,"CRM^AVAIL(AVAIL(AVAIL(FF_ARPT_SERIES('NET CASH PROVIDED BY OPERATING ACTIVITIES','ANN',2019,,'M','CF'),FF_ARPT_SERIES('NET CASH PROVIDED BY / USED IN OPERATING ACTIVITIES','ANN',2019,,'M','CF')),FF_ARPT_SERIES('NET CASH USED IN / PROVIDED BY OPERATING ACTIVITIES','ANN',2019,,'M','CF')),FF_ARPT_SERIES('CHANGE IN CASH FROM OPERATING ACTIVITIES','ANN',2019,,'M','CF'))":3398.0,"DELL^AVAIL(FF_ARPT_SERIES('GROSS MARGIN','ANN',2019,,'M','IS'),FF_ARPT_SERIES('GROSS PROFIT','ANN',2019,,'M','IS'))":25053.0,"CARB^AVAIL(FF_ARPT_SERIES('GROSS MARGIN','ANN',2019,,'M','IS'),FF_ARPT_SERIES('GROSS PROFIT','ANN',2019,,'M','IS'))":211.024994,"CLDR^AVAIL(FF_ARPT_SERIES('GROSS MARGIN','ANN',2019,,'M','IS'),FF_ARPT_SERIES('GROSS PROFIT','ANN',2019,,'M','IS'))":null,"CSOD^AVAIL(FF_ARPT_SERIES('GROSS MARGIN','ANN',2019,,'M','IS'),FF_ARPT_SERIES('GROSS PROFIT','ANN',2019,,'M','IS'))":393.541992,"PFPT^AVAIL(FF_ARPT_SERIES('GROSS MARGIN','ANN',2019,,'M','IS'),FF_ARPT_SERIES('GROSS PROFIT','ANN',2019,,'M','IS'))":515.232971,"WDAY^AVAIL(FF_ARPT_SERIES('GROSS MARGIN','ANN',2019,,'M','IS'),FF_ARPT_SERIES('GROSS PROFIT','ANN',2019,,'M','IS'))":null,"NOW^AVAIL(FF_ARPT_SERIES('GROSS MARGIN','ANN',2019,,'M','IS'),FF_ARPT_SERIES('GROSS PROFIT','ANN',2019,,'M','IS'))":1986.157959,"CRM^AVAIL(FF_ARPT_SERIES('GROSS MARGIN','ANN',2019,,'M','IS'),FF_ARPT_SERIES('GROSS PROFIT','ANN',2019,,'M','IS'))":9831.0,"DELL^AVAIL(FF_ARPT_SERIES('NON-GAAP GROSS MARGIN','ANN',2019,,'M','NG-IS'),FF_ARPT_SERIES('NON-GAAP GROSS PROFIT','ANN',2019,,'M','NG-IS'))":29022.0,"CARB^AVAIL(FF_ARPT_SERIES('NON-GAAP GROSS MARGIN','ANN',2019,,'M','NG-IS'),FF_ARPT_SERIES('NON-GAAP GROSS PROFIT','ANN',2019,,'M','NG-IS'))":233.763,"CLDR^AVAIL(FF_ARPT_SERIES('NON-GAAP GROSS MARGIN','ANN',2019,,'M','NG-IS'),FF_ARPT_SERIES('NON-GAAP GROSS PROFIT','ANN',2019,,'M','NG-IS'))":null,"CSOD^AVAIL(FF_ARPT_SERIES('NON-GAAP GROSS MARGIN','ANN',2019,,'M','NG-IS'),FF_ARPT_SERIES('NON-GAAP GROSS PROFIT','ANN',2019,,'M','NG-IS'))":398.592987,"PFPT^AVAIL(FF_ARPT_SERIES('NON-GAAP GROSS MARGIN','ANN',2019,,'M','NG-IS'),FF_ARPT_SERIES('NON-GAAP GROSS PROFIT','ANN',2019,,'M','NG-IS'))":558.502991,"WDAY^AVAIL(FF_ARPT_SERIES('NON-GAAP GROSS MARGIN','ANN',2019,,'M','NG-IS'),FF_ARPT_SERIES('NON-GAAP GROSS PROFIT','ANN',2019,,'M','NG-IS'))":null,"NOW^AVAIL(FF_ARPT_SERIES('NON-GAAP GROSS MARGIN','ANN',2019,,'M','NG-IS'),FF_ARPT_SERIES('NON-GAAP GROSS PROFIT','ANN',2019,,'M','NG-IS'))":2086.705078,"CRM^AVAIL(FF_ARPT_SERIES('NON-GAAP GROSS MARGIN','ANN',2019,,'M','NG-IS'),FF_ARPT_SERIES('NON-GAAP GROSS PROFIT','ANN',2019,,'M','NG-IS'))":10207.0,"DELL^FF_ADJ_GROSS_INC(ANN,2019)":29022.0,"CARB^FF_ADJ_GROSS_INC(ANN,2019)":233.763,"CLDR^FF_ADJ_GROSS_INC(ANN,2019)":null,"CSOD^FF_ADJ_GROSS_INC(ANN,2019)":398.593,"PFPT^FF_ADJ_GROSS_INC(ANN,2019)":558.503,"WDAY^FF_ADJ_GROSS_INC(ANN,2019)":null,"NOW^FF_ADJ_GROSS_INC(ANN,2019)":2086.705,"CRM^FF_ADJ_GROSS_INC(ANN,2019)":10207.0,"DELL^IF(FE_ACTUAL(FLAG,GROSS_INC,ANN_ROLL,2019,,,,'')!=3,FE_ACTUAL(ACTUAL,GROSS_INC,ANN_ROLL,2019,,,,''),FLOAT_NA)/IF(FE_ACTUAL(FLAG,SALES,ANN_ROLL,2019,,,,'')!=3,FE_ACTUAL(ACTUAL,SALES,ANN_ROLL,2019,,,,''),FLOAT_NA)":null,"CARB^IF(FE_ACTUAL(FLAG,GROSS_INC,ANN_ROLL,2019,,,,'')!=3,FE_ACTUAL(ACTUAL,GROSS_INC,ANN_ROLL,2019,,,,''),FLOAT_NA)/IF(FE_ACTUAL(FLAG,SALES,ANN_ROLL,2019,,,,'')!=3,FE_ACTUAL(ACTUAL,SALES,ANN_ROLL,2019,,,,''),FLOAT_NA)":null,"CLDR^IF(FE_ACTUAL(FLAG,GROSS_INC,ANN_ROLL,2019,,,,'')!=3,FE_ACTUAL(ACTUAL,GROSS_INC,ANN_ROLL,2019,,,,''),FLOAT_NA)/IF(FE_ACTUAL(FLAG,SALES,ANN_ROLL,2019,,,,'')!=3,FE_ACTUAL(ACTUAL,SALES,ANN_ROLL,2019,,,,''),FLOAT_NA)":null,"CSOD^IF(FE_ACTUAL(FLAG,GROSS_INC,ANN_ROLL,2019,,,,'')!=3,FE_ACTUAL(ACTUAL,GROSS_INC,ANN_ROLL,2019,,,,''),FLOAT_NA)/IF(FE_ACTUAL(FLAG,SALES,ANN_ROLL,2019,,,,'')!=3,FE_ACTUAL(ACTUAL,SALES,ANN_ROLL,2019,,,,''),FLOAT_NA)":null,"PFPT^IF(FE_ACTUAL(FLAG,GROSS_INC,ANN_ROLL,2019,,,,'')!=3,FE_ACTUAL(ACTUAL,GROSS_INC,ANN_ROLL,2019,,,,''),FLOAT_NA)/IF(FE_ACTUAL(FLAG,SALES,ANN_ROLL,2019,,,,'')!=3,FE_ACTUAL(ACTUAL,SALES,ANN_ROLL,2019,,,,''),FLOAT_NA)":null,"WDAY^IF(FE_ACTUAL(FLAG,GROSS_INC,ANN_ROLL,2019,,,,'')!=3,FE_ACTUAL(ACTUAL,GROSS_INC,ANN_ROLL,2019,,,,''),FLOAT_NA)/IF(FE_ACTUAL(FLAG,SALES,ANN_ROLL,2019,,,,'')!=3,FE_ACTUAL(ACTUAL,SALES,ANN_ROLL,2019,,,,''),FLOAT_NA)":null,"NOW^IF(FE_ACTUAL(FLAG,GROSS_INC,ANN_ROLL,2019,,,,'')!=3,FE_ACTUAL(ACTUAL,GROSS_INC,ANN_ROLL,2019,,,,''),FLOAT_NA)/IF(FE_ACTUAL(FLAG,SALES,ANN_ROLL,2019,,,,'')!=3,FE_ACTUAL(ACTUAL,SALES,ANN_ROLL,2019,,,,''),FLOAT_NA)":null,"CRM^IF(FE_ACTUAL(FLAG,GROSS_INC,ANN_ROLL,2019,,,,'')!=3,FE_ACTUAL(ACTUAL,GROSS_INC,ANN_ROLL,2019,,,,''),FLOAT_NA)/IF(FE_ACTUAL(FLAG,SALES,ANN_ROLL,2019,,,,'')!=3,FE_ACTUAL(ACTUAL,SALES,ANN_ROLL,2019,,,,''),FLOAT_NA)":null,"DELL^FE_VALUATION(GROSS_MARGIN,MEAN,ANN_ROLL,2019,0,,,'')/100":0.32030937,"CARB^FE_VALUATION(GROSS_MARGIN,MEAN,ANN_ROLL,2019,0,,,'')/100":0.83252585,"CLDR^FE_VALUATION(GROSS_MARGIN,MEAN,ANN_ROLL,2019,0,,,'')/100":0.75687903,"CSOD^FE_VALUATION(GROSS_MARGIN,MEAN,ANN_ROLL,2019,0,,,'')/100":0.757719,"PFPT^FE_VALUATION(GROSS_MARGIN,MEAN,ANN_ROLL,2019,0,,,'')/100":0.78154063,"WDAY^FE_VALUATION(GROSS_MARGIN,MEAN,ANN_ROLL,2019,0,,,'')/100":0.75371796,"NOW^FE_VALUATION(GROSS_MARGIN,MEAN,ANN_ROLL,2019,0,,,'')/100":0.811236,"CRM^FE_VALUATION(GROSS_MARGIN,MEAN,ANN_ROLL,2019,0,,,'')/100":0.7686584,"DELL^FF_GROSS_MGN(ANN,2019)/100":0.27484623213416509,"CARB^FF_GROSS_MGN(ANN,2019)/100":0.62369436722355664,"CLDR^FF_GROSS_MGN(ANN,2019)/100":0.70414696806482469,"CSOD^FF_GROSS_MGN(ANN,2019)/100":0.73163893800044988,"PFPT^FF_GROSS_MGN(ANN,2019)/100":0.69881616861507911,"WDAY^FF_GROSS_MGN(ANN,2019)/100":0.70488040401641183,"NOW^FF_GROSS_MGN(ANN,2019)/100":0.76132544418617476,"CRM^FF_GROSS_MGN(ANN,2019)/100":0.66721879235054959,"DELL^AVAIL(FF_ARPT_SERIES('GROSS MARGIN','ANN',2019,,'M','IS'),FF_ARPT_SERIES('GROSS PROFIT','ANN',2019,,'M','IS'))/FF_ARPT_SERIES('RV','ANN',2019,,'M','IS')":0.27645909888436448,"CARB^AVAIL(FF_ARPT_SERIES('GROSS MARGIN','ANN',2019,,'M','IS'),FF_ARPT_SERIES('GROSS PROFIT','ANN',2019,,'M','IS'))/FF_ARPT_SERIES('RV','ANN',2019,,'M','IS')":0.71194097702966785,"CLDR^AVAIL(FF_ARPT_SERIES('GROSS MARGIN','ANN',2019,,'M','IS'),FF_ARPT_SERIES('GROSS PROFIT','ANN',2019,,'M','IS'))/FF_ARPT_SERIES('RV','ANN',2019,,'M','IS')":null,"CSOD^AVAIL(FF_ARPT_SERIES('GROSS MARGIN','ANN',2019,,'M','IS'),FF_ARPT_SERIES('GROSS PROFIT','ANN',2019,,'M','IS'))/FF_ARPT_SERIES('RV','ANN',2019,,'M','IS')":0.73163893536934144,"PFPT^AVAIL(FF_ARPT_SERIES('GROSS MARGIN','ANN',2019,,'M','IS'),FF_ARPT_SERIES('GROSS PROFIT','ANN',2019,,'M','IS'))/FF_ARPT_SERIES('RV','ANN',2019,,'M','IS')":0.71860149087240854,"WDAY^AVAIL(FF_ARPT_SERIES('GROSS MARGIN','ANN',2019,,'M','IS'),FF_ARPT_SERIES('GROSS PROFIT','ANN',2019,,'M','IS'))/FF_ARPT_SERIES('RV','ANN',2019,,'M','IS')":null,"NOW^AVAIL(FF_ARPT_SERIES('GROSS MARGIN','ANN',2019,,'M','IS'),FF_ARPT_SERIES('GROSS PROFIT','ANN',2019,,'M','IS'))/FF_ARPT_SERIES('RV','ANN',2019,,'M','IS')":0.76132545240012606,"CRM^AVAIL(FF_ARPT_SERIES('GROSS MARGIN','ANN',2019,,'M','IS'),FF_ARPT_SERIES('GROSS PROFIT','ANN',2019,,'M','IS'))/FF_ARPT_SERIES('RV','ANN',2019,,'M','IS')":0.740174672489083,"DELL^AVAIL(FF_ARPT_SERIES('NON-GAAP GROSS MARGIN','ANN',2019,,'M','NG-IS'),FF_ARPT_SERIES('NON-GAAP GROSS PROFIT','ANN',2019,,'M','NG-IS'))/FF_ARPT_SERIES('NG-RV','ANN',2019,,'M','NG-IS')":0.31779159914151811,"CARB^AVAIL(FF_ARPT_SERIES('NON-GAAP GROSS MARGIN','ANN',2019,,'M','NG-IS'),FF_ARPT_SERIES('NON-GAAP GROSS PROFIT','ANN',2019,,'M','NG-IS'))/FF_ARPT_SERIES('NG-RV','ANN',2019,,'M','NG-IS')":0.77430865973723861,"CLDR^AVAIL(FF_ARPT_SERIES('NON-GAAP GROSS MARGIN','ANN',2019,,'M','NG-IS'),FF_ARPT_SERIES('NON-GAAP GROSS PROFIT','ANN',2019,,'M','NG-IS'))/FF_ARPT_SERIES('NG-RV','ANN',2019,,'M','NG-IS')":null,"CSOD^AVAIL(FF_ARPT_SERIES('NON-GAAP GROSS MARGIN','ANN',2019,,'M','NG-IS'),FF_ARPT_SERIES('NON-GAAP GROSS PROFIT','ANN',2019,,'M','NG-IS'))/FF_ARPT_SERIES('NG-RV','ANN',2019,,'M','NG-IS')":null,"PFPT^AVAIL(FF_ARPT_SERIES('NON-GAAP GROSS MARGIN','ANN',2019,,'M','NG-IS'),FF_ARPT_SERIES('NON-GAAP GROSS PROFIT','ANN',2019,,'M','NG-IS'))/FF_ARPT_SERIES('NG-RV','ANN',2019,,'M','NG-IS')":null,"WDAY^AVAIL(FF_ARPT_SERIES('NON-GAAP GROSS MARGIN','ANN',2019,,'M','NG-IS'),FF_ARPT_SERIES('NON-GAAP GROSS PROFIT','ANN',2019,,'M','NG-IS'))/FF_ARPT_SERIES('NG-RV','ANN',2019,,'M','NG-IS')":null,"NOW^AVAIL(FF_ARPT_SERIES('NON-GAAP GROSS MARGIN','ANN',2019,,'M','NG-IS'),FF_ARPT_SERIES('NON-GAAP GROSS PROFIT','ANN',2019,,'M','NG-IS'))/FF_ARPT_SERIES('NG-RV','ANN',2019,,'M','NG-IS')":0.67556379811384815,"CRM^AVAIL(FF_ARPT_SERIES('NON-GAAP GROSS MARGIN','ANN',2019,,'M','NG-IS'),FF_ARPT_SERIES('NON-GAAP GROSS PROFIT','ANN',2019,,'M','NG-IS'))/FF_ARPT_SERIES('NG-RV','ANN',2019,,'M','NG-IS')":null,"DELL^FF_ADJ_GROSS_INC(ANN,2019)/FF_ADJ_SALES(ANN,2019)":0.31779159914151811,"CARB^FF_ADJ_GROSS_INC(ANN,2019)/FF_ADJ_SALES(ANN,2019)":0.77430862639492015,"CLDR^FF_ADJ_GROSS_INC(ANN,2019)/FF_ADJ_SALES(ANN,2019)":null,"CSOD^FF_ADJ_GROSS_INC(ANN,2019)/FF_ADJ_SALES(ANN,2019)":null,"PFPT^FF_ADJ_GROSS_INC(ANN,2019)/FF_ADJ_SALES(ANN,2019)":null,"WDAY^FF_ADJ_GROSS_INC(ANN,2019)/FF_ADJ_SALES(ANN,2019)":null,"NOW^FF_ADJ_GROSS_INC(ANN,2019)/FF_ADJ_SALES(ANN,2019)":0.67556376433185972,"CRM^FF_ADJ_GROSS_INC(ANN,2019)/FF_ADJ_SALES(ANN,2019)":null,"CARB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0.83252585,"CLDR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0.75687903,"CSOD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0.757719,"PFPT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0.78154063,"WDAY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0.75371796,"NOW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0.811236,"CRM^IF(P_DATE(0,,,\"DATEN\")>FE_ESTIMATE_DATE(RPT_DATE,,ANN_ROLL,2019,'YYYYMMDD',0,,,''),AVAIL(AVAIL(FF_ADJ_GROSS_INC(ANN,2019)/FF_ADJ_SALES(ANN,2019),AVAIL(FF_ARPT_SERIES('GROSS MARGIN','ANN',2019,,'M','IS'),FF_ARPT_SERIES('GROSS PROFIT','ANN',2019,,'M','IS'))/FF_ARPT_SERIES('RV','ANN',2019,,'M','IS')),FF_GROSS_MGN(ANN,2019)),FE_VALUATION(GROSS_MARGIN,MEAN,ANN_ROLL,2019,0,,,'')/100)":0.7686584,"DELL^FE_ESTIMATE(FCF,MEAN,ANN_ROLL,2020,NOW,,,'')":6966.25,"CARB^FE_ESTIMATE(FCF,MEAN,ANN_ROLL,2020,NOW,,,'')":92.219666,"CLDR^FE_ESTIMATE(FCF,MEAN,ANN_ROLL,2020,NOW,,,'')":87.2903,"CSOD^FE_ESTIMATE(FCF,MEAN,ANN_ROLL,2020,NOW,,,'')":151.3294,"PFPT^FE_ESTIMATE(FCF,MEAN,ANN_ROLL,2020,NOW,,,'')":254.64627,"WDAY^FE_ESTIMATE(FCF,MEAN,ANN_ROLL,2020,NOW,,,'')":688.3027,"NOW^FE_ESTIMATE(FCF,MEAN,ANN_ROLL,2020,NOW,,,'')":1259.9253,"CRM^FE_ESTIMATE(FCF,MEAN,ANN_ROLL,2020,NOW,,,'')":4178.8584,"CARB^IF(P_DATE(0,,,\"DATEN\")>FE_ESTIMATE_DATE(RPT_DATE,,ANN_ROLL,2020,'YYYYMMDD',0,,,''),FF_FREE_CF(ANN_R_FCF,2020),FE_ESTIMATE(FCF,MEAN,ANN_ROLL,2020,NOW,,,''))":92.219666,"CLDR^IF(P_DATE(0,,,\"DATEN\")>FE_ESTIMATE_DATE(RPT_DATE,,ANN_ROLL,2020,'YYYYMMDD',0,,,''),FF_FREE_CF(ANN_R_FCF,2020),FE_ESTIMATE(FCF,MEAN,ANN_ROLL,2020,NOW,,,''))":87.2903,"CSOD^IF(P_DATE(0,,,\"DATEN\")>FE_ESTIMATE_DATE(RPT_DATE,,ANN_ROLL,2020,'YYYYMMDD',0,,,''),FF_FREE_CF(ANN_R_FCF,2020),FE_ESTIMATE(FCF,MEAN,ANN_ROLL,2020,NOW,,,''))":151.3294,"PFPT^IF(P_DATE(0,,,\"DATEN\")>FE_ESTIMATE_DATE(RPT_DATE,,ANN_ROLL,2020,'YYYYMMDD',0,,,''),FF_FREE_CF(ANN_R_FCF,2020),FE_ESTIMATE(FCF,MEAN,ANN_ROLL,2020,NOW,,,''))":254.64627,"WDAY^IF(P_DATE(0,,,\"DATEN\")>FE_ESTIMATE_DATE(RPT_DATE,,ANN_ROLL,2020,'YYYYMMDD',0,,,''),FF_FREE_CF(ANN_R_FCF,2020),FE_ESTIMATE(FCF,MEAN,ANN_ROLL,2020,NOW,,,''))":688.3027,"NOW^IF(P_DATE(0,,,\"DATEN\")>FE_ESTIMATE_DATE(RPT_DATE,,ANN_ROLL,2020,'YYYYMMDD',0,,,''),FF_FREE_CF(ANN_R_FCF,2020),FE_ESTIMATE(FCF,MEAN,ANN_ROLL,2020,NOW,,,''))":1259.9253,"CRM^IF(P_DATE(0,,,\"DATEN\")>FE_ESTIMATE_DATE(RPT_DATE,,ANN_ROLL,2020,'YYYYMMDD',0,,,''),FF_FREE_CF(ANN_R_FCF,2020),FE_ESTIMATE(FCF,MEAN,ANN_ROLL,2020,NOW,,,''))":4178.8584}]]></FdsFormulaCache>
</file>

<file path=customXml/itemProps1.xml><?xml version="1.0" encoding="utf-8"?>
<ds:datastoreItem xmlns:ds="http://schemas.openxmlformats.org/officeDocument/2006/customXml" ds:itemID="{5491D20B-0114-46EB-99D7-3A545D0FFB4C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Master Inputs</vt:lpstr>
      <vt:lpstr>Cap Table</vt:lpstr>
      <vt:lpstr>Exit &amp; Liquidation Analysis</vt:lpstr>
      <vt:lpstr>Exit Format</vt:lpstr>
      <vt:lpstr>Financing Format</vt:lpstr>
      <vt:lpstr>Financial STD</vt:lpstr>
      <vt:lpstr>Financial XaaS</vt:lpstr>
      <vt:lpstr>NoPlay-Cap Table</vt:lpstr>
      <vt:lpstr>Transaction Expenses</vt:lpstr>
      <vt:lpstr>Seniority</vt:lpstr>
      <vt:lpstr>NoPlaySeniority</vt:lpstr>
      <vt:lpstr>Sensitized Returns</vt:lpstr>
      <vt:lpstr>Return Waterfall</vt:lpstr>
      <vt:lpstr>Public Comps - CB Insights</vt:lpstr>
      <vt:lpstr>Public Comps</vt:lpstr>
      <vt:lpstr>Exit Comps</vt:lpstr>
      <vt:lpstr>Recent Financings</vt:lpstr>
      <vt:lpstr>Charts</vt:lpstr>
      <vt:lpstr>Copy&amp;Paste</vt:lpstr>
      <vt:lpstr>Locator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Wexler, Ryan</dc:creator>
  <cp:keywords/>
  <dc:description/>
  <cp:lastModifiedBy>Goel, Keshav</cp:lastModifiedBy>
  <cp:revision/>
  <dcterms:created xsi:type="dcterms:W3CDTF">2019-03-25T15:53:28Z</dcterms:created>
  <dcterms:modified xsi:type="dcterms:W3CDTF">2026-03-24T16:22:04Z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MSIP_Label_7de70ee2-0cb4-4d60-aee5-75ef2c4c8a90_Enabled">
    <vt:lpwstr>True</vt:lpwstr>
  </property>
  <property fmtid="{D5CDD505-2E9C-101B-9397-08002B2CF9AE}" pid="4" name="MSIP_Label_7de70ee2-0cb4-4d60-aee5-75ef2c4c8a90_SiteId">
    <vt:lpwstr>945c199a-83a2-4e80-9f8c-5a91be5752dd</vt:lpwstr>
  </property>
  <property fmtid="{D5CDD505-2E9C-101B-9397-08002B2CF9AE}" pid="5" name="MSIP_Label_7de70ee2-0cb4-4d60-aee5-75ef2c4c8a90_Owner">
    <vt:lpwstr>Diana.Kontsevaia@emc.com</vt:lpwstr>
  </property>
  <property fmtid="{D5CDD505-2E9C-101B-9397-08002B2CF9AE}" pid="6" name="MSIP_Label_7de70ee2-0cb4-4d60-aee5-75ef2c4c8a90_SetDate">
    <vt:lpwstr>2019-10-18T21:24:33.9938249Z</vt:lpwstr>
  </property>
  <property fmtid="{D5CDD505-2E9C-101B-9397-08002B2CF9AE}" pid="7" name="MSIP_Label_7de70ee2-0cb4-4d60-aee5-75ef2c4c8a90_Name">
    <vt:lpwstr>Internal Use</vt:lpwstr>
  </property>
  <property fmtid="{D5CDD505-2E9C-101B-9397-08002B2CF9AE}" pid="8" name="MSIP_Label_7de70ee2-0cb4-4d60-aee5-75ef2c4c8a90_Application">
    <vt:lpwstr>Microsoft Azure Information Protection</vt:lpwstr>
  </property>
  <property fmtid="{D5CDD505-2E9C-101B-9397-08002B2CF9AE}" pid="9" name="MSIP_Label_7de70ee2-0cb4-4d60-aee5-75ef2c4c8a90_Extended_MSFT_Method">
    <vt:lpwstr>Manual</vt:lpwstr>
  </property>
  <property fmtid="{D5CDD505-2E9C-101B-9397-08002B2CF9AE}" pid="10" name="MSIP_Label_da6fab74-d5af-4af7-a9a4-78d84655a626_Enabled">
    <vt:lpwstr>True</vt:lpwstr>
  </property>
  <property fmtid="{D5CDD505-2E9C-101B-9397-08002B2CF9AE}" pid="11" name="MSIP_Label_da6fab74-d5af-4af7-a9a4-78d84655a626_SiteId">
    <vt:lpwstr>945c199a-83a2-4e80-9f8c-5a91be5752dd</vt:lpwstr>
  </property>
  <property fmtid="{D5CDD505-2E9C-101B-9397-08002B2CF9AE}" pid="12" name="MSIP_Label_da6fab74-d5af-4af7-a9a4-78d84655a626_Owner">
    <vt:lpwstr>Diana.Kontsevaia@emc.com</vt:lpwstr>
  </property>
  <property fmtid="{D5CDD505-2E9C-101B-9397-08002B2CF9AE}" pid="13" name="MSIP_Label_da6fab74-d5af-4af7-a9a4-78d84655a626_SetDate">
    <vt:lpwstr>2019-10-18T21:24:33.9938249Z</vt:lpwstr>
  </property>
  <property fmtid="{D5CDD505-2E9C-101B-9397-08002B2CF9AE}" pid="14" name="MSIP_Label_da6fab74-d5af-4af7-a9a4-78d84655a626_Name">
    <vt:lpwstr>Visual Marking</vt:lpwstr>
  </property>
  <property fmtid="{D5CDD505-2E9C-101B-9397-08002B2CF9AE}" pid="15" name="MSIP_Label_da6fab74-d5af-4af7-a9a4-78d84655a626_Application">
    <vt:lpwstr>Microsoft Azure Information Protection</vt:lpwstr>
  </property>
  <property fmtid="{D5CDD505-2E9C-101B-9397-08002B2CF9AE}" pid="16" name="MSIP_Label_da6fab74-d5af-4af7-a9a4-78d84655a626_Parent">
    <vt:lpwstr>7de70ee2-0cb4-4d60-aee5-75ef2c4c8a90</vt:lpwstr>
  </property>
  <property fmtid="{D5CDD505-2E9C-101B-9397-08002B2CF9AE}" pid="17" name="MSIP_Label_da6fab74-d5af-4af7-a9a4-78d84655a626_Extended_MSFT_Method">
    <vt:lpwstr>Manual</vt:lpwstr>
  </property>
  <property fmtid="{D5CDD505-2E9C-101B-9397-08002B2CF9AE}" pid="18" name="aiplabel">
    <vt:lpwstr>Internal Use Visual Marking</vt:lpwstr>
  </property>
</Properties>
</file>