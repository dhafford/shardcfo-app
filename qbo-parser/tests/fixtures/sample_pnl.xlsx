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afford/Downloads/"/>
    </mc:Choice>
  </mc:AlternateContent>
  <xr:revisionPtr revIDLastSave="0" documentId="13_ncr:1_{F1BB5D41-65A1-7445-8AFB-6674C745EFCA}" xr6:coauthVersionLast="47" xr6:coauthVersionMax="47" xr10:uidLastSave="{00000000-0000-0000-0000-000000000000}"/>
  <bookViews>
    <workbookView xWindow="1140" yWindow="4420" windowWidth="27240" windowHeight="16180" xr2:uid="{FB4C785C-079B-7643-8593-A1A855E586C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F65" i="1" s="1"/>
  <c r="E64" i="1"/>
  <c r="E65" i="1" s="1"/>
  <c r="D64" i="1"/>
  <c r="D65" i="1" s="1"/>
  <c r="C64" i="1"/>
  <c r="C65" i="1" s="1"/>
  <c r="B64" i="1"/>
  <c r="B65" i="1" s="1"/>
  <c r="B66" i="1" s="1"/>
  <c r="F62" i="1"/>
  <c r="E62" i="1"/>
  <c r="C62" i="1"/>
  <c r="B62" i="1"/>
  <c r="D61" i="1"/>
  <c r="D62" i="1" s="1"/>
  <c r="D66" i="1" s="1"/>
  <c r="F56" i="1"/>
  <c r="E56" i="1"/>
  <c r="D56" i="1"/>
  <c r="C56" i="1"/>
  <c r="B56" i="1"/>
  <c r="F55" i="1"/>
  <c r="E55" i="1"/>
  <c r="F54" i="1"/>
  <c r="E54" i="1"/>
  <c r="D54" i="1"/>
  <c r="C54" i="1"/>
  <c r="B54" i="1"/>
  <c r="F53" i="1"/>
  <c r="E53" i="1"/>
  <c r="D53" i="1"/>
  <c r="C53" i="1"/>
  <c r="B53" i="1"/>
  <c r="F52" i="1"/>
  <c r="C52" i="1"/>
  <c r="F51" i="1"/>
  <c r="E51" i="1"/>
  <c r="D51" i="1"/>
  <c r="C51" i="1"/>
  <c r="B51" i="1"/>
  <c r="F50" i="1"/>
  <c r="E50" i="1"/>
  <c r="D50" i="1"/>
  <c r="C50" i="1"/>
  <c r="B50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E49" i="1" s="1"/>
  <c r="D44" i="1"/>
  <c r="C44" i="1"/>
  <c r="B44" i="1"/>
  <c r="F42" i="1"/>
  <c r="E42" i="1"/>
  <c r="D42" i="1"/>
  <c r="C42" i="1"/>
  <c r="F41" i="1"/>
  <c r="E41" i="1"/>
  <c r="D41" i="1"/>
  <c r="C41" i="1"/>
  <c r="B41" i="1"/>
  <c r="F40" i="1"/>
  <c r="E40" i="1"/>
  <c r="D40" i="1"/>
  <c r="C40" i="1"/>
  <c r="B40" i="1"/>
  <c r="C39" i="1"/>
  <c r="B39" i="1"/>
  <c r="F38" i="1"/>
  <c r="E38" i="1"/>
  <c r="D38" i="1"/>
  <c r="C38" i="1"/>
  <c r="B38" i="1"/>
  <c r="F37" i="1"/>
  <c r="E37" i="1"/>
  <c r="D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2" i="1"/>
  <c r="E32" i="1"/>
  <c r="D32" i="1"/>
  <c r="C32" i="1"/>
  <c r="E31" i="1"/>
  <c r="D31" i="1"/>
  <c r="C31" i="1"/>
  <c r="B31" i="1"/>
  <c r="F30" i="1"/>
  <c r="E30" i="1"/>
  <c r="D30" i="1"/>
  <c r="C30" i="1"/>
  <c r="B30" i="1"/>
  <c r="F29" i="1"/>
  <c r="E29" i="1"/>
  <c r="E33" i="1" s="1"/>
  <c r="B29" i="1"/>
  <c r="E28" i="1"/>
  <c r="C28" i="1"/>
  <c r="B28" i="1"/>
  <c r="F27" i="1"/>
  <c r="E27" i="1"/>
  <c r="D27" i="1"/>
  <c r="C27" i="1"/>
  <c r="B27" i="1"/>
  <c r="F26" i="1"/>
  <c r="C25" i="1"/>
  <c r="B25" i="1"/>
  <c r="F24" i="1"/>
  <c r="E24" i="1"/>
  <c r="D24" i="1"/>
  <c r="C24" i="1"/>
  <c r="B24" i="1"/>
  <c r="F22" i="1"/>
  <c r="E22" i="1"/>
  <c r="D22" i="1"/>
  <c r="D33" i="1" s="1"/>
  <c r="C22" i="1"/>
  <c r="C33" i="1" s="1"/>
  <c r="B22" i="1"/>
  <c r="F21" i="1"/>
  <c r="F33" i="1" s="1"/>
  <c r="B21" i="1"/>
  <c r="B33" i="1" s="1"/>
  <c r="F16" i="1"/>
  <c r="E16" i="1"/>
  <c r="D16" i="1"/>
  <c r="C16" i="1"/>
  <c r="F15" i="1"/>
  <c r="E14" i="1"/>
  <c r="D14" i="1"/>
  <c r="B14" i="1"/>
  <c r="E13" i="1"/>
  <c r="D13" i="1"/>
  <c r="C13" i="1"/>
  <c r="C17" i="1" s="1"/>
  <c r="B13" i="1"/>
  <c r="F12" i="1"/>
  <c r="E12" i="1"/>
  <c r="D12" i="1"/>
  <c r="C12" i="1"/>
  <c r="B12" i="1"/>
  <c r="F11" i="1"/>
  <c r="E11" i="1"/>
  <c r="D11" i="1"/>
  <c r="C11" i="1"/>
  <c r="B11" i="1"/>
  <c r="F9" i="1"/>
  <c r="E9" i="1"/>
  <c r="E8" i="1"/>
  <c r="F7" i="1"/>
  <c r="E7" i="1"/>
  <c r="D7" i="1"/>
  <c r="D9" i="1" s="1"/>
  <c r="C7" i="1"/>
  <c r="C9" i="1" s="1"/>
  <c r="B7" i="1"/>
  <c r="B9" i="1" s="1"/>
  <c r="C18" i="1" l="1"/>
  <c r="C66" i="1"/>
  <c r="E66" i="1"/>
  <c r="B17" i="1"/>
  <c r="B18" i="1" s="1"/>
  <c r="F66" i="1"/>
  <c r="B49" i="1"/>
  <c r="D49" i="1"/>
  <c r="D58" i="1" s="1"/>
  <c r="C49" i="1"/>
  <c r="C58" i="1" s="1"/>
  <c r="C59" i="1" s="1"/>
  <c r="C67" i="1" s="1"/>
  <c r="F58" i="1"/>
  <c r="D17" i="1"/>
  <c r="E17" i="1"/>
  <c r="F17" i="1"/>
  <c r="F18" i="1" s="1"/>
  <c r="F49" i="1"/>
  <c r="E18" i="1"/>
  <c r="D18" i="1"/>
  <c r="B58" i="1"/>
  <c r="E58" i="1"/>
  <c r="B59" i="1" l="1"/>
  <c r="B67" i="1" s="1"/>
  <c r="D59" i="1"/>
  <c r="D67" i="1" s="1"/>
  <c r="F59" i="1"/>
  <c r="F67" i="1" s="1"/>
  <c r="E59" i="1"/>
  <c r="E67" i="1" s="1"/>
</calcChain>
</file>

<file path=xl/sharedStrings.xml><?xml version="1.0" encoding="utf-8"?>
<sst xmlns="http://schemas.openxmlformats.org/spreadsheetml/2006/main" count="65" uniqueCount="65">
  <si>
    <t>Riptide Waters LLC</t>
  </si>
  <si>
    <t>Profit and Loss</t>
  </si>
  <si>
    <t>January - May, 2019</t>
  </si>
  <si>
    <t>Income</t>
  </si>
  <si>
    <t xml:space="preserve">   41000 Sales</t>
  </si>
  <si>
    <t xml:space="preserve">   49999 Uncategorized Income</t>
  </si>
  <si>
    <t>Total Income</t>
  </si>
  <si>
    <t>Cost of Goods Sold</t>
  </si>
  <si>
    <t xml:space="preserve">   51000 Production COGS</t>
  </si>
  <si>
    <t xml:space="preserve">   53000 HEB Shelf Fee</t>
  </si>
  <si>
    <t xml:space="preserve">   54000 HEB Coupon Fee</t>
  </si>
  <si>
    <t xml:space="preserve">   56000 HEB Credits</t>
  </si>
  <si>
    <t xml:space="preserve">   57000 Other Costs of Services - COS</t>
  </si>
  <si>
    <t xml:space="preserve">   59000 Shipping and Delivery</t>
  </si>
  <si>
    <t>Total Cost of Goods Sold</t>
  </si>
  <si>
    <t>Gross Profit</t>
  </si>
  <si>
    <t>Expenses</t>
  </si>
  <si>
    <t xml:space="preserve">   61000 Advertising &amp; Marketing</t>
  </si>
  <si>
    <t xml:space="preserve">      Advertising/Online</t>
  </si>
  <si>
    <t xml:space="preserve">      Advertising/Print</t>
  </si>
  <si>
    <t xml:space="preserve">      Advertising/Radio and TV</t>
  </si>
  <si>
    <t xml:space="preserve">      Agency</t>
  </si>
  <si>
    <t xml:space="preserve">      Events</t>
  </si>
  <si>
    <t xml:space="preserve">      Marketing</t>
  </si>
  <si>
    <t xml:space="preserve">      Merchandise</t>
  </si>
  <si>
    <t xml:space="preserve">      PR</t>
  </si>
  <si>
    <t xml:space="preserve">      Product Demos</t>
  </si>
  <si>
    <t xml:space="preserve">      Product Donations</t>
  </si>
  <si>
    <t xml:space="preserve">      Social Media</t>
  </si>
  <si>
    <t xml:space="preserve">      Sponsorship</t>
  </si>
  <si>
    <t xml:space="preserve">   Total 61000 Advertising &amp; Marketing</t>
  </si>
  <si>
    <t xml:space="preserve">   61250 Bank Charges &amp; Fees</t>
  </si>
  <si>
    <t xml:space="preserve">   62000 Computer and Internet Expenses</t>
  </si>
  <si>
    <t xml:space="preserve">   62750 Equipment Rental</t>
  </si>
  <si>
    <t xml:space="preserve">   63000 Insurance</t>
  </si>
  <si>
    <t xml:space="preserve">   63500 Legal &amp; Professional Services</t>
  </si>
  <si>
    <t xml:space="preserve">   63750 Licenses and Permits</t>
  </si>
  <si>
    <t xml:space="preserve">   64000 Meals</t>
  </si>
  <si>
    <t xml:space="preserve">   65000 Office Supplies/Expenses</t>
  </si>
  <si>
    <t xml:space="preserve">   65500 Parking</t>
  </si>
  <si>
    <t xml:space="preserve">   66000 Payroll Expenses</t>
  </si>
  <si>
    <t xml:space="preserve">      Contractors</t>
  </si>
  <si>
    <t xml:space="preserve">      Mileage Reimbursement</t>
  </si>
  <si>
    <t xml:space="preserve">      Payroll Processing</t>
  </si>
  <si>
    <t xml:space="preserve">      Salary and Wages</t>
  </si>
  <si>
    <t xml:space="preserve">      Taxes</t>
  </si>
  <si>
    <t xml:space="preserve">   Total 66000 Payroll Expenses</t>
  </si>
  <si>
    <t xml:space="preserve">   66250 QuickBooks Payments Fees</t>
  </si>
  <si>
    <t xml:space="preserve">   67000 Rent &amp; Lease</t>
  </si>
  <si>
    <t xml:space="preserve">   67500 Research and Development</t>
  </si>
  <si>
    <t xml:space="preserve">   68250 Telecommunications</t>
  </si>
  <si>
    <t xml:space="preserve">   69000 Travel</t>
  </si>
  <si>
    <t xml:space="preserve">   69250 Utilities</t>
  </si>
  <si>
    <t xml:space="preserve">   69500 Vehicle Expenses</t>
  </si>
  <si>
    <t xml:space="preserve">   Other</t>
  </si>
  <si>
    <t>Total Expenses</t>
  </si>
  <si>
    <t>Net Operating Income</t>
  </si>
  <si>
    <t>Other Income</t>
  </si>
  <si>
    <t xml:space="preserve">   71000 Interest Earned</t>
  </si>
  <si>
    <t>Total Other Income</t>
  </si>
  <si>
    <t>Other Expenses</t>
  </si>
  <si>
    <t xml:space="preserve">   80000 Management Fees</t>
  </si>
  <si>
    <t>Total Other Expenses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</si>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</sst>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8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rgb="FFFF0000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4" fillId="2" borderId="0" xfId="1" applyFont="1" applyFill="1"/>
    <xf numFmtId="0" fontId="1" fillId="0" borderId="0" xfId="1" applyAlignment="1">
      <alignment wrapText="1"/>
    </xf>
    <xf numFmtId="17" fontId="5" fillId="0" borderId="1" xfId="1" applyNumberFormat="1" applyFont="1" applyBorder="1" applyAlignment="1">
      <alignment horizontal="center" wrapText="1"/>
    </xf>
    <xf numFmtId="0" fontId="6" fillId="0" borderId="0" xfId="1" applyFont="1" applyAlignment="1">
      <alignment horizontal="left" wrapText="1"/>
    </xf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right" wrapText="1"/>
    </xf>
    <xf numFmtId="164" fontId="7" fillId="3" borderId="0" xfId="1" applyNumberFormat="1" applyFont="1" applyFill="1" applyAlignment="1">
      <alignment horizontal="right" wrapText="1"/>
    </xf>
    <xf numFmtId="164" fontId="7" fillId="3" borderId="0" xfId="1" applyNumberFormat="1" applyFont="1" applyFill="1" applyAlignment="1">
      <alignment wrapText="1"/>
    </xf>
    <xf numFmtId="165" fontId="6" fillId="0" borderId="2" xfId="1" applyNumberFormat="1" applyFont="1" applyBorder="1" applyAlignment="1">
      <alignment horizontal="right" wrapText="1"/>
    </xf>
    <xf numFmtId="165" fontId="6" fillId="3" borderId="2" xfId="1" applyNumberFormat="1" applyFont="1" applyFill="1" applyBorder="1" applyAlignment="1">
      <alignment horizontal="right" wrapText="1"/>
    </xf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</cellXfs>
  <cellStyles count="2">
    <cellStyle name="Normal" xfId="0" builtinId="0"/>
    <cellStyle name="Normal 5" xfId="1" xr:uid="{F83AC9E7-88D4-8944-9E45-D8E69A356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609C-27F5-DA49-B5BD-05EF097D7C1C}">
  <dimension ref="A1:H68"/>
  <sheetViews>
    <sheetView tabSelected="1" workbookViewId="0">
      <selection activeCell="I14" sqref="I14:S31"/>
    </sheetView>
  </sheetViews>
  <sheetFormatPr baseColWidth="10" defaultColWidth="9" defaultRowHeight="15" x14ac:dyDescent="0.2"/>
  <cols>
    <col min="1" max="1" width="30" style="1" customWidth="1"/>
    <col min="2" max="8" width="11.6640625" style="1" customWidth="1"/>
    <col min="9" max="16384" width="9" style="1"/>
  </cols>
  <sheetData>
    <row r="1" spans="1:8" ht="18" x14ac:dyDescent="0.2">
      <c r="A1" s="12" t="s">
        <v>0</v>
      </c>
      <c r="B1" s="13"/>
      <c r="C1" s="13"/>
      <c r="D1" s="13"/>
      <c r="E1" s="13"/>
      <c r="F1" s="13"/>
      <c r="G1" s="13"/>
    </row>
    <row r="2" spans="1:8" ht="18" x14ac:dyDescent="0.2">
      <c r="A2" s="12" t="s">
        <v>1</v>
      </c>
      <c r="B2" s="13"/>
      <c r="C2" s="13"/>
      <c r="D2" s="13"/>
      <c r="E2" s="13"/>
      <c r="F2" s="13"/>
      <c r="G2" s="13"/>
    </row>
    <row r="3" spans="1:8" x14ac:dyDescent="0.2">
      <c r="A3" s="14" t="s">
        <v>2</v>
      </c>
      <c r="B3" s="13"/>
      <c r="C3" s="13"/>
      <c r="D3" s="13"/>
      <c r="E3" s="13"/>
      <c r="F3" s="13"/>
      <c r="G3" s="13"/>
    </row>
    <row r="4" spans="1:8" x14ac:dyDescent="0.2">
      <c r="G4" s="2"/>
    </row>
    <row r="5" spans="1:8" x14ac:dyDescent="0.2">
      <c r="A5" s="3"/>
      <c r="B5" s="4">
        <v>43466</v>
      </c>
      <c r="C5" s="4">
        <v>43497</v>
      </c>
      <c r="D5" s="4">
        <v>43525</v>
      </c>
      <c r="E5" s="4">
        <v>43556</v>
      </c>
      <c r="F5" s="4">
        <v>43586</v>
      </c>
      <c r="G5" s="4">
        <v>43617</v>
      </c>
      <c r="H5" s="4">
        <v>43647</v>
      </c>
    </row>
    <row r="6" spans="1:8" x14ac:dyDescent="0.2">
      <c r="A6" s="5" t="s">
        <v>3</v>
      </c>
      <c r="B6" s="6"/>
      <c r="C6" s="6"/>
      <c r="D6" s="6"/>
      <c r="E6" s="6"/>
      <c r="F6" s="6"/>
      <c r="G6" s="6"/>
      <c r="H6" s="6"/>
    </row>
    <row r="7" spans="1:8" x14ac:dyDescent="0.2">
      <c r="A7" s="5" t="s">
        <v>4</v>
      </c>
      <c r="B7" s="7">
        <f>20701.02</f>
        <v>20701.02</v>
      </c>
      <c r="C7" s="7">
        <f>41203.03</f>
        <v>41203.03</v>
      </c>
      <c r="D7" s="7">
        <f>40433.48</f>
        <v>40433.480000000003</v>
      </c>
      <c r="E7" s="7">
        <f>24276.43</f>
        <v>24276.43</v>
      </c>
      <c r="F7" s="7">
        <f>18935</f>
        <v>18935</v>
      </c>
      <c r="G7" s="8">
        <v>36178.880000000005</v>
      </c>
      <c r="H7" s="7">
        <v>21415</v>
      </c>
    </row>
    <row r="8" spans="1:8" x14ac:dyDescent="0.2">
      <c r="A8" s="5" t="s">
        <v>5</v>
      </c>
      <c r="B8" s="6"/>
      <c r="C8" s="6"/>
      <c r="D8" s="6"/>
      <c r="E8" s="7">
        <f>66.01</f>
        <v>66.010000000000005</v>
      </c>
      <c r="F8" s="6"/>
      <c r="G8" s="9">
        <v>-66.010000000000005</v>
      </c>
      <c r="H8" s="6">
        <v>0</v>
      </c>
    </row>
    <row r="9" spans="1:8" x14ac:dyDescent="0.2">
      <c r="A9" s="5" t="s">
        <v>6</v>
      </c>
      <c r="B9" s="10">
        <f>(B7)+(B8)</f>
        <v>20701.02</v>
      </c>
      <c r="C9" s="10">
        <f>(C7)+(C8)</f>
        <v>41203.03</v>
      </c>
      <c r="D9" s="10">
        <f>(D7)+(D8)</f>
        <v>40433.480000000003</v>
      </c>
      <c r="E9" s="10">
        <f>(E7)+(E8)</f>
        <v>24342.44</v>
      </c>
      <c r="F9" s="10">
        <f>(F7)+(F8)</f>
        <v>18935</v>
      </c>
      <c r="G9" s="11">
        <v>36112.869999999995</v>
      </c>
      <c r="H9" s="10">
        <v>21415</v>
      </c>
    </row>
    <row r="10" spans="1:8" x14ac:dyDescent="0.2">
      <c r="A10" s="5" t="s">
        <v>7</v>
      </c>
      <c r="B10" s="6"/>
      <c r="C10" s="6"/>
      <c r="D10" s="6"/>
      <c r="E10" s="6"/>
      <c r="F10" s="6"/>
      <c r="G10" s="9"/>
      <c r="H10" s="6"/>
    </row>
    <row r="11" spans="1:8" x14ac:dyDescent="0.2">
      <c r="A11" s="5" t="s">
        <v>8</v>
      </c>
      <c r="B11" s="7">
        <f>10327.08</f>
        <v>10327.08</v>
      </c>
      <c r="C11" s="7">
        <f>24304.8</f>
        <v>24304.799999999999</v>
      </c>
      <c r="D11" s="7">
        <f>21977.64</f>
        <v>21977.64</v>
      </c>
      <c r="E11" s="7">
        <f>13141.32</f>
        <v>13141.32</v>
      </c>
      <c r="F11" s="7">
        <f>9451.32</f>
        <v>9451.32</v>
      </c>
      <c r="G11" s="8">
        <v>21215.139999999985</v>
      </c>
      <c r="H11" s="7">
        <v>15042.92</v>
      </c>
    </row>
    <row r="12" spans="1:8" x14ac:dyDescent="0.2">
      <c r="A12" s="5" t="s">
        <v>9</v>
      </c>
      <c r="B12" s="7">
        <f>9.23</f>
        <v>9.23</v>
      </c>
      <c r="C12" s="7">
        <f>9.78</f>
        <v>9.7799999999999994</v>
      </c>
      <c r="D12" s="7">
        <f>7.67</f>
        <v>7.67</v>
      </c>
      <c r="E12" s="7">
        <f>12.09</f>
        <v>12.09</v>
      </c>
      <c r="F12" s="7">
        <f>3.25</f>
        <v>3.25</v>
      </c>
      <c r="G12" s="8">
        <v>0</v>
      </c>
      <c r="H12" s="7">
        <v>0</v>
      </c>
    </row>
    <row r="13" spans="1:8" x14ac:dyDescent="0.2">
      <c r="A13" s="5" t="s">
        <v>10</v>
      </c>
      <c r="B13" s="7">
        <f>212.3</f>
        <v>212.3</v>
      </c>
      <c r="C13" s="7">
        <f>378.5</f>
        <v>378.5</v>
      </c>
      <c r="D13" s="7">
        <f>140.33</f>
        <v>140.33000000000001</v>
      </c>
      <c r="E13" s="7">
        <f>285.6</f>
        <v>285.60000000000002</v>
      </c>
      <c r="F13" s="6"/>
      <c r="G13" s="9">
        <v>0</v>
      </c>
      <c r="H13" s="6">
        <v>0</v>
      </c>
    </row>
    <row r="14" spans="1:8" x14ac:dyDescent="0.2">
      <c r="A14" s="5" t="s">
        <v>11</v>
      </c>
      <c r="B14" s="7">
        <f>72</f>
        <v>72</v>
      </c>
      <c r="C14" s="6"/>
      <c r="D14" s="7">
        <f>342</f>
        <v>342</v>
      </c>
      <c r="E14" s="7">
        <f>810</f>
        <v>810</v>
      </c>
      <c r="F14" s="6"/>
      <c r="G14" s="9">
        <v>0</v>
      </c>
      <c r="H14" s="6">
        <v>0</v>
      </c>
    </row>
    <row r="15" spans="1:8" x14ac:dyDescent="0.2">
      <c r="A15" s="5" t="s">
        <v>12</v>
      </c>
      <c r="B15" s="6"/>
      <c r="C15" s="6"/>
      <c r="D15" s="6"/>
      <c r="E15" s="6"/>
      <c r="F15" s="7">
        <f>883.42</f>
        <v>883.42</v>
      </c>
      <c r="G15" s="8">
        <v>0</v>
      </c>
      <c r="H15" s="7">
        <v>0</v>
      </c>
    </row>
    <row r="16" spans="1:8" x14ac:dyDescent="0.2">
      <c r="A16" s="5" t="s">
        <v>13</v>
      </c>
      <c r="B16" s="6"/>
      <c r="C16" s="7">
        <f>2652.62</f>
        <v>2652.62</v>
      </c>
      <c r="D16" s="7">
        <f>3577.68</f>
        <v>3577.68</v>
      </c>
      <c r="E16" s="7">
        <f>1681.09</f>
        <v>1681.09</v>
      </c>
      <c r="F16" s="7">
        <f>413.29</f>
        <v>413.29</v>
      </c>
      <c r="G16" s="8">
        <v>3024.67</v>
      </c>
      <c r="H16" s="7">
        <v>3335.6</v>
      </c>
    </row>
    <row r="17" spans="1:8" x14ac:dyDescent="0.2">
      <c r="A17" s="5" t="s">
        <v>14</v>
      </c>
      <c r="B17" s="10">
        <f>(((((B11)+(B12))+(B13))+(B14))+(B15))+(B16)</f>
        <v>10620.609999999999</v>
      </c>
      <c r="C17" s="10">
        <f>(((((C11)+(C12))+(C13))+(C14))+(C15))+(C16)</f>
        <v>27345.699999999997</v>
      </c>
      <c r="D17" s="10">
        <f>(((((D11)+(D12))+(D13))+(D14))+(D15))+(D16)</f>
        <v>26045.32</v>
      </c>
      <c r="E17" s="10">
        <f>(((((E11)+(E12))+(E13))+(E14))+(E15))+(E16)</f>
        <v>15930.1</v>
      </c>
      <c r="F17" s="10">
        <f>(((((F11)+(F12))+(F13))+(F14))+(F15))+(F16)</f>
        <v>10751.28</v>
      </c>
      <c r="G17" s="11">
        <v>24239.809999999998</v>
      </c>
      <c r="H17" s="10">
        <v>18378.52</v>
      </c>
    </row>
    <row r="18" spans="1:8" x14ac:dyDescent="0.2">
      <c r="A18" s="5" t="s">
        <v>15</v>
      </c>
      <c r="B18" s="10">
        <f>(B9)-(B17)</f>
        <v>10080.410000000002</v>
      </c>
      <c r="C18" s="10">
        <f>(C9)-(C17)</f>
        <v>13857.330000000002</v>
      </c>
      <c r="D18" s="10">
        <f>(D9)-(D17)</f>
        <v>14388.160000000003</v>
      </c>
      <c r="E18" s="10">
        <f>(E9)-(E17)</f>
        <v>8412.3399999999983</v>
      </c>
      <c r="F18" s="10">
        <f>(F9)-(F17)</f>
        <v>8183.7199999999993</v>
      </c>
      <c r="G18" s="11">
        <v>11873.059999999998</v>
      </c>
      <c r="H18" s="10">
        <v>3036.4799999999996</v>
      </c>
    </row>
    <row r="19" spans="1:8" x14ac:dyDescent="0.2">
      <c r="A19" s="5" t="s">
        <v>16</v>
      </c>
      <c r="B19" s="6"/>
      <c r="C19" s="6"/>
      <c r="D19" s="6"/>
      <c r="E19" s="6"/>
      <c r="F19" s="6"/>
      <c r="G19" s="9"/>
      <c r="H19" s="6"/>
    </row>
    <row r="20" spans="1:8" x14ac:dyDescent="0.2">
      <c r="A20" s="5" t="s">
        <v>17</v>
      </c>
      <c r="B20" s="6"/>
      <c r="C20" s="6"/>
      <c r="D20" s="6"/>
      <c r="E20" s="6"/>
      <c r="F20" s="7"/>
      <c r="G20" s="8"/>
      <c r="H20" s="7"/>
    </row>
    <row r="21" spans="1:8" x14ac:dyDescent="0.2">
      <c r="A21" s="5" t="s">
        <v>18</v>
      </c>
      <c r="B21" s="7">
        <f>48.7</f>
        <v>48.7</v>
      </c>
      <c r="C21" s="6"/>
      <c r="D21" s="6"/>
      <c r="E21" s="6"/>
      <c r="F21" s="7">
        <f>2439</f>
        <v>2439</v>
      </c>
      <c r="G21" s="8">
        <v>54.510000000000218</v>
      </c>
      <c r="H21" s="7">
        <v>4310.17</v>
      </c>
    </row>
    <row r="22" spans="1:8" x14ac:dyDescent="0.2">
      <c r="A22" s="5" t="s">
        <v>19</v>
      </c>
      <c r="B22" s="7">
        <f>67.11</f>
        <v>67.11</v>
      </c>
      <c r="C22" s="7">
        <f>268.45</f>
        <v>268.45</v>
      </c>
      <c r="D22" s="7">
        <f>215.83</f>
        <v>215.83</v>
      </c>
      <c r="E22" s="7">
        <f>5.63</f>
        <v>5.63</v>
      </c>
      <c r="F22" s="7">
        <f>1006.38</f>
        <v>1006.38</v>
      </c>
      <c r="G22" s="8">
        <v>155.99000000000524</v>
      </c>
      <c r="H22" s="7">
        <v>42595.81</v>
      </c>
    </row>
    <row r="23" spans="1:8" x14ac:dyDescent="0.2">
      <c r="A23" s="5" t="s">
        <v>20</v>
      </c>
      <c r="B23" s="7"/>
      <c r="C23" s="7"/>
      <c r="D23" s="7"/>
      <c r="E23" s="7"/>
      <c r="F23" s="7"/>
      <c r="G23" s="8">
        <v>420</v>
      </c>
      <c r="H23" s="7"/>
    </row>
    <row r="24" spans="1:8" x14ac:dyDescent="0.2">
      <c r="A24" s="5" t="s">
        <v>21</v>
      </c>
      <c r="B24" s="7">
        <f>920.13</f>
        <v>920.13</v>
      </c>
      <c r="C24" s="7">
        <f>2673.25</f>
        <v>2673.25</v>
      </c>
      <c r="D24" s="7">
        <f>14552.97</f>
        <v>14552.97</v>
      </c>
      <c r="E24" s="7">
        <f>4548.25</f>
        <v>4548.25</v>
      </c>
      <c r="F24" s="7">
        <f>16321.69</f>
        <v>16321.69</v>
      </c>
      <c r="G24" s="8">
        <v>4960.8099999999977</v>
      </c>
      <c r="H24" s="7">
        <v>1875</v>
      </c>
    </row>
    <row r="25" spans="1:8" x14ac:dyDescent="0.2">
      <c r="A25" s="5" t="s">
        <v>22</v>
      </c>
      <c r="B25" s="7">
        <f>51.67</f>
        <v>51.67</v>
      </c>
      <c r="C25" s="7">
        <f>1224.92</f>
        <v>1224.92</v>
      </c>
      <c r="D25" s="6"/>
      <c r="E25" s="6"/>
      <c r="F25" s="6"/>
      <c r="G25" s="9">
        <v>0</v>
      </c>
      <c r="H25" s="6"/>
    </row>
    <row r="26" spans="1:8" x14ac:dyDescent="0.2">
      <c r="A26" s="5" t="s">
        <v>23</v>
      </c>
      <c r="B26" s="6"/>
      <c r="C26" s="6"/>
      <c r="D26" s="6"/>
      <c r="E26" s="6"/>
      <c r="F26" s="7">
        <f>145.35</f>
        <v>145.35</v>
      </c>
      <c r="G26" s="8">
        <v>258.69999999999982</v>
      </c>
      <c r="H26" s="7">
        <v>2060.67</v>
      </c>
    </row>
    <row r="27" spans="1:8" x14ac:dyDescent="0.2">
      <c r="A27" s="5" t="s">
        <v>24</v>
      </c>
      <c r="B27" s="7">
        <f>3448.64</f>
        <v>3448.64</v>
      </c>
      <c r="C27" s="7">
        <f>298</f>
        <v>298</v>
      </c>
      <c r="D27" s="7">
        <f>9.2</f>
        <v>9.1999999999999993</v>
      </c>
      <c r="E27" s="7">
        <f>3885.09</f>
        <v>3885.09</v>
      </c>
      <c r="F27" s="7">
        <f>1694.64</f>
        <v>1694.64</v>
      </c>
      <c r="G27" s="8">
        <v>487.13000000000284</v>
      </c>
      <c r="H27" s="7">
        <v>2170.92</v>
      </c>
    </row>
    <row r="28" spans="1:8" x14ac:dyDescent="0.2">
      <c r="A28" s="5" t="s">
        <v>25</v>
      </c>
      <c r="B28" s="7">
        <f>144.95</f>
        <v>144.94999999999999</v>
      </c>
      <c r="C28" s="7">
        <f>135</f>
        <v>135</v>
      </c>
      <c r="D28" s="6"/>
      <c r="E28" s="7">
        <f>424.53</f>
        <v>424.53</v>
      </c>
      <c r="F28" s="6"/>
      <c r="G28" s="9">
        <v>0</v>
      </c>
      <c r="H28" s="6"/>
    </row>
    <row r="29" spans="1:8" x14ac:dyDescent="0.2">
      <c r="A29" s="5" t="s">
        <v>26</v>
      </c>
      <c r="B29" s="7">
        <f>387.99</f>
        <v>387.99</v>
      </c>
      <c r="C29" s="6"/>
      <c r="D29" s="6"/>
      <c r="E29" s="7">
        <f>213.49</f>
        <v>213.49</v>
      </c>
      <c r="F29" s="7">
        <f>71.54</f>
        <v>71.540000000000006</v>
      </c>
      <c r="G29" s="8">
        <v>1098.1100000000001</v>
      </c>
      <c r="H29" s="7">
        <v>0</v>
      </c>
    </row>
    <row r="30" spans="1:8" x14ac:dyDescent="0.2">
      <c r="A30" s="5" t="s">
        <v>27</v>
      </c>
      <c r="B30" s="7">
        <f>984</f>
        <v>984</v>
      </c>
      <c r="C30" s="7">
        <f>2400.96</f>
        <v>2400.96</v>
      </c>
      <c r="D30" s="7">
        <f>2076.24</f>
        <v>2076.2399999999998</v>
      </c>
      <c r="E30" s="7">
        <f>1638.36</f>
        <v>1638.36</v>
      </c>
      <c r="F30" s="7">
        <f>2932.32</f>
        <v>2932.32</v>
      </c>
      <c r="G30" s="8">
        <v>0</v>
      </c>
      <c r="H30" s="7">
        <v>0</v>
      </c>
    </row>
    <row r="31" spans="1:8" x14ac:dyDescent="0.2">
      <c r="A31" s="5" t="s">
        <v>28</v>
      </c>
      <c r="B31" s="7">
        <f>4042.58</f>
        <v>4042.58</v>
      </c>
      <c r="C31" s="7">
        <f>2078.43</f>
        <v>2078.4299999999998</v>
      </c>
      <c r="D31" s="7">
        <f>595.09</f>
        <v>595.09</v>
      </c>
      <c r="E31" s="7">
        <f>397.91</f>
        <v>397.91</v>
      </c>
      <c r="F31" s="6"/>
      <c r="G31" s="9">
        <v>8709.0499999999993</v>
      </c>
      <c r="H31" s="6">
        <v>3182.45</v>
      </c>
    </row>
    <row r="32" spans="1:8" x14ac:dyDescent="0.2">
      <c r="A32" s="5" t="s">
        <v>29</v>
      </c>
      <c r="B32" s="6"/>
      <c r="C32" s="7">
        <f>1250</f>
        <v>1250</v>
      </c>
      <c r="D32" s="7">
        <f>5050</f>
        <v>5050</v>
      </c>
      <c r="E32" s="7">
        <f>2104.65</f>
        <v>2104.65</v>
      </c>
      <c r="F32" s="7">
        <f>250</f>
        <v>250</v>
      </c>
      <c r="G32" s="8">
        <v>6000</v>
      </c>
      <c r="H32" s="7">
        <v>0</v>
      </c>
    </row>
    <row r="33" spans="1:8" x14ac:dyDescent="0.2">
      <c r="A33" s="5" t="s">
        <v>30</v>
      </c>
      <c r="B33" s="10">
        <f>SUM(B21:B32)</f>
        <v>10095.77</v>
      </c>
      <c r="C33" s="10">
        <f>SUM(C21:C32)</f>
        <v>10329.01</v>
      </c>
      <c r="D33" s="10">
        <f>SUM(D21:D32)</f>
        <v>22499.329999999998</v>
      </c>
      <c r="E33" s="10">
        <f>SUM(E21:E32)</f>
        <v>13217.910000000002</v>
      </c>
      <c r="F33" s="10">
        <f>SUM(F21:F32)</f>
        <v>24860.92</v>
      </c>
      <c r="G33" s="11">
        <v>22144.299999999988</v>
      </c>
      <c r="H33" s="10">
        <v>56195.01999999999</v>
      </c>
    </row>
    <row r="34" spans="1:8" x14ac:dyDescent="0.2">
      <c r="A34" s="5" t="s">
        <v>31</v>
      </c>
      <c r="B34" s="7">
        <f>13</f>
        <v>13</v>
      </c>
      <c r="C34" s="7">
        <f>61</f>
        <v>61</v>
      </c>
      <c r="D34" s="7">
        <f>61</f>
        <v>61</v>
      </c>
      <c r="E34" s="7">
        <f>97</f>
        <v>97</v>
      </c>
      <c r="F34" s="7">
        <f>14</f>
        <v>14</v>
      </c>
      <c r="G34" s="8">
        <v>26</v>
      </c>
      <c r="H34" s="7">
        <v>14.1</v>
      </c>
    </row>
    <row r="35" spans="1:8" x14ac:dyDescent="0.2">
      <c r="A35" s="5" t="s">
        <v>32</v>
      </c>
      <c r="B35" s="7">
        <f>389.25</f>
        <v>389.25</v>
      </c>
      <c r="C35" s="7">
        <f>329.37</f>
        <v>329.37</v>
      </c>
      <c r="D35" s="7">
        <f>531.39</f>
        <v>531.39</v>
      </c>
      <c r="E35" s="7">
        <f>443.42</f>
        <v>443.42</v>
      </c>
      <c r="F35" s="7">
        <f>524.22</f>
        <v>524.22</v>
      </c>
      <c r="G35" s="8">
        <v>544.08000000000038</v>
      </c>
      <c r="H35" s="7">
        <v>1231.04</v>
      </c>
    </row>
    <row r="36" spans="1:8" x14ac:dyDescent="0.2">
      <c r="A36" s="5" t="s">
        <v>33</v>
      </c>
      <c r="B36" s="7">
        <f>1369.36</f>
        <v>1369.36</v>
      </c>
      <c r="C36" s="7">
        <f>1369.36</f>
        <v>1369.36</v>
      </c>
      <c r="D36" s="7">
        <f>1369.36</f>
        <v>1369.36</v>
      </c>
      <c r="E36" s="7">
        <f>1535.08</f>
        <v>1535.08</v>
      </c>
      <c r="F36" s="7">
        <f>2942.58</f>
        <v>2942.58</v>
      </c>
      <c r="G36" s="8">
        <v>2183.1100000000024</v>
      </c>
      <c r="H36" s="7">
        <v>3417.83</v>
      </c>
    </row>
    <row r="37" spans="1:8" x14ac:dyDescent="0.2">
      <c r="A37" s="5" t="s">
        <v>34</v>
      </c>
      <c r="B37" s="7">
        <f>1103</f>
        <v>1103</v>
      </c>
      <c r="C37" s="6"/>
      <c r="D37" s="7">
        <f>1587.5</f>
        <v>1587.5</v>
      </c>
      <c r="E37" s="7">
        <f>16</f>
        <v>16</v>
      </c>
      <c r="F37" s="7">
        <f>2998.95</f>
        <v>2998.95</v>
      </c>
      <c r="G37" s="8">
        <v>0</v>
      </c>
      <c r="H37" s="7">
        <v>257</v>
      </c>
    </row>
    <row r="38" spans="1:8" x14ac:dyDescent="0.2">
      <c r="A38" s="5" t="s">
        <v>35</v>
      </c>
      <c r="B38" s="7">
        <f>6210</f>
        <v>6210</v>
      </c>
      <c r="C38" s="7">
        <f>8999</f>
        <v>8999</v>
      </c>
      <c r="D38" s="7">
        <f>9805.5</f>
        <v>9805.5</v>
      </c>
      <c r="E38" s="7">
        <f>12915.25</f>
        <v>12915.25</v>
      </c>
      <c r="F38" s="7">
        <f>5047.5</f>
        <v>5047.5</v>
      </c>
      <c r="G38" s="8">
        <v>16345</v>
      </c>
      <c r="H38" s="7">
        <v>82596.5</v>
      </c>
    </row>
    <row r="39" spans="1:8" x14ac:dyDescent="0.2">
      <c r="A39" s="5" t="s">
        <v>36</v>
      </c>
      <c r="B39" s="7">
        <f>119</f>
        <v>119</v>
      </c>
      <c r="C39" s="7">
        <f>1500</f>
        <v>1500</v>
      </c>
      <c r="D39" s="6"/>
      <c r="E39" s="6"/>
      <c r="F39" s="6"/>
      <c r="G39" s="9">
        <v>0</v>
      </c>
      <c r="H39" s="6">
        <v>0</v>
      </c>
    </row>
    <row r="40" spans="1:8" x14ac:dyDescent="0.2">
      <c r="A40" s="5" t="s">
        <v>37</v>
      </c>
      <c r="B40" s="7">
        <f>297.25</f>
        <v>297.25</v>
      </c>
      <c r="C40" s="7">
        <f>304.22</f>
        <v>304.22000000000003</v>
      </c>
      <c r="D40" s="7">
        <f>1022.23</f>
        <v>1022.23</v>
      </c>
      <c r="E40" s="7">
        <f>572.97</f>
        <v>572.97</v>
      </c>
      <c r="F40" s="7">
        <f>1257.52</f>
        <v>1257.52</v>
      </c>
      <c r="G40" s="8">
        <v>524.53999999999905</v>
      </c>
      <c r="H40" s="7">
        <v>824.59</v>
      </c>
    </row>
    <row r="41" spans="1:8" x14ac:dyDescent="0.2">
      <c r="A41" s="5" t="s">
        <v>38</v>
      </c>
      <c r="B41" s="7">
        <f>168.42</f>
        <v>168.42</v>
      </c>
      <c r="C41" s="7">
        <f>715.87</f>
        <v>715.87</v>
      </c>
      <c r="D41" s="7">
        <f>454.27</f>
        <v>454.27</v>
      </c>
      <c r="E41" s="7">
        <f>271.37</f>
        <v>271.37</v>
      </c>
      <c r="F41" s="7">
        <f>777.13</f>
        <v>777.13</v>
      </c>
      <c r="G41" s="8">
        <v>48.519999999999982</v>
      </c>
      <c r="H41" s="7">
        <v>1478.48</v>
      </c>
    </row>
    <row r="42" spans="1:8" x14ac:dyDescent="0.2">
      <c r="A42" s="5" t="s">
        <v>39</v>
      </c>
      <c r="B42" s="6"/>
      <c r="C42" s="7">
        <f>24.4</f>
        <v>24.4</v>
      </c>
      <c r="D42" s="7">
        <f>13.9</f>
        <v>13.9</v>
      </c>
      <c r="E42" s="7">
        <f>72</f>
        <v>72</v>
      </c>
      <c r="F42" s="7">
        <f>30</f>
        <v>30</v>
      </c>
      <c r="G42" s="8">
        <v>59.999999999999972</v>
      </c>
      <c r="H42" s="7">
        <v>101.15</v>
      </c>
    </row>
    <row r="43" spans="1:8" x14ac:dyDescent="0.2">
      <c r="A43" s="5" t="s">
        <v>40</v>
      </c>
      <c r="B43" s="6"/>
      <c r="C43" s="6"/>
      <c r="D43" s="6"/>
      <c r="E43" s="6"/>
      <c r="F43" s="6"/>
      <c r="G43" s="9">
        <v>0</v>
      </c>
      <c r="H43" s="6"/>
    </row>
    <row r="44" spans="1:8" x14ac:dyDescent="0.2">
      <c r="A44" s="5" t="s">
        <v>41</v>
      </c>
      <c r="B44" s="7">
        <f>6060</f>
        <v>6060</v>
      </c>
      <c r="C44" s="7">
        <f>7250</f>
        <v>7250</v>
      </c>
      <c r="D44" s="7">
        <f>9810</f>
        <v>9810</v>
      </c>
      <c r="E44" s="7">
        <f>6060</f>
        <v>6060</v>
      </c>
      <c r="F44" s="7">
        <f>12143.34</f>
        <v>12143.34</v>
      </c>
      <c r="G44" s="8">
        <v>13583.340000000004</v>
      </c>
      <c r="H44" s="7">
        <v>467</v>
      </c>
    </row>
    <row r="45" spans="1:8" x14ac:dyDescent="0.2">
      <c r="A45" s="5" t="s">
        <v>42</v>
      </c>
      <c r="B45" s="7">
        <f>110</f>
        <v>110</v>
      </c>
      <c r="C45" s="7">
        <f>843.53</f>
        <v>843.53</v>
      </c>
      <c r="D45" s="7">
        <f>1556.88</f>
        <v>1556.88</v>
      </c>
      <c r="E45" s="7">
        <f>669.09</f>
        <v>669.09</v>
      </c>
      <c r="F45" s="7">
        <f>431.9</f>
        <v>431.9</v>
      </c>
      <c r="G45" s="8">
        <v>748.25999999999931</v>
      </c>
      <c r="H45" s="7">
        <v>340.07</v>
      </c>
    </row>
    <row r="46" spans="1:8" x14ac:dyDescent="0.2">
      <c r="A46" s="5" t="s">
        <v>43</v>
      </c>
      <c r="B46" s="7">
        <f>99.9</f>
        <v>99.9</v>
      </c>
      <c r="C46" s="7">
        <f>99.9</f>
        <v>99.9</v>
      </c>
      <c r="D46" s="7">
        <f>106.5</f>
        <v>106.5</v>
      </c>
      <c r="E46" s="7">
        <f>118.02</f>
        <v>118.02</v>
      </c>
      <c r="F46" s="7">
        <f>118.02</f>
        <v>118.02</v>
      </c>
      <c r="G46" s="8">
        <v>129.51999999999998</v>
      </c>
      <c r="H46" s="7">
        <v>100.57</v>
      </c>
    </row>
    <row r="47" spans="1:8" x14ac:dyDescent="0.2">
      <c r="A47" s="5" t="s">
        <v>44</v>
      </c>
      <c r="B47" s="7">
        <f>14382.3</f>
        <v>14382.3</v>
      </c>
      <c r="C47" s="7">
        <f>15065.38</f>
        <v>15065.38</v>
      </c>
      <c r="D47" s="7">
        <f>15770.38</f>
        <v>15770.38</v>
      </c>
      <c r="E47" s="7">
        <f>15565.38</f>
        <v>15565.38</v>
      </c>
      <c r="F47" s="7">
        <f>23358.07</f>
        <v>23358.07</v>
      </c>
      <c r="G47" s="8">
        <v>14610.380000000019</v>
      </c>
      <c r="H47" s="7">
        <v>19450.189999999999</v>
      </c>
    </row>
    <row r="48" spans="1:8" x14ac:dyDescent="0.2">
      <c r="A48" s="5" t="s">
        <v>45</v>
      </c>
      <c r="B48" s="7">
        <f>1555.17</f>
        <v>1555.17</v>
      </c>
      <c r="C48" s="7">
        <f>1508.9</f>
        <v>1508.9</v>
      </c>
      <c r="D48" s="7">
        <f>1333.96</f>
        <v>1333.96</v>
      </c>
      <c r="E48" s="7">
        <f>1167.4</f>
        <v>1167.4000000000001</v>
      </c>
      <c r="F48" s="7">
        <f>1665.64</f>
        <v>1665.64</v>
      </c>
      <c r="G48" s="8">
        <v>1119.6100000000006</v>
      </c>
      <c r="H48" s="7">
        <v>1646.82</v>
      </c>
    </row>
    <row r="49" spans="1:8" x14ac:dyDescent="0.2">
      <c r="A49" s="5" t="s">
        <v>46</v>
      </c>
      <c r="B49" s="10">
        <f>(((((B43)+(B44))+(B45))+(B46))+(B47))+(B48)</f>
        <v>22207.369999999995</v>
      </c>
      <c r="C49" s="10">
        <f>(((((C43)+(C44))+(C45))+(C46))+(C47))+(C48)</f>
        <v>24767.71</v>
      </c>
      <c r="D49" s="10">
        <f>(((((D43)+(D44))+(D45))+(D46))+(D47))+(D48)</f>
        <v>28577.72</v>
      </c>
      <c r="E49" s="10">
        <f>(((((E43)+(E44))+(E45))+(E46))+(E47))+(E48)</f>
        <v>23579.89</v>
      </c>
      <c r="F49" s="10">
        <f>(((((F43)+(F44))+(F45))+(F46))+(F47))+(F48)</f>
        <v>37716.97</v>
      </c>
      <c r="G49" s="11">
        <v>30191.110000000015</v>
      </c>
      <c r="H49" s="10">
        <v>22004.649999999998</v>
      </c>
    </row>
    <row r="50" spans="1:8" x14ac:dyDescent="0.2">
      <c r="A50" s="5" t="s">
        <v>47</v>
      </c>
      <c r="B50" s="7">
        <f>54.27</f>
        <v>54.27</v>
      </c>
      <c r="C50" s="7">
        <f>56.01</f>
        <v>56.01</v>
      </c>
      <c r="D50" s="7">
        <f>68.91</f>
        <v>68.91</v>
      </c>
      <c r="E50" s="7">
        <f>100.24</f>
        <v>100.24</v>
      </c>
      <c r="F50" s="7">
        <f>81.09</f>
        <v>81.09</v>
      </c>
      <c r="G50" s="8">
        <v>79.779999999999973</v>
      </c>
      <c r="H50" s="7">
        <v>52.85</v>
      </c>
    </row>
    <row r="51" spans="1:8" x14ac:dyDescent="0.2">
      <c r="A51" s="5" t="s">
        <v>48</v>
      </c>
      <c r="B51" s="7">
        <f>3822.76</f>
        <v>3822.76</v>
      </c>
      <c r="C51" s="7">
        <f>10171.63</f>
        <v>10171.629999999999</v>
      </c>
      <c r="D51" s="7">
        <f>7767</f>
        <v>7767</v>
      </c>
      <c r="E51" s="7">
        <f>8003.73</f>
        <v>8003.73</v>
      </c>
      <c r="F51" s="7">
        <f>6003.73</f>
        <v>6003.73</v>
      </c>
      <c r="G51" s="8">
        <v>4241.6900000000023</v>
      </c>
      <c r="H51" s="7">
        <v>5948.43</v>
      </c>
    </row>
    <row r="52" spans="1:8" x14ac:dyDescent="0.2">
      <c r="A52" s="5" t="s">
        <v>49</v>
      </c>
      <c r="B52" s="6"/>
      <c r="C52" s="7">
        <f>300</f>
        <v>300</v>
      </c>
      <c r="D52" s="6"/>
      <c r="E52" s="6"/>
      <c r="F52" s="7">
        <f>450</f>
        <v>450</v>
      </c>
      <c r="G52" s="8">
        <v>0</v>
      </c>
      <c r="H52" s="7">
        <v>600</v>
      </c>
    </row>
    <row r="53" spans="1:8" x14ac:dyDescent="0.2">
      <c r="A53" s="5" t="s">
        <v>50</v>
      </c>
      <c r="B53" s="7">
        <f>253.96</f>
        <v>253.96</v>
      </c>
      <c r="C53" s="7">
        <f>31.34</f>
        <v>31.34</v>
      </c>
      <c r="D53" s="7">
        <f>355.44</f>
        <v>355.44</v>
      </c>
      <c r="E53" s="7">
        <f>193.28</f>
        <v>193.28</v>
      </c>
      <c r="F53" s="7">
        <f>258.42</f>
        <v>258.42</v>
      </c>
      <c r="G53" s="8">
        <v>193.27999999999975</v>
      </c>
      <c r="H53" s="7">
        <v>250.12</v>
      </c>
    </row>
    <row r="54" spans="1:8" x14ac:dyDescent="0.2">
      <c r="A54" s="5" t="s">
        <v>51</v>
      </c>
      <c r="B54" s="7">
        <f>1605.27</f>
        <v>1605.27</v>
      </c>
      <c r="C54" s="7">
        <f>855.12</f>
        <v>855.12</v>
      </c>
      <c r="D54" s="7">
        <f>1591.47</f>
        <v>1591.47</v>
      </c>
      <c r="E54" s="7">
        <f>2158.84</f>
        <v>2158.84</v>
      </c>
      <c r="F54" s="7">
        <f>1928.78</f>
        <v>1928.78</v>
      </c>
      <c r="G54" s="8">
        <v>2347.2399999999998</v>
      </c>
      <c r="H54" s="7">
        <v>1773.32</v>
      </c>
    </row>
    <row r="55" spans="1:8" x14ac:dyDescent="0.2">
      <c r="A55" s="5" t="s">
        <v>52</v>
      </c>
      <c r="B55" s="6"/>
      <c r="C55" s="6"/>
      <c r="D55" s="6"/>
      <c r="E55" s="7">
        <f>25.6</f>
        <v>25.6</v>
      </c>
      <c r="F55" s="7">
        <f>518.13</f>
        <v>518.13</v>
      </c>
      <c r="G55" s="8">
        <v>199.21000000000004</v>
      </c>
      <c r="H55" s="7">
        <v>226</v>
      </c>
    </row>
    <row r="56" spans="1:8" x14ac:dyDescent="0.2">
      <c r="A56" s="5" t="s">
        <v>53</v>
      </c>
      <c r="B56" s="7">
        <f>256.67</f>
        <v>256.67</v>
      </c>
      <c r="C56" s="7">
        <f>288.05</f>
        <v>288.05</v>
      </c>
      <c r="D56" s="7">
        <f>570.38</f>
        <v>570.38</v>
      </c>
      <c r="E56" s="7">
        <f>440.63</f>
        <v>440.63</v>
      </c>
      <c r="F56" s="7">
        <f>652.45</f>
        <v>652.45000000000005</v>
      </c>
      <c r="G56" s="8">
        <v>602.7199999999998</v>
      </c>
      <c r="H56" s="7">
        <v>320</v>
      </c>
    </row>
    <row r="57" spans="1:8" x14ac:dyDescent="0.2">
      <c r="A57" s="5" t="s">
        <v>54</v>
      </c>
      <c r="B57" s="7"/>
      <c r="C57" s="7"/>
      <c r="D57" s="7"/>
      <c r="E57" s="7"/>
      <c r="F57" s="7"/>
      <c r="G57" s="8">
        <v>0</v>
      </c>
      <c r="H57" s="7"/>
    </row>
    <row r="58" spans="1:8" x14ac:dyDescent="0.2">
      <c r="A58" s="5" t="s">
        <v>55</v>
      </c>
      <c r="B58" s="10">
        <f>(((((((((((((((((B33)+(B34))+(B35))+(B36))+(B37))+(B38))+(B39))+(B40))+(B41))+(B42))+(B49))+(B50))+(B51))+(B52))+(B53))+(B54))+(B55))+(B56)+(B57)</f>
        <v>47965.349999999991</v>
      </c>
      <c r="C58" s="10">
        <f>(((((((((((((((((C33)+(C34))+(C35))+(C36))+(C37))+(C38))+(C39))+(C40))+(C41))+(C42))+(C49))+(C50))+(C51))+(C52))+(C53))+(C54))+(C55))+(C56)+(C57)</f>
        <v>60102.090000000004</v>
      </c>
      <c r="D58" s="10">
        <f>(((((((((((((((((D33)+(D34))+(D35))+(D36))+(D37))+(D38))+(D39))+(D40))+(D41))+(D42))+(D49))+(D50))+(D51))+(D52))+(D53))+(D54))+(D55))+(D56)+(D57)</f>
        <v>76275.400000000023</v>
      </c>
      <c r="E58" s="10">
        <f>(((((((((((((((((E33)+(E34))+(E35))+(E36))+(E37))+(E38))+(E39))+(E40))+(E41))+(E42))+(E49))+(E50))+(E51))+(E52))+(E53))+(E54))+(E55))+(E56)+(E57)</f>
        <v>63643.209999999992</v>
      </c>
      <c r="F58" s="10">
        <f>(((((((((((((((((F33)+(F34))+(F35))+(F36))+(F37))+(F38))+(F39))+(F40))+(F41))+(F42))+(F49))+(F50))+(F51))+(F52))+(F53))+(F54))+(F55))+(F56)+(F57)</f>
        <v>86062.389999999985</v>
      </c>
      <c r="G58" s="11">
        <v>79730.579999999958</v>
      </c>
      <c r="H58" s="10">
        <v>177291.08</v>
      </c>
    </row>
    <row r="59" spans="1:8" x14ac:dyDescent="0.2">
      <c r="A59" s="5" t="s">
        <v>56</v>
      </c>
      <c r="B59" s="10">
        <f>(B18)-(B58)</f>
        <v>-37884.939999999988</v>
      </c>
      <c r="C59" s="10">
        <f>(C18)-(C58)</f>
        <v>-46244.76</v>
      </c>
      <c r="D59" s="10">
        <f>(D18)-(D58)</f>
        <v>-61887.24000000002</v>
      </c>
      <c r="E59" s="10">
        <f>(E18)-(E58)</f>
        <v>-55230.869999999995</v>
      </c>
      <c r="F59" s="10">
        <f>(F18)-(F58)</f>
        <v>-77878.669999999984</v>
      </c>
      <c r="G59" s="11">
        <v>-67857.51999999996</v>
      </c>
      <c r="H59" s="10">
        <v>-174254.59999999998</v>
      </c>
    </row>
    <row r="60" spans="1:8" x14ac:dyDescent="0.2">
      <c r="A60" s="5" t="s">
        <v>57</v>
      </c>
      <c r="B60" s="6"/>
      <c r="C60" s="6"/>
      <c r="D60" s="6"/>
      <c r="E60" s="6"/>
      <c r="F60" s="6"/>
      <c r="G60" s="9"/>
      <c r="H60" s="6"/>
    </row>
    <row r="61" spans="1:8" x14ac:dyDescent="0.2">
      <c r="A61" s="5" t="s">
        <v>58</v>
      </c>
      <c r="B61" s="6"/>
      <c r="C61" s="6"/>
      <c r="D61" s="7">
        <f>201.27</f>
        <v>201.27</v>
      </c>
      <c r="E61" s="6"/>
      <c r="F61" s="6"/>
      <c r="G61" s="9">
        <v>330.64999999999986</v>
      </c>
      <c r="H61" s="6">
        <v>1113.1400000000001</v>
      </c>
    </row>
    <row r="62" spans="1:8" x14ac:dyDescent="0.2">
      <c r="A62" s="5" t="s">
        <v>59</v>
      </c>
      <c r="B62" s="10">
        <f>B61</f>
        <v>0</v>
      </c>
      <c r="C62" s="10">
        <f>C61</f>
        <v>0</v>
      </c>
      <c r="D62" s="10">
        <f>D61</f>
        <v>201.27</v>
      </c>
      <c r="E62" s="10">
        <f>E61</f>
        <v>0</v>
      </c>
      <c r="F62" s="10">
        <f>F61</f>
        <v>0</v>
      </c>
      <c r="G62" s="11">
        <v>330.64999999999986</v>
      </c>
      <c r="H62" s="10">
        <v>1113.1400000000001</v>
      </c>
    </row>
    <row r="63" spans="1:8" x14ac:dyDescent="0.2">
      <c r="A63" s="5" t="s">
        <v>60</v>
      </c>
      <c r="B63" s="6"/>
      <c r="C63" s="6"/>
      <c r="D63" s="6"/>
      <c r="E63" s="6"/>
      <c r="F63" s="6"/>
      <c r="G63" s="9"/>
      <c r="H63" s="6"/>
    </row>
    <row r="64" spans="1:8" x14ac:dyDescent="0.2">
      <c r="A64" s="5" t="s">
        <v>61</v>
      </c>
      <c r="B64" s="7">
        <f>10000</f>
        <v>10000</v>
      </c>
      <c r="C64" s="7">
        <f>10000</f>
        <v>10000</v>
      </c>
      <c r="D64" s="7">
        <f>10000</f>
        <v>10000</v>
      </c>
      <c r="E64" s="7">
        <f>10000</f>
        <v>10000</v>
      </c>
      <c r="F64" s="7">
        <f>10000</f>
        <v>10000</v>
      </c>
      <c r="G64" s="8">
        <v>10000</v>
      </c>
      <c r="H64" s="7">
        <v>17307</v>
      </c>
    </row>
    <row r="65" spans="1:8" x14ac:dyDescent="0.2">
      <c r="A65" s="5" t="s">
        <v>62</v>
      </c>
      <c r="B65" s="10">
        <f>B64</f>
        <v>10000</v>
      </c>
      <c r="C65" s="10">
        <f>C64</f>
        <v>10000</v>
      </c>
      <c r="D65" s="10">
        <f>D64</f>
        <v>10000</v>
      </c>
      <c r="E65" s="10">
        <f>E64</f>
        <v>10000</v>
      </c>
      <c r="F65" s="10">
        <f>F64</f>
        <v>10000</v>
      </c>
      <c r="G65" s="11">
        <v>10000</v>
      </c>
      <c r="H65" s="10">
        <v>17307</v>
      </c>
    </row>
    <row r="66" spans="1:8" x14ac:dyDescent="0.2">
      <c r="A66" s="5" t="s">
        <v>63</v>
      </c>
      <c r="B66" s="10">
        <f>(B62)-(B65)</f>
        <v>-10000</v>
      </c>
      <c r="C66" s="10">
        <f>(C62)-(C65)</f>
        <v>-10000</v>
      </c>
      <c r="D66" s="10">
        <f>(D62)-(D65)</f>
        <v>-9798.73</v>
      </c>
      <c r="E66" s="10">
        <f>(E62)-(E65)</f>
        <v>-10000</v>
      </c>
      <c r="F66" s="10">
        <f>(F62)-(F65)</f>
        <v>-10000</v>
      </c>
      <c r="G66" s="11">
        <v>-9669.3500000000058</v>
      </c>
      <c r="H66" s="10">
        <v>-16193.86</v>
      </c>
    </row>
    <row r="67" spans="1:8" x14ac:dyDescent="0.2">
      <c r="A67" s="5" t="s">
        <v>64</v>
      </c>
      <c r="B67" s="10">
        <f>(B59)+(B66)</f>
        <v>-47884.939999999988</v>
      </c>
      <c r="C67" s="10">
        <f>(C59)+(C66)</f>
        <v>-56244.76</v>
      </c>
      <c r="D67" s="10">
        <f>(D59)+(D66)</f>
        <v>-71685.970000000016</v>
      </c>
      <c r="E67" s="10">
        <f>(E59)+(E66)</f>
        <v>-65230.869999999995</v>
      </c>
      <c r="F67" s="10">
        <f>(F59)+(F66)</f>
        <v>-87878.669999999984</v>
      </c>
      <c r="G67" s="11">
        <v>-77526.870000000054</v>
      </c>
      <c r="H67" s="10">
        <v>-190448.45999999996</v>
      </c>
    </row>
    <row r="68" spans="1:8" x14ac:dyDescent="0.2">
      <c r="A68" s="5"/>
      <c r="B68" s="6"/>
      <c r="C68" s="6"/>
      <c r="D68" s="6"/>
      <c r="E68" s="6"/>
      <c r="F68" s="6"/>
      <c r="G68" s="6"/>
      <c r="H68" s="6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Hafford</dc:creator>
  <cp:lastModifiedBy>David Hafford</cp:lastModifiedBy>
  <dcterms:created xsi:type="dcterms:W3CDTF">2026-03-27T19:34:22Z</dcterms:created>
  <dcterms:modified xsi:type="dcterms:W3CDTF">2026-03-27T20:07:43Z</dcterms:modified>
</cp:coreProperties>
</file>